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Metodologia" sheetId="2" state="visible" r:id="rId4"/>
    <sheet name="Setores" sheetId="3" state="visible" r:id="rId5"/>
    <sheet name="Dados_2020" sheetId="4" state="visible" r:id="rId6"/>
    <sheet name="Dados_2010" sheetId="5" state="visible" r:id="rId7"/>
    <sheet name="A_2020" sheetId="6" state="visible" r:id="rId8"/>
    <sheet name="B_2020" sheetId="7" state="visible" r:id="rId9"/>
    <sheet name="G_2020" sheetId="8" state="visible" r:id="rId10"/>
    <sheet name="B2_2020" sheetId="9" state="visible" r:id="rId11"/>
    <sheet name="A_2010" sheetId="10" state="visible" r:id="rId12"/>
    <sheet name="B_2010" sheetId="11" state="visible" r:id="rId13"/>
    <sheet name="G_2010" sheetId="12" state="visible" r:id="rId14"/>
    <sheet name="Q1_Multiplicadores" sheetId="13" state="visible" r:id="rId15"/>
    <sheet name="Q2_Choques" sheetId="14" state="visible" r:id="rId16"/>
    <sheet name="Q3_UPCF" sheetId="15" state="visible" r:id="rId17"/>
    <sheet name="Q4_RH" sheetId="16" state="visible" r:id="rId18"/>
    <sheet name="Q5_CampoInfluencia" sheetId="17" state="visible" r:id="rId19"/>
    <sheet name="Q6_Extracao" sheetId="18" state="visible" r:id="rId20"/>
    <sheet name="Q7_SDA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<sst xmlns="http://schemas.openxmlformats.org/spreadsheetml/2006/main" count="2667" uniqueCount="366">
  <si>
    <t xml:space="preserve">Lista de Exercícios — Análise de Insumo-Produto</t>
  </si>
  <si>
    <t xml:space="preserve">Disciplina</t>
  </si>
  <si>
    <t xml:space="preserve">Análise de Insumo-Produto · PPGEco/UFES · 2026/1</t>
  </si>
  <si>
    <t xml:space="preserve">Professor</t>
  </si>
  <si>
    <t xml:space="preserve">Prof. Dr. Celso Bissoli Sessa</t>
  </si>
  <si>
    <t xml:space="preserve">Aluno</t>
  </si>
  <si>
    <t xml:space="preserve">Felipe Carvalho de Souza Santos</t>
  </si>
  <si>
    <t xml:space="preserve">Entrega</t>
  </si>
  <si>
    <t xml:space="preserve">24/07/2026</t>
  </si>
  <si>
    <t xml:space="preserve">Dados</t>
  </si>
  <si>
    <t xml:space="preserve">Matrizes de Insumo-Produto do Brasil, 2010 e 2020 (Nível 68, NEREUS/CECEG; R$ milhões correntes)</t>
  </si>
  <si>
    <t xml:space="preserve">Ferramenta</t>
  </si>
  <si>
    <t xml:space="preserve">Arcabouço do repositório fcarva/es-insumo-produto (src/io_core.py; convenções de pesquisa/01, 17 e 25) — gerado por lista/resolver_lista.py</t>
  </si>
  <si>
    <t xml:space="preserve">Guia das abas</t>
  </si>
  <si>
    <t xml:space="preserve">Aba</t>
  </si>
  <si>
    <t xml:space="preserve">Conteúdo</t>
  </si>
  <si>
    <t xml:space="preserve">Metodologia</t>
  </si>
  <si>
    <t xml:space="preserve">Notas metodológicas e todas as premissas assumidas</t>
  </si>
  <si>
    <t xml:space="preserve">Setores</t>
  </si>
  <si>
    <t xml:space="preserve">Classificação setorial (Nível 68, comum a 2010 e 2020)</t>
  </si>
  <si>
    <t xml:space="preserve">Q1_Multiplicadores</t>
  </si>
  <si>
    <t xml:space="preserve">Multiplicadores de produção, emprego, renda e VA (tipos I e II) + rankings</t>
  </si>
  <si>
    <t xml:space="preserve">Q2_Choques</t>
  </si>
  <si>
    <t xml:space="preserve">Choques de R$ 10 bi: exportações da agricultura × FBCF</t>
  </si>
  <si>
    <t xml:space="preserve">Q3_UPCF</t>
  </si>
  <si>
    <t xml:space="preserve">Reajuste do salário mínimo (R$ 120 bi): importações e emprego</t>
  </si>
  <si>
    <t xml:space="preserve">Q4_RH</t>
  </si>
  <si>
    <t xml:space="preserve">Rasmussen-Hirschman 2010 × 2020 e setores-chave</t>
  </si>
  <si>
    <t xml:space="preserve">Q5_CampoInfluencia</t>
  </si>
  <si>
    <t xml:space="preserve">Campos de influência (Sonis-Hewings), Brasil 2010</t>
  </si>
  <si>
    <t xml:space="preserve">Q6_Extracao</t>
  </si>
  <si>
    <t xml:space="preserve">Extração hipotética total do setor escolhido (2020)</t>
  </si>
  <si>
    <t xml:space="preserve">Q7_SDA</t>
  </si>
  <si>
    <t xml:space="preserve">Decomposição estrutural 2010→2020 com atualização pelo IPCA</t>
  </si>
  <si>
    <t xml:space="preserve">Dados_2020 / Dados_2010</t>
  </si>
  <si>
    <t xml:space="preserve">Vetores da MIP e coeficientes diretos (fórmulas)</t>
  </si>
  <si>
    <t xml:space="preserve">A, B, G, B2</t>
  </si>
  <si>
    <t xml:space="preserve">Coeficientes técnicos, inversa de Leontief, inversa de Ghosh e modelo fechado (valores documentados — base das fórmulas)</t>
  </si>
  <si>
    <t xml:space="preserve">Legenda de células</t>
  </si>
  <si>
    <t xml:space="preserve">célula</t>
  </si>
  <si>
    <t xml:space="preserve">Amarelo-pastel, texto azul — entrada editável (choques, IPCA): a pasta recalcula</t>
  </si>
  <si>
    <t xml:space="preserve">Cinza-quente — parâmetros lidos da MIP (aba 12)</t>
  </si>
  <si>
    <t xml:space="preserve">Verde-pastel — linhas-síntese e totais</t>
  </si>
  <si>
    <t xml:space="preserve">Sem preenchimento — fórmula viva sobre as abas de dados/matrizes</t>
  </si>
  <si>
    <t xml:space="preserve">Notas metodológicas e premissas</t>
  </si>
  <si>
    <t xml:space="preserve">Todas as hipóteses assumidas na resolução estão listadas aqui; as fórmulas citadas seguem Miller &amp; Blair (2009).</t>
  </si>
  <si>
    <t xml:space="preserve">1. Modelo aberto: A = Z·x̂⁻¹ sobre os fluxos NACIONAIS (aba 12 da MIP-BR); B = (I−A)⁻¹ (Leontief); Ghosh: G = (I−x̂⁻¹Z)⁻¹. As matrizes B, G e B2 estão coladas como VALORES (inversão 68×68 feita externamente em NumPy — conferível por MINVERSE; a matriz A reproduz a aba 13 do arquivo-fonte com desvio &lt; 1e-15); todas as demais células derivam delas por fórmula e recalculam.</t>
  </si>
  <si>
    <t xml:space="preserve">2. Tipo II: modelo fechado para as famílias na CONVENÇÃO DA PLANILHA DO PROFESSOR (abas 20/22/23 da MIP) — a renda das famílias é o VALOR ADICIONADO BRUTO: linha adicional = VA por unidade de produção (v_va); coluna adicional = consumo das famílias por unidade da massa de VA. Reproduz a aba 23 (mult. tipo II) e a aba 22 (geradores tipo II) com desvio &lt; 1e-14. O fechamento por remunerações (renda do trabalho apenas), usado no artigo do ES em pesquisa/17, é uma alternativa mais estreita.</t>
  </si>
  <si>
    <t xml:space="preserve">3. Multiplicador de emprego em OCUPAÇÕES por R$ 1 milhão de demanda final; renda e VA em R$ por R$ de demanda final.</t>
  </si>
  <si>
    <t xml:space="preserve">4. Q2: choque de R$ 10 bi = 10.000 (R$ milhões). Cenário (a): tudo na linha de exportações do setor Agricultura. Cenário (b): distribuído pela estrutura observada da coluna FBCF (produtos nacionais). Premissa: o choque recai sobre produtos nacionais nos dois cenários (célula de entrada editável).</t>
  </si>
  <si>
    <t xml:space="preserve">5. Q3 (UPCF): o incremento de R$ 120 bi é repartido pela cesta observada do consumo das famílias a preço de CONSUMIDOR — nacional a preço básico + importados + impostos + margens (linhas Importação/Impostos/Margens × coluna Famílias da aba 12; a soma reproduz exatamente o consumo total). Margens são demanda por serviços de comércio e transporte e voltam ao vetor de choque nesses setores (rateio pelo VBP do grupo); impostos não geram produção; a parcela importada é importação DIRETA; a produção induzida gera importação INDUZIDA via m = importação intermediária/x. Emprego pelo modelo aberto (o choque JÁ é o consumo induzido).</t>
  </si>
  <si>
    <t xml:space="preserve">6. Q4: índices de Rasmussen-Hirschman na convenção da aba 14 da MIP — AMBOS pela inversa de Leontief, normalizados pela média geral: para trás = soma de coluna de B (poder de dispersão); para frente = soma de linha de B (sensibilidade da dispersão); setor-chave: ambos &gt; 1. Reproduz a aba 14 com desvio &lt; 1e-14. A inversa de Ghosh (abas G_2010/G_2020) é uma medida alternativa de sensibilidade da oferta.</t>
  </si>
  <si>
    <t xml:space="preserve">7. Q5: campo de influência (Sonis &amp; Hewings) com ε = 0.001; S(i,j) = Σ dos quadrados de F = [B(ε)−B]/ε para perturbação unitária em a(i,j). Cálculo fechado por Sherman-Morrison — numericamente idêntico ao laço do material de apoio em R (Vale &amp; Perobelli). Matriz S colada como valor; agregações por fórmula.</t>
  </si>
  <si>
    <t xml:space="preserve">8. Q6: extração hipotética TOTAL (zera linha e coluna do setor em A e sua demanda final); perda medida contra o baseline modelado x = B·y.</t>
  </si>
  <si>
    <t xml:space="preserve">9. Q7: SDA bipolar média (Dietzenbacher &amp; Los): Δx = ½ΔB·(y0*+y1) + ½(B0+B1)·Δy, com y0* = y(2010)·fator IPCA. O deflator único (IPCA acumulado dez/2010→dez/2020, células editáveis na aba Q7) não altera A nem B de 2010 — coeficientes são razões —, agindo apenas sobre os níveis. Limitação declarada: o ideal seriam deflatores setoriais (duplo deflacionamento); o enunciado pede IPCA.</t>
  </si>
  <si>
    <t xml:space="preserve">10. Unidades: R$ milhões correntes do ano de cada matriz (Q7 em preços de 2020).</t>
  </si>
  <si>
    <t xml:space="preserve">Proveniência 2020: {'aba': '12', 'linhas_setores': (7, 74), 'col_nomes': 3, 'cols_Z': (5, 72), 'df_encontrada': ['estoque', 'exportacao', 'familias', 'fbcf', 'governo', 'isflsf'], 'linhas_encontradas': ['importacao', 'impostos', 'marg_com', 'marg_transp', 'margens', 'ocup', 'rem', 'salarios', 'va', 'vp']}</t>
  </si>
  <si>
    <t xml:space="preserve">Proveniência 2010: {'aba': '12', 'linhas_setores': (7, 74), 'col_nomes': 3, 'cols_Z': (5, 72), 'df_encontrada': ['estoque', 'exportacao', 'familias', 'fbcf', 'governo', 'isflsf'], 'linhas_encontradas': ['importacao', 'impostos', 'marg_com', 'marg_transp', 'margens', 'ocup', 'rem', 'salarios', 'va', 'vp']}</t>
  </si>
  <si>
    <t xml:space="preserve">Arquivo 2020: dados/MIP-BR 2020 (Nível 68).xlsm</t>
  </si>
  <si>
    <t xml:space="preserve">Arquivo 2010: dados/MIP-BR 2010 (Nível 68).xlsm</t>
  </si>
  <si>
    <t xml:space="preserve">Classificação setorial</t>
  </si>
  <si>
    <t xml:space="preserve">Nível 68 (NEREUS/CECEG) — comum às matrizes de 2010 e 2020.</t>
  </si>
  <si>
    <t xml:space="preserve">Código</t>
  </si>
  <si>
    <t xml:space="preserve">Atividades</t>
  </si>
  <si>
    <t xml:space="preserve">nº</t>
  </si>
  <si>
    <t xml:space="preserve">0191</t>
  </si>
  <si>
    <t xml:space="preserve">Agricultura, inclusive o apoio à agricultura e a pós-colheita</t>
  </si>
  <si>
    <t xml:space="preserve">0192</t>
  </si>
  <si>
    <t xml:space="preserve">Pecuária, inclusive o apoio à pecuária</t>
  </si>
  <si>
    <t xml:space="preserve">0280</t>
  </si>
  <si>
    <t xml:space="preserve">Produção florestal; pesca e aquicultura</t>
  </si>
  <si>
    <t xml:space="preserve">0580</t>
  </si>
  <si>
    <t xml:space="preserve">Extração de carvão mineral e de minerais não-metálicos</t>
  </si>
  <si>
    <t xml:space="preserve">0680</t>
  </si>
  <si>
    <t xml:space="preserve">Extração de petróleo e gás, inclusive as atividades de apoio</t>
  </si>
  <si>
    <t xml:space="preserve">0791</t>
  </si>
  <si>
    <t xml:space="preserve">Extração de minério de ferro, inclusive beneficiamentos e a aglomeração</t>
  </si>
  <si>
    <t xml:space="preserve">0792</t>
  </si>
  <si>
    <t xml:space="preserve">Extração de minerais metálicos não-ferrosos, inclusive beneficiamentos</t>
  </si>
  <si>
    <t xml:space="preserve">1091</t>
  </si>
  <si>
    <t xml:space="preserve">Abate e produtos de carne, inclusive os produtos do laticínio e da pesca</t>
  </si>
  <si>
    <t xml:space="preserve">1092</t>
  </si>
  <si>
    <t xml:space="preserve">Fabricação e refino de açúcar</t>
  </si>
  <si>
    <t xml:space="preserve">1093</t>
  </si>
  <si>
    <t xml:space="preserve">Outros produtos alimentares</t>
  </si>
  <si>
    <t xml:space="preserve">1100</t>
  </si>
  <si>
    <t xml:space="preserve">Fabricação de bebidas</t>
  </si>
  <si>
    <t xml:space="preserve">1200</t>
  </si>
  <si>
    <t xml:space="preserve">Fabricação de produtos do fumo</t>
  </si>
  <si>
    <t xml:space="preserve">1300</t>
  </si>
  <si>
    <t xml:space="preserve">Fabricação de produtos têxteis</t>
  </si>
  <si>
    <t xml:space="preserve">1400</t>
  </si>
  <si>
    <t xml:space="preserve">Confecção de artefatos do vestuário e acessórios</t>
  </si>
  <si>
    <t xml:space="preserve">1500</t>
  </si>
  <si>
    <t xml:space="preserve">Fabricação de calçados e de artefatos de couro</t>
  </si>
  <si>
    <t xml:space="preserve">1600</t>
  </si>
  <si>
    <t xml:space="preserve">Fabricação de produtos da madeira</t>
  </si>
  <si>
    <t xml:space="preserve">1700</t>
  </si>
  <si>
    <t xml:space="preserve">Fabricação de celulose, papel e produtos de papel</t>
  </si>
  <si>
    <t xml:space="preserve">1800</t>
  </si>
  <si>
    <t xml:space="preserve">Impressão e reprodução de gravações</t>
  </si>
  <si>
    <t xml:space="preserve">1991</t>
  </si>
  <si>
    <t xml:space="preserve">Refino de petróleo e coquerias</t>
  </si>
  <si>
    <t xml:space="preserve">1992</t>
  </si>
  <si>
    <t xml:space="preserve">Fabricação de biocombustíveis</t>
  </si>
  <si>
    <t xml:space="preserve">2091</t>
  </si>
  <si>
    <t xml:space="preserve">Fabricação de químicos orgânicos e inorgânicos, resinas e elastômeros</t>
  </si>
  <si>
    <t xml:space="preserve">2092</t>
  </si>
  <si>
    <t xml:space="preserve">Fabricação de defensivos, desinfestantes, tintas e químicos diversos</t>
  </si>
  <si>
    <t xml:space="preserve">2093</t>
  </si>
  <si>
    <t xml:space="preserve">Fabricação de produtos de limpeza, cosméticos/perfumaria e higiene pessoal</t>
  </si>
  <si>
    <t xml:space="preserve">2100</t>
  </si>
  <si>
    <t xml:space="preserve">Fabricação de produtos farmoquímicos e farmacêuticos</t>
  </si>
  <si>
    <t xml:space="preserve">2200</t>
  </si>
  <si>
    <t xml:space="preserve">Fabricação de produtos de borracha e de material plástico</t>
  </si>
  <si>
    <t xml:space="preserve">2300</t>
  </si>
  <si>
    <t xml:space="preserve">Fabricação de produtos de minerais não-metálicos</t>
  </si>
  <si>
    <t xml:space="preserve">2491</t>
  </si>
  <si>
    <t xml:space="preserve">Produção de ferro-gusa/ferroligas, siderurgia e tubos de aço sem costura</t>
  </si>
  <si>
    <t xml:space="preserve">2492</t>
  </si>
  <si>
    <t xml:space="preserve">Metalurgia de metais não-ferrosos e a fundição de metais</t>
  </si>
  <si>
    <t xml:space="preserve">2500</t>
  </si>
  <si>
    <t xml:space="preserve">Fabricação de produtos de metal, exceto máquinas e equipamentos</t>
  </si>
  <si>
    <t xml:space="preserve">2600</t>
  </si>
  <si>
    <t xml:space="preserve">Fabricação de equipamentos de informática, produtos eletrônicos e ópticos</t>
  </si>
  <si>
    <t xml:space="preserve">2700</t>
  </si>
  <si>
    <t xml:space="preserve">Fabricação de máquinas e equipamentos elétricos</t>
  </si>
  <si>
    <t xml:space="preserve">2800</t>
  </si>
  <si>
    <t xml:space="preserve">Fabricação de máquinas e equipamentos mecânicos</t>
  </si>
  <si>
    <t xml:space="preserve">2991</t>
  </si>
  <si>
    <t xml:space="preserve">Fabricação de automóveis, caminhões e ônibus, exceto peças</t>
  </si>
  <si>
    <t xml:space="preserve">2992</t>
  </si>
  <si>
    <t xml:space="preserve">Fabricação de peças e acessórios para veículos automotores</t>
  </si>
  <si>
    <t xml:space="preserve">3000</t>
  </si>
  <si>
    <t xml:space="preserve">Fabricação de outros equipamentos de transporte, exceto veículos automotores</t>
  </si>
  <si>
    <t xml:space="preserve">3180</t>
  </si>
  <si>
    <t xml:space="preserve">Fabricação de móveis e de produtos de indústrias diversas</t>
  </si>
  <si>
    <t xml:space="preserve">3300</t>
  </si>
  <si>
    <t xml:space="preserve">Manutenção, reparação e instalação de máquinas e equipamentos</t>
  </si>
  <si>
    <t xml:space="preserve">3500</t>
  </si>
  <si>
    <t xml:space="preserve">Energia elétrica, gás natural e outras utilidades</t>
  </si>
  <si>
    <t xml:space="preserve">3680</t>
  </si>
  <si>
    <t xml:space="preserve">Água, esgoto e gestão de resíduos</t>
  </si>
  <si>
    <t xml:space="preserve">4180</t>
  </si>
  <si>
    <t xml:space="preserve">Construção</t>
  </si>
  <si>
    <t xml:space="preserve">4500</t>
  </si>
  <si>
    <t xml:space="preserve">Comércio e reparação de veículos automotores e motocicletas</t>
  </si>
  <si>
    <t xml:space="preserve">4680</t>
  </si>
  <si>
    <t xml:space="preserve">Comércio por atacado e a varejo, exceto veículos automotores</t>
  </si>
  <si>
    <t xml:space="preserve">4900</t>
  </si>
  <si>
    <t xml:space="preserve">Transporte terrestre</t>
  </si>
  <si>
    <t xml:space="preserve">5000</t>
  </si>
  <si>
    <t xml:space="preserve">Transporte aquaviário</t>
  </si>
  <si>
    <t xml:space="preserve">5100</t>
  </si>
  <si>
    <t xml:space="preserve">Transporte aéreo</t>
  </si>
  <si>
    <t xml:space="preserve">5280</t>
  </si>
  <si>
    <t xml:space="preserve">Armazenamento, atividades auxiliares dos transportes e correio</t>
  </si>
  <si>
    <t xml:space="preserve">5500</t>
  </si>
  <si>
    <t xml:space="preserve">Alojamento</t>
  </si>
  <si>
    <t xml:space="preserve">5600</t>
  </si>
  <si>
    <t xml:space="preserve">Alimentação</t>
  </si>
  <si>
    <t xml:space="preserve">5800</t>
  </si>
  <si>
    <t xml:space="preserve">Edição e edição integrada à impressão</t>
  </si>
  <si>
    <t xml:space="preserve">5980</t>
  </si>
  <si>
    <t xml:space="preserve">Atividades de televisão, rádio, cinema e  gravação/edição de som e imagem</t>
  </si>
  <si>
    <t xml:space="preserve">6100</t>
  </si>
  <si>
    <t xml:space="preserve">Telecomunicações</t>
  </si>
  <si>
    <t xml:space="preserve">6280</t>
  </si>
  <si>
    <t xml:space="preserve">Desenvolvimento de sistemas e outros serviços de informação</t>
  </si>
  <si>
    <t xml:space="preserve">6480</t>
  </si>
  <si>
    <t xml:space="preserve">Intermediação financeira, seguros e previdência complementar</t>
  </si>
  <si>
    <t xml:space="preserve">6800</t>
  </si>
  <si>
    <t xml:space="preserve">Atividades imobiliárias</t>
  </si>
  <si>
    <t xml:space="preserve">6980</t>
  </si>
  <si>
    <t xml:space="preserve">Atividades jurídicas, contábeis, consultoria e sedes de empresas</t>
  </si>
  <si>
    <t xml:space="preserve">7180</t>
  </si>
  <si>
    <t xml:space="preserve">Serviços de arquitetura, engenharia, testes/análises técnicas e P &amp; D</t>
  </si>
  <si>
    <t xml:space="preserve">7380</t>
  </si>
  <si>
    <t xml:space="preserve">Outras atividades profissionais, científicas e técnicas</t>
  </si>
  <si>
    <t xml:space="preserve">7700</t>
  </si>
  <si>
    <t xml:space="preserve">Aluguéis não-imobiliários e gestão de ativos de propriedade intelectual</t>
  </si>
  <si>
    <t xml:space="preserve">7880</t>
  </si>
  <si>
    <t xml:space="preserve">Outras atividades administrativas e serviços complementares</t>
  </si>
  <si>
    <t xml:space="preserve">8000</t>
  </si>
  <si>
    <t xml:space="preserve">Atividades de vigilância, segurança e investigação</t>
  </si>
  <si>
    <t xml:space="preserve">8400</t>
  </si>
  <si>
    <t xml:space="preserve">Administração pública, defesa e seguridade social</t>
  </si>
  <si>
    <t xml:space="preserve">8591</t>
  </si>
  <si>
    <t xml:space="preserve">Educação pública</t>
  </si>
  <si>
    <t xml:space="preserve">8592</t>
  </si>
  <si>
    <t xml:space="preserve">Educação privada</t>
  </si>
  <si>
    <t xml:space="preserve">8691</t>
  </si>
  <si>
    <t xml:space="preserve">Saúde pública</t>
  </si>
  <si>
    <t xml:space="preserve">8692</t>
  </si>
  <si>
    <t xml:space="preserve">Saúde privada</t>
  </si>
  <si>
    <t xml:space="preserve">9080</t>
  </si>
  <si>
    <t xml:space="preserve">Atividades artísticas, criativas e de espetáculos</t>
  </si>
  <si>
    <t xml:space="preserve">9480</t>
  </si>
  <si>
    <t xml:space="preserve">Organizações associativas e outros serviços pessoais</t>
  </si>
  <si>
    <t xml:space="preserve">9700</t>
  </si>
  <si>
    <t xml:space="preserve">Serviços domésticos</t>
  </si>
  <si>
    <t xml:space="preserve">Dados — MIP Brasil 2020</t>
  </si>
  <si>
    <t xml:space="preserve">Valores correntes em R$ milhões; ocupações em pessoas. Vetores extraídos da aba 12 da MIP-BR (Nível 68), NEREUS/CECEG; coeficientes por unidade de produção calculados por fórmula nas colunas Q a T.</t>
  </si>
  <si>
    <t xml:space="preserve">VBP (x)</t>
  </si>
  <si>
    <t xml:space="preserve">Remunerações</t>
  </si>
  <si>
    <t xml:space="preserve">VA (PIB)</t>
  </si>
  <si>
    <t xml:space="preserve">Ocupações</t>
  </si>
  <si>
    <t xml:space="preserve">Importação intermediária</t>
  </si>
  <si>
    <t xml:space="preserve">Exportações</t>
  </si>
  <si>
    <t xml:space="preserve">Governo</t>
  </si>
  <si>
    <t xml:space="preserve">ISFLSF</t>
  </si>
  <si>
    <t xml:space="preserve">Consumo das famílias (nac.)</t>
  </si>
  <si>
    <t xml:space="preserve">FBCF</t>
  </si>
  <si>
    <t xml:space="preserve">Variação de estoques</t>
  </si>
  <si>
    <t xml:space="preserve">Demanda final total</t>
  </si>
  <si>
    <t xml:space="preserve">w = ocup/x</t>
  </si>
  <si>
    <t xml:space="preserve">v renda = rem/x</t>
  </si>
  <si>
    <t xml:space="preserve">v VA = VA/x</t>
  </si>
  <si>
    <t xml:space="preserve">m = imp/x</t>
  </si>
  <si>
    <t xml:space="preserve">TOTAL</t>
  </si>
  <si>
    <t xml:space="preserve">Dados — MIP Brasil 2010</t>
  </si>
  <si>
    <t xml:space="preserve">Matriz A — coeficientes técnicos nacionais (2020)</t>
  </si>
  <si>
    <t xml:space="preserve">a(i,j) = Z(i,j)/x(j); reproduz a aba 13 do arquivo-fonte (desvio &lt; 1e-15).</t>
  </si>
  <si>
    <t xml:space="preserve">Matriz B — inversa de Leontief (2020)</t>
  </si>
  <si>
    <t xml:space="preserve">B = (I−A)⁻¹, colada como VALOR (inversão externa NumPy; confira com MINVERSE). Base das fórmulas das questões.</t>
  </si>
  <si>
    <t xml:space="preserve">Matriz G — inversa de Ghosh (2020)</t>
  </si>
  <si>
    <t xml:space="preserve">G = (I−x̂⁻¹Z)⁻¹, colada como VALOR; usada na ligação para frente (Q4).</t>
  </si>
  <si>
    <t xml:space="preserve">Matriz B2 — modelo fechado para as famílias (2020)</t>
  </si>
  <si>
    <t xml:space="preserve">Inversa do sistema com famílias endógenas (tipo II, fechamento por VALOR ADICIONADO — convenção das abas 20/22/23 da MIP); última linha/coluna = famílias.</t>
  </si>
  <si>
    <t xml:space="preserve">FAM</t>
  </si>
  <si>
    <t xml:space="preserve">Famílias (VA ↔ consumo)</t>
  </si>
  <si>
    <t xml:space="preserve">Matriz A — coeficientes técnicos nacionais (2010)</t>
  </si>
  <si>
    <t xml:space="preserve">Matriz B — inversa de Leontief (2010)</t>
  </si>
  <si>
    <t xml:space="preserve">B = (I−A)⁻¹, colada como VALOR; usada em Q4 e Q7.</t>
  </si>
  <si>
    <t xml:space="preserve">Matriz G — inversa de Ghosh (2010)</t>
  </si>
  <si>
    <t xml:space="preserve">Questão 1 — Multiplicadores (2020), tipos I e II</t>
  </si>
  <si>
    <t xml:space="preserve">Multiplicadores de produção, emprego, renda e valor adicionado para todos os setores. Tipo I: modelo aberto (B_2020). Tipo II: modelo fechado para as famílias (B2_2020). Emprego em ocupações por R$ 1 milhão; renda e VA em R$ por R$ 1,00 de demanda final.</t>
  </si>
  <si>
    <t xml:space="preserve">Síntese</t>
  </si>
  <si>
    <t xml:space="preserve">•  Produção: média 2.061 (tipo I) e 3.979 (tipo II). Maior geração de EMPREGO (II): Serviços domésticos (109.1 ocup./R$ mi); de RENDA (II): Serviços domésticos (R$ 1.395/R$ 1,00).</t>
  </si>
  <si>
    <t xml:space="preserve">•  Rankings completos de emprego e renda abaixo da tabela principal.</t>
  </si>
  <si>
    <t xml:space="preserve">Produção I</t>
  </si>
  <si>
    <t xml:space="preserve">Produção II</t>
  </si>
  <si>
    <t xml:space="preserve">Emprego I (ocup/R$ mi)</t>
  </si>
  <si>
    <t xml:space="preserve">Emprego II (ocup/R$ mi)</t>
  </si>
  <si>
    <t xml:space="preserve">Renda I</t>
  </si>
  <si>
    <t xml:space="preserve">Renda II</t>
  </si>
  <si>
    <t xml:space="preserve">VA I</t>
  </si>
  <si>
    <t xml:space="preserve">VA II</t>
  </si>
  <si>
    <t xml:space="preserve">Rank emprego II</t>
  </si>
  <si>
    <t xml:space="preserve">Rank renda II</t>
  </si>
  <si>
    <t xml:space="preserve">Ranking — geração de emprego (tipo II)</t>
  </si>
  <si>
    <t xml:space="preserve">#</t>
  </si>
  <si>
    <t xml:space="preserve">Multiplicador</t>
  </si>
  <si>
    <t xml:space="preserve">Ranking — geração de renda (tipo II)</t>
  </si>
  <si>
    <t xml:space="preserve">Leitura dos resultados</t>
  </si>
  <si>
    <t xml:space="preserve">•  O efeito induzido pelo consumo das famílias amplia o encadeamento médio em 93.0% (tipo II vs tipo I).</t>
  </si>
  <si>
    <t xml:space="preserve">•  Emprego (tipo II): Serviços domésticos, Confecção de artefatos do vestuário e acessórios e Abate e produtos de carne, inclusive os produtos do laticínio e da pesca lideram — setores trabalho-intensivos.</t>
  </si>
  <si>
    <t xml:space="preserve">•  Renda (tipo II): Serviços domésticos, Educação pública e Edição e edição integrada à impressão lideram.</t>
  </si>
  <si>
    <t xml:space="preserve">Questão 2 — Choques de R$ 10 bilhões (2020)</t>
  </si>
  <si>
    <t xml:space="preserve">Δx = B·Δy. Cenário (a): +R$ 10 bi nas exportações da Agricultura. Cenário (b): +R$ 10 bi na formação bruta de capital fixo, distribuídos pela estrutura observada da coluna de investimento da MIP.</t>
  </si>
  <si>
    <t xml:space="preserve">•  Produção: (a) ΔX = R$ 17,071 mi × (b) ΔX = R$ 20,372 mi → maior impacto no cenário (b). VAB: (a) R$ 8,009 mi × (b) R$ 8,343 mi → cenário (b).</t>
  </si>
  <si>
    <t xml:space="preserve">Choque (R$ milhões) — célula editável</t>
  </si>
  <si>
    <t xml:space="preserve">cenário (a) aplica o choque em: Agricultura, inclusive o apoio à agricultura e a pós-colheita</t>
  </si>
  <si>
    <t xml:space="preserve">Δx (a)</t>
  </si>
  <si>
    <t xml:space="preserve">ΔVA (a)</t>
  </si>
  <si>
    <t xml:space="preserve">Δocup (a)</t>
  </si>
  <si>
    <t xml:space="preserve">Δx (b)</t>
  </si>
  <si>
    <t xml:space="preserve">ΔVA (b)</t>
  </si>
  <si>
    <t xml:space="preserve">Δocup (b)</t>
  </si>
  <si>
    <t xml:space="preserve">•  Emprego (memo): (a) 145,644 ocupações; (b) 145,580.</t>
  </si>
  <si>
    <t xml:space="preserve">•  O crescimento puxado pelo agronegócio concentra o impulso numa cadeia curta e intensiva em recursos naturais — multiplica menos VA por real de choque quando a cadeia é pouco adensada e vaza para importações de insumos.</t>
  </si>
  <si>
    <t xml:space="preserve">•  A formação de capital espalha a demanda por máquinas, construção e serviços técnicos, eleva a capacidade produtiva FUTURA (efeito não capturado pelo modelo estático) e tende a gerar mais empregos urbanos.</t>
  </si>
  <si>
    <t xml:space="preserve">•  A comparação numérica diz qual efeito de CURTO PRAZO domina; a escolha de modelo de desenvolvimento envolve também a dinâmica de longo prazo.</t>
  </si>
  <si>
    <t xml:space="preserve">•  Vetores auxiliares Δy abaixo (referenciados pelas fórmulas da tabela).</t>
  </si>
  <si>
    <t xml:space="preserve">Δy do cenário (a) — vetor auxiliar (colunas E em diante)</t>
  </si>
  <si>
    <t xml:space="preserve">Δy do cenário (b) — vetor auxiliar</t>
  </si>
  <si>
    <t xml:space="preserve">Questão 3 — Reajuste do salário mínimo: +R$ 120 bi de consumo (2020)</t>
  </si>
  <si>
    <t xml:space="preserve">Choque repartido pela UPCF — a cesta observada do consumo das famílias a preço de consumidor: produtos nacionais + importados + impostos + margens (aba 12 da MIP, coluna Famílias). Margens voltam como demanda de comércio/transporte; impostos não geram produção.</t>
  </si>
  <si>
    <t xml:space="preserve">•  IMPORTAÇÕES: R$ 5,810 mi diretas + R$ 9,785 mi induzidas = R$ 15,595 mi (13.0% do choque).</t>
  </si>
  <si>
    <t xml:space="preserve">•  EMPREGO: 1,580,699 ocupações geradas (ΔX = R$ 198,946 mi) — ≈ 13,172 ocupações por R$ 1 bi de reajuste.</t>
  </si>
  <si>
    <t xml:space="preserve">Parâmetros da UPCF (R$ mi; aba 12 × coluna Famílias)</t>
  </si>
  <si>
    <t xml:space="preserve">Choque (editável)</t>
  </si>
  <si>
    <t xml:space="preserve">Cesta importada</t>
  </si>
  <si>
    <t xml:space="preserve">Impostos na cesta</t>
  </si>
  <si>
    <t xml:space="preserve">Margens de comércio</t>
  </si>
  <si>
    <t xml:space="preserve">Margens de transporte</t>
  </si>
  <si>
    <t xml:space="preserve">Cesta total (denom.)</t>
  </si>
  <si>
    <t xml:space="preserve">Δ demanda (UPCF)</t>
  </si>
  <si>
    <t xml:space="preserve">Δx induzido</t>
  </si>
  <si>
    <t xml:space="preserve">Δ importação induzida</t>
  </si>
  <si>
    <t xml:space="preserve">Δ ocupações</t>
  </si>
  <si>
    <t xml:space="preserve">Síntese dos impactos</t>
  </si>
  <si>
    <t xml:space="preserve">Importação direta (cesta importada da UPCF)</t>
  </si>
  <si>
    <t xml:space="preserve">Importação induzida (insumos da produção)</t>
  </si>
  <si>
    <t xml:space="preserve">IMPORTAÇÕES — TOTAL</t>
  </si>
  <si>
    <t xml:space="preserve">Impostos sobre produtos (vazamento fiscal, memo)</t>
  </si>
  <si>
    <t xml:space="preserve">Ocupações geradas — TOTAL</t>
  </si>
  <si>
    <t xml:space="preserve">•  Composição da cesta (UPCF): 75.7% produtos nacionais a preço básico; 4.8% importados; 8.9% impostos; 10.5% margens de comércio/transporte (realocadas como demanda desses serviços).</t>
  </si>
  <si>
    <t xml:space="preserve">•  Parte relevante do estímulo vaza para o exterior (cesta importada + insumos importados da produção induzida) e para impostos.</t>
  </si>
  <si>
    <t xml:space="preserve">•  O efeito-emprego concentra-se nos setores que atendem diretamente a UPCF — ver a coluna Δ ocupações da tabela.</t>
  </si>
  <si>
    <t xml:space="preserve">•  Vetor auxiliar Δy da UPCF abaixo (referenciado pelas fórmulas da tabela).</t>
  </si>
  <si>
    <t xml:space="preserve">Δy da UPCF (nacional + margens realocadas) — vetor auxiliar</t>
  </si>
  <si>
    <t xml:space="preserve">Questão 4 — Rasmussen-Hirschman e setores-chave: 2010 × 2020</t>
  </si>
  <si>
    <t xml:space="preserve">Convenção da aba 14 da MIP: ambos os índices pela inversa de Leontief, normalizados pela média geral. Para trás (poder de dispersão) = soma de COLUNA de B; para frente (sensibilidade) = soma de LINHA de B. Setor-chave: ambos &gt; 1.</t>
  </si>
  <si>
    <t xml:space="preserve">•  Setores-chave: 11 em 2010 → 9 em 2020 (critério estrito: U trás &gt; 1 e U frente &gt; 1).</t>
  </si>
  <si>
    <t xml:space="preserve">•  Nenhum setor entrou. Saíram: Atividades de televisão, rádio, cinema e  gravação/edição de som e imagem; Telecomunicações.</t>
  </si>
  <si>
    <t xml:space="preserve">U trás 2010</t>
  </si>
  <si>
    <t xml:space="preserve">U frente 2010</t>
  </si>
  <si>
    <t xml:space="preserve">Chave 2010</t>
  </si>
  <si>
    <t xml:space="preserve">U trás 2020</t>
  </si>
  <si>
    <t xml:space="preserve">U frente 2020</t>
  </si>
  <si>
    <t xml:space="preserve">Chave 2020</t>
  </si>
  <si>
    <t xml:space="preserve">Δ trás</t>
  </si>
  <si>
    <t xml:space="preserve">Δ frente</t>
  </si>
  <si>
    <t xml:space="preserve">Mudança</t>
  </si>
  <si>
    <t xml:space="preserve">•  As colunas Δ mostram onde o encadeamento para trás e para frente mudou na década — leia em conjunto com a Q7 (SDA): quedas difusas de ligação para trás indicam substituição de insumos domésticos (por importados ou por serviços); ganhos concentrados sinalizam adensamento de cadeia.</t>
  </si>
  <si>
    <t xml:space="preserve">•  Convenção: seguimos a aba 14 da MIP (ambos os índices pela inversa de Leontief). A inversa de Ghosh (abas G_2010/G_2020) oferece uma medida alternativa de sensibilidade da oferta para frente; sob ela o conjunto de setores-chave é mais amplo. Para casar com o gabarito da planilha, a classificação-chave usa Leontief.</t>
  </si>
  <si>
    <t xml:space="preserve">Questão 5 — Campos de influência dos setores (Brasil, 2010)</t>
  </si>
  <si>
    <t xml:space="preserve">Sonis &amp; Hewings; ε = 0.001. S(i,j) mede quanto uma variação no coeficiente a(i,j) se propaga pela economia (Σ dos quadrados de [B(ε)−B]/ε). Equivalente exato do laço em R do material de apoio (Vale &amp; Perobelli), via Sherman-Morrison. Matriz S como VALOR; médias e destaques por fórmula.</t>
  </si>
  <si>
    <t xml:space="preserve">•  Elo de maior campo de influência: a(Refino de petróleo e coquerias → Comércio por atacado e a varejo, exceto veículos automotores), S = 11.4.</t>
  </si>
  <si>
    <t xml:space="preserve">•  Vendedores estratégicos (linhas): Refino de petróleo e coquerias; Fabricação de celulose, papel e produtos de papel; Energia elétrica, gás natural e outras utilidades. Compradores estratégicos (colunas): Comércio por atacado e a varejo, exceto veículos automotores; Refino de petróleo e coquerias; Energia elétrica, gás natural e outras utilidades.</t>
  </si>
  <si>
    <t xml:space="preserve">Vendedor (i)</t>
  </si>
  <si>
    <t xml:space="preserve">Comprador (j)</t>
  </si>
  <si>
    <t xml:space="preserve">S(i,j)</t>
  </si>
  <si>
    <t xml:space="preserve">•  Elos com S alto são os pontos onde mudanças tecnológicas (variações de coeficiente) mais alteram a inversa de Leontief — candidatos naturais a política industrial.</t>
  </si>
  <si>
    <t xml:space="preserve">•  Coincidem majoritariamente com os setores-chave da Q4.</t>
  </si>
  <si>
    <t xml:space="preserve">•  Matriz S completa abaixo (68×68), com médias por linha e por coluna.</t>
  </si>
  <si>
    <t xml:space="preserve">Matriz S — linhas = vendedor (i), colunas = comprador (j)</t>
  </si>
  <si>
    <t xml:space="preserve">média linha</t>
  </si>
  <si>
    <t xml:space="preserve">média coluna</t>
  </si>
  <si>
    <t xml:space="preserve">Questão 6 — Extração hipotética total (2020)</t>
  </si>
  <si>
    <t xml:space="preserve">Setor extraído: Extração de petróleo e gás, inclusive as atividades de apoio. Zera-se a linha e a coluna do setor em A e sua demanda final; a perda é a diferença entre a produção do sistema completo (x = B·y) e a do sistema reduzido. Coluna 'x reduzido' colada como VALOR (nova inversão); demais colunas por fórmula.</t>
  </si>
  <si>
    <t xml:space="preserve">•  Perda agregada: R$ 436,718 mi (3.28% da produção); VA: R$ 175,981 mi; ocupações: 1,131,244.</t>
  </si>
  <si>
    <t xml:space="preserve">•  Mais paralisados (excluído o próprio): Transporte aquaviário (28.1%); Aluguéis não-imobiliários e gestão de ativos de propriedade intelectual (14.6%); Produção de ferro-gusa/ferroligas, siderurgia e tubos de aço sem costura (12.3%).</t>
  </si>
  <si>
    <t xml:space="preserve">x baseline (B·y)</t>
  </si>
  <si>
    <t xml:space="preserve">x reduzido (valor)</t>
  </si>
  <si>
    <t xml:space="preserve">Perda</t>
  </si>
  <si>
    <t xml:space="preserve">Perda (% do setor)</t>
  </si>
  <si>
    <t xml:space="preserve">•  A extração mede a dependência estrutural da economia em relação ao setor — compare com a Q4: setores-chave tendem a paralisar mais cadeias quando extraídos.</t>
  </si>
  <si>
    <t xml:space="preserve">•  A linha destacada em laranja-pastel é o setor extraído (a perda inclui a própria produção dele).</t>
  </si>
  <si>
    <t xml:space="preserve">Questão 7 — Decomposição estrutural 2010→2020 (IPCA)</t>
  </si>
  <si>
    <t xml:space="preserve">SDA bipolar média: Δx = ½ΔB·(y0*+y1) + ½(B0+B1)·Δy, com y0* = y2010 × fator IPCA acumulado. O deflator único não altera A/B de 2010 (coeficientes são razões) — atualiza apenas os níveis.</t>
  </si>
  <si>
    <t xml:space="preserve">•  Δx total (preços de 2020): R$ 1,822,841 mi = EFEITO TECNOLOGIA (ΔB) R$ 218,545 mi (12.0%) + EFEITO DEMANDA FINAL (Δy) R$ 1,604,296 mi (88.0%). Fator IPCA: 1.7401.</t>
  </si>
  <si>
    <t xml:space="preserve">IPCA % a.a. (IBGE) — células editáveis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</si>
  <si>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</si>
  <si>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</si>
  <si>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</si>
  <si>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</si>
  <si>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</si>
  <si>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</si>
  <si>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</si>
  <si>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</si>
  <si>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</si>
  <si>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</si>
  <si>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fator acumulado</t>
  </si>
  <si>
    <t xml:space="preserve">x 2010 a preços 2020</t>
  </si>
  <si>
    <t xml:space="preserve">x 2020</t>
  </si>
  <si>
    <t xml:space="preserve">Δx</t>
  </si>
  <si>
    <t xml:space="preserve">Efeito tecnologia (ΔB)</t>
  </si>
  <si>
    <t xml:space="preserve">Efeito demanda (Δy)</t>
  </si>
  <si>
    <t xml:space="preserve">Checagem (tec+dem−Δx)</t>
  </si>
  <si>
    <t xml:space="preserve">•  Efeito-demanda dominante com efeito-tecnologia menor é o padrão de uma década de crescimento extensivo; onde o efeito-tecnologia é negativo houve desadensamento de cadeia (consistente com as mudanças de ligação da Q4).</t>
  </si>
  <si>
    <t xml:space="preserve">•  A coluna 'checagem' comprova a aditividade exata da decomposição em cada setor.</t>
  </si>
  <si>
    <t xml:space="preserve">•  Vetores auxiliares (y0*+y1 e y1−y0*) abaixo, referenciados pelas fórmulas.</t>
  </si>
  <si>
    <t xml:space="preserve">y0*+y1 — vetor auxiliar (colunas E em diante)</t>
  </si>
  <si>
    <t xml:space="preserve">y1−y0* — vetor auxiliar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</si>
</sst>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000"/>
    <numFmt numFmtId="167" formatCode="0.000000"/>
    <numFmt numFmtId="168" formatCode="#,##0"/>
    <numFmt numFmtId="169" formatCode="#,##0.0"/>
    <numFmt numFmtId="170" formatCode="0.000"/>
    <numFmt numFmtId="171" formatCode="0.00%"/>
    <numFmt numFmtId="172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00F0F"/>
      <name val="Calibri"/>
      <family val="0"/>
      <charset val="1"/>
    </font>
    <font>
      <b val="true"/>
      <sz val="10"/>
      <color rgb="FF6F6E69"/>
      <name val="Calibri"/>
      <family val="0"/>
      <charset val="1"/>
    </font>
    <font>
      <sz val="10"/>
      <color rgb="FF403E3C"/>
      <name val="Calibri"/>
      <family val="0"/>
      <charset val="1"/>
    </font>
    <font>
      <b val="true"/>
      <sz val="10"/>
      <color rgb="FF575653"/>
      <name val="Calibri"/>
      <family val="0"/>
      <charset val="1"/>
    </font>
    <font>
      <b val="true"/>
      <sz val="9"/>
      <color rgb="FF403E3C"/>
      <name val="Calibri"/>
      <family val="0"/>
      <charset val="1"/>
    </font>
    <font>
      <b val="true"/>
      <sz val="9"/>
      <color rgb="FF100F0F"/>
      <name val="Calibri"/>
      <family val="0"/>
      <charset val="1"/>
    </font>
    <font>
      <sz val="9"/>
      <color rgb="FF282726"/>
      <name val="Calibri"/>
      <family val="0"/>
      <charset val="1"/>
    </font>
    <font>
      <b val="true"/>
      <sz val="10"/>
      <color rgb="FF205EA6"/>
      <name val="Calibri"/>
      <family val="0"/>
      <charset val="1"/>
    </font>
    <font>
      <sz val="9.5"/>
      <color rgb="FF6F6E69"/>
      <name val="Calibri"/>
      <family val="0"/>
      <charset val="1"/>
    </font>
    <font>
      <b val="true"/>
      <sz val="8"/>
      <color rgb="FF403E3C"/>
      <name val="Calibri"/>
      <family val="0"/>
      <charset val="1"/>
    </font>
    <font>
      <sz val="8"/>
      <color rgb="FF282726"/>
      <name val="Calibri"/>
      <family val="0"/>
      <charset val="1"/>
    </font>
    <font>
      <b val="true"/>
      <sz val="8"/>
      <color rgb="FF100F0F"/>
      <name val="Calibri"/>
      <family val="0"/>
      <charset val="1"/>
    </font>
    <font>
      <sz val="10"/>
      <color rgb="FF100F0F"/>
      <name val="Calibri"/>
      <family val="0"/>
      <charset val="1"/>
    </font>
    <font>
      <b val="true"/>
      <sz val="10"/>
      <color rgb="FF403E3C"/>
      <name val="Calibri"/>
      <family val="0"/>
      <charset val="1"/>
    </font>
    <font>
      <i val="true"/>
      <sz val="8"/>
      <color rgb="FF87858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AD8CE"/>
        <bgColor rgb="FFE1E4C2"/>
      </patternFill>
    </fill>
    <fill>
      <patternFill patternType="solid">
        <fgColor rgb="FFF2F0E5"/>
        <bgColor rgb="FFE6E4D9"/>
      </patternFill>
    </fill>
    <fill>
      <patternFill patternType="solid">
        <fgColor rgb="FFF3E6B9"/>
        <bgColor rgb="FFF8E0C9"/>
      </patternFill>
    </fill>
    <fill>
      <patternFill patternType="solid">
        <fgColor rgb="FFE6E4D9"/>
        <bgColor rgb="FFE1E4C2"/>
      </patternFill>
    </fill>
    <fill>
      <patternFill patternType="solid">
        <fgColor rgb="FFE1E4C2"/>
        <bgColor rgb="FFE6E4D9"/>
      </patternFill>
    </fill>
    <fill>
      <patternFill patternType="solid">
        <fgColor rgb="FFF8E0C9"/>
        <bgColor rgb="FFF3E6B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rgb="FFDAD8CE"/>
      </top>
      <bottom style="thin">
        <color rgb="FF878580"/>
      </bottom>
      <diagonal/>
    </border>
    <border diagonalUp="false" diagonalDown="false">
      <left/>
      <right/>
      <top style="thin">
        <color rgb="FFDAD8CE"/>
      </top>
      <bottom style="thin">
        <color rgb="FFDAD8CE"/>
      </bottom>
      <diagonal/>
    </border>
    <border diagonalUp="false" diagonalDown="false">
      <left style="thin">
        <color rgb="FFDAD8CE"/>
      </left>
      <right style="thin">
        <color rgb="FFDAD8CE"/>
      </right>
      <top style="thin">
        <color rgb="FFDAD8CE"/>
      </top>
      <bottom style="thin">
        <color rgb="FFDAD8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4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5AC"/>
      <rgbColor rgb="FF878580"/>
      <rgbColor rgb="FF9999FF"/>
      <rgbColor rgb="FF993366"/>
      <rgbColor rgb="FFF2F0E5"/>
      <rgbColor rgb="FFDAD8CE"/>
      <rgbColor rgb="FF660066"/>
      <rgbColor rgb="FFFF8080"/>
      <rgbColor rgb="FF205EA6"/>
      <rgbColor rgb="FFC7D8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4C2"/>
      <rgbColor rgb="FFF3E6B9"/>
      <rgbColor rgb="FF99CCFF"/>
      <rgbColor rgb="FFFF99CC"/>
      <rgbColor rgb="FFCC99FF"/>
      <rgbColor rgb="FFF8E0C9"/>
      <rgbColor rgb="FF3366FF"/>
      <rgbColor rgb="FF33CCCC"/>
      <rgbColor rgb="FF99CC00"/>
      <rgbColor rgb="FFFFCC00"/>
      <rgbColor rgb="FFFF9900"/>
      <rgbColor rgb="FFFF6600"/>
      <rgbColor rgb="FF6F6E69"/>
      <rgbColor rgb="FF969696"/>
      <rgbColor rgb="FF003366"/>
      <rgbColor rgb="FF339966"/>
      <rgbColor rgb="FF100F0F"/>
      <rgbColor rgb="FF282726"/>
      <rgbColor rgb="FF993300"/>
      <rgbColor rgb="FF993366"/>
      <rgbColor rgb="FF575653"/>
      <rgbColor rgb="FF403E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30"/>
    <col collapsed="false" customWidth="true" hidden="false" outlineLevel="0" max="3" min="3" style="0" width="96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0</v>
      </c>
    </row>
    <row r="5" customFormat="false" ht="15" hidden="false" customHeight="true" outlineLevel="0" collapsed="false">
      <c r="B5" s="2" t="s">
        <v>1</v>
      </c>
      <c r="C5" s="3" t="s">
        <v>2</v>
      </c>
    </row>
    <row r="6" customFormat="false" ht="15" hidden="false" customHeight="true" outlineLevel="0" collapsed="false">
      <c r="B6" s="2" t="s">
        <v>3</v>
      </c>
      <c r="C6" s="3" t="s">
        <v>4</v>
      </c>
    </row>
    <row r="7" customFormat="false" ht="15" hidden="false" customHeight="true" outlineLevel="0" collapsed="false">
      <c r="B7" s="2" t="s">
        <v>5</v>
      </c>
      <c r="C7" s="3" t="s">
        <v>6</v>
      </c>
    </row>
    <row r="8" customFormat="false" ht="15" hidden="false" customHeight="true" outlineLevel="0" collapsed="false">
      <c r="B8" s="2" t="s">
        <v>7</v>
      </c>
      <c r="C8" s="3" t="s">
        <v>8</v>
      </c>
    </row>
    <row r="9" customFormat="false" ht="25.5" hidden="false" customHeight="true" outlineLevel="0" collapsed="false">
      <c r="B9" s="2" t="s">
        <v>9</v>
      </c>
      <c r="C9" s="3" t="s">
        <v>10</v>
      </c>
    </row>
    <row r="10" customFormat="false" ht="25.5" hidden="false" customHeight="true" outlineLevel="0" collapsed="false">
      <c r="B10" s="2" t="s">
        <v>11</v>
      </c>
      <c r="C10" s="3" t="s">
        <v>12</v>
      </c>
    </row>
    <row r="12" customFormat="false" ht="15" hidden="false" customHeight="false" outlineLevel="0" collapsed="false">
      <c r="B12" s="4" t="s">
        <v>13</v>
      </c>
    </row>
    <row r="13" customFormat="false" ht="24" hidden="false" customHeight="true" outlineLevel="0" collapsed="false">
      <c r="B13" s="5" t="s">
        <v>14</v>
      </c>
      <c r="C13" s="5" t="s">
        <v>15</v>
      </c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8" t="s">
        <v>18</v>
      </c>
      <c r="C15" s="9" t="s">
        <v>19</v>
      </c>
    </row>
    <row r="16" customFormat="false" ht="15" hidden="false" customHeight="false" outlineLevel="0" collapsed="false">
      <c r="B16" s="6" t="s">
        <v>20</v>
      </c>
      <c r="C16" s="7" t="s">
        <v>21</v>
      </c>
    </row>
    <row r="17" customFormat="false" ht="15" hidden="false" customHeight="false" outlineLevel="0" collapsed="false">
      <c r="B17" s="8" t="s">
        <v>22</v>
      </c>
      <c r="C17" s="9" t="s">
        <v>23</v>
      </c>
    </row>
    <row r="18" customFormat="false" ht="15" hidden="false" customHeight="false" outlineLevel="0" collapsed="false">
      <c r="B18" s="6" t="s">
        <v>24</v>
      </c>
      <c r="C18" s="7" t="s">
        <v>25</v>
      </c>
    </row>
    <row r="19" customFormat="false" ht="15" hidden="false" customHeight="false" outlineLevel="0" collapsed="false">
      <c r="B19" s="8" t="s">
        <v>26</v>
      </c>
      <c r="C19" s="9" t="s">
        <v>27</v>
      </c>
    </row>
    <row r="20" customFormat="false" ht="15" hidden="false" customHeight="false" outlineLevel="0" collapsed="false">
      <c r="B20" s="6" t="s">
        <v>28</v>
      </c>
      <c r="C20" s="7" t="s">
        <v>29</v>
      </c>
    </row>
    <row r="21" customFormat="false" ht="15" hidden="false" customHeight="false" outlineLevel="0" collapsed="false">
      <c r="B21" s="8" t="s">
        <v>30</v>
      </c>
      <c r="C21" s="9" t="s">
        <v>31</v>
      </c>
    </row>
    <row r="22" customFormat="false" ht="15" hidden="false" customHeight="false" outlineLevel="0" collapsed="false">
      <c r="B22" s="6" t="s">
        <v>32</v>
      </c>
      <c r="C22" s="7" t="s">
        <v>33</v>
      </c>
    </row>
    <row r="23" customFormat="false" ht="15" hidden="false" customHeight="false" outlineLevel="0" collapsed="false">
      <c r="B23" s="8" t="s">
        <v>34</v>
      </c>
      <c r="C23" s="9" t="s">
        <v>35</v>
      </c>
    </row>
    <row r="24" customFormat="false" ht="15" hidden="false" customHeight="false" outlineLevel="0" collapsed="false">
      <c r="B24" s="6" t="s">
        <v>36</v>
      </c>
      <c r="C24" s="7" t="s">
        <v>37</v>
      </c>
    </row>
    <row r="26" customFormat="false" ht="15" hidden="false" customHeight="false" outlineLevel="0" collapsed="false">
      <c r="B26" s="4" t="s">
        <v>38</v>
      </c>
    </row>
    <row r="27" customFormat="false" ht="15" hidden="false" customHeight="false" outlineLevel="0" collapsed="false">
      <c r="B27" s="10" t="s">
        <v>39</v>
      </c>
      <c r="C27" s="11" t="s">
        <v>40</v>
      </c>
    </row>
    <row r="28" customFormat="false" ht="15" hidden="false" customHeight="false" outlineLevel="0" collapsed="false">
      <c r="B28" s="12" t="s">
        <v>39</v>
      </c>
      <c r="C28" s="11" t="s">
        <v>41</v>
      </c>
    </row>
    <row r="29" customFormat="false" ht="15" hidden="false" customHeight="false" outlineLevel="0" collapsed="false">
      <c r="B29" s="13" t="s">
        <v>39</v>
      </c>
      <c r="C29" s="11" t="s">
        <v>42</v>
      </c>
    </row>
    <row r="30" customFormat="false" ht="15" hidden="false" customHeight="false" outlineLevel="0" collapsed="false">
      <c r="B30" s="14" t="s">
        <v>39</v>
      </c>
      <c r="C30" s="11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V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44</v>
      </c>
    </row>
    <row r="3" customFormat="false" ht="12.75" hidden="false" customHeight="true" outlineLevel="0" collapsed="false">
      <c r="B3" s="15" t="s">
        <v>45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5" customFormat="false" ht="40.5" hidden="false" customHeight="true" outlineLevel="0" collapsed="false">
      <c r="B5" s="16" t="s">
        <v>46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customFormat="false" ht="54" hidden="false" customHeight="true" outlineLevel="0" collapsed="false">
      <c r="B6" s="16" t="s">
        <v>47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customFormat="false" ht="15" hidden="false" customHeight="true" outlineLevel="0" collapsed="false">
      <c r="B7" s="16" t="s">
        <v>48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customFormat="false" ht="27" hidden="false" customHeight="true" outlineLevel="0" collapsed="false">
      <c r="B8" s="16" t="s">
        <v>49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customFormat="false" ht="67.5" hidden="false" customHeight="true" outlineLevel="0" collapsed="false">
      <c r="B9" s="16" t="s">
        <v>50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customFormat="false" ht="40.5" hidden="false" customHeight="true" outlineLevel="0" collapsed="false">
      <c r="B10" s="16" t="s">
        <v>51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customFormat="false" ht="27" hidden="false" customHeight="true" outlineLevel="0" collapsed="false">
      <c r="B11" s="16" t="s">
        <v>52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customFormat="false" ht="15" hidden="false" customHeight="true" outlineLevel="0" collapsed="false">
      <c r="B12" s="16" t="s">
        <v>53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customFormat="false" ht="40.5" hidden="false" customHeight="true" outlineLevel="0" collapsed="false">
      <c r="B13" s="16" t="s">
        <v>54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customFormat="false" ht="15" hidden="false" customHeight="true" outlineLevel="0" collapsed="false">
      <c r="B14" s="16" t="s">
        <v>55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customFormat="false" ht="7.5" hidden="false" customHeight="true" outlineLevel="0" collapsed="false"/>
    <row r="16" customFormat="false" ht="27" hidden="false" customHeight="true" outlineLevel="0" collapsed="false">
      <c r="B16" s="16" t="s">
        <v>56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customFormat="false" ht="27" hidden="false" customHeight="true" outlineLevel="0" collapsed="false">
      <c r="B17" s="16" t="s">
        <v>57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customFormat="false" ht="15" hidden="false" customHeight="true" outlineLevel="0" collapsed="false">
      <c r="B18" s="16" t="s">
        <v>58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customFormat="false" ht="15" hidden="false" customHeight="true" outlineLevel="0" collapsed="false">
      <c r="B19" s="16" t="s">
        <v>59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</sheetData>
  <mergeCells count="15">
    <mergeCell ref="B3:V3"/>
    <mergeCell ref="B5:V5"/>
    <mergeCell ref="B6:V6"/>
    <mergeCell ref="B7:V7"/>
    <mergeCell ref="B8:V8"/>
    <mergeCell ref="B9:V9"/>
    <mergeCell ref="B10:V10"/>
    <mergeCell ref="B11:V11"/>
    <mergeCell ref="B12:V12"/>
    <mergeCell ref="B13:V13"/>
    <mergeCell ref="B14:V14"/>
    <mergeCell ref="B16:V16"/>
    <mergeCell ref="B17:V17"/>
    <mergeCell ref="B18:V18"/>
    <mergeCell ref="B19:V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B5AC"/>
    <pageSetUpPr fitToPage="false"/>
  </sheetPr>
  <dimension ref="B1:V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8"/>
    <col collapsed="false" customWidth="true" hidden="false" outlineLevel="0" max="3" min="3" style="0" width="70"/>
    <col collapsed="false" customWidth="true" hidden="false" outlineLevel="0" max="4" min="4" style="0" width="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60</v>
      </c>
    </row>
    <row r="3" customFormat="false" ht="12.75" hidden="false" customHeight="true" outlineLevel="0" collapsed="false">
      <c r="B3" s="15" t="s">
        <v>61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6" customFormat="false" ht="24" hidden="false" customHeight="true" outlineLevel="0" collapsed="false">
      <c r="B6" s="5" t="s">
        <v>62</v>
      </c>
      <c r="C6" s="5" t="s">
        <v>63</v>
      </c>
      <c r="D6" s="5" t="s">
        <v>64</v>
      </c>
    </row>
    <row r="7" customFormat="false" ht="15" hidden="false" customHeight="false" outlineLevel="0" collapsed="false">
      <c r="B7" s="14" t="s">
        <v>65</v>
      </c>
      <c r="C7" s="7" t="s">
        <v>66</v>
      </c>
      <c r="D7" s="14" t="n">
        <v>1</v>
      </c>
    </row>
    <row r="8" customFormat="false" ht="15" hidden="false" customHeight="false" outlineLevel="0" collapsed="false">
      <c r="B8" s="17" t="s">
        <v>67</v>
      </c>
      <c r="C8" s="9" t="s">
        <v>68</v>
      </c>
      <c r="D8" s="17" t="n">
        <v>2</v>
      </c>
    </row>
    <row r="9" customFormat="false" ht="15" hidden="false" customHeight="false" outlineLevel="0" collapsed="false">
      <c r="B9" s="14" t="s">
        <v>69</v>
      </c>
      <c r="C9" s="7" t="s">
        <v>70</v>
      </c>
      <c r="D9" s="14" t="n">
        <v>3</v>
      </c>
    </row>
    <row r="10" customFormat="false" ht="15" hidden="false" customHeight="false" outlineLevel="0" collapsed="false">
      <c r="B10" s="17" t="s">
        <v>71</v>
      </c>
      <c r="C10" s="9" t="s">
        <v>72</v>
      </c>
      <c r="D10" s="17" t="n">
        <v>4</v>
      </c>
    </row>
    <row r="11" customFormat="false" ht="15" hidden="false" customHeight="false" outlineLevel="0" collapsed="false">
      <c r="B11" s="14" t="s">
        <v>73</v>
      </c>
      <c r="C11" s="7" t="s">
        <v>74</v>
      </c>
      <c r="D11" s="14" t="n">
        <v>5</v>
      </c>
    </row>
    <row r="12" customFormat="false" ht="15" hidden="false" customHeight="false" outlineLevel="0" collapsed="false">
      <c r="B12" s="17" t="s">
        <v>75</v>
      </c>
      <c r="C12" s="9" t="s">
        <v>76</v>
      </c>
      <c r="D12" s="17" t="n">
        <v>6</v>
      </c>
    </row>
    <row r="13" customFormat="false" ht="15" hidden="false" customHeight="false" outlineLevel="0" collapsed="false">
      <c r="B13" s="14" t="s">
        <v>77</v>
      </c>
      <c r="C13" s="7" t="s">
        <v>78</v>
      </c>
      <c r="D13" s="14" t="n">
        <v>7</v>
      </c>
    </row>
    <row r="14" customFormat="false" ht="15" hidden="false" customHeight="false" outlineLevel="0" collapsed="false">
      <c r="B14" s="17" t="s">
        <v>79</v>
      </c>
      <c r="C14" s="9" t="s">
        <v>80</v>
      </c>
      <c r="D14" s="17" t="n">
        <v>8</v>
      </c>
    </row>
    <row r="15" customFormat="false" ht="15" hidden="false" customHeight="false" outlineLevel="0" collapsed="false">
      <c r="B15" s="14" t="s">
        <v>81</v>
      </c>
      <c r="C15" s="7" t="s">
        <v>82</v>
      </c>
      <c r="D15" s="14" t="n">
        <v>9</v>
      </c>
    </row>
    <row r="16" customFormat="false" ht="15" hidden="false" customHeight="false" outlineLevel="0" collapsed="false">
      <c r="B16" s="17" t="s">
        <v>83</v>
      </c>
      <c r="C16" s="9" t="s">
        <v>84</v>
      </c>
      <c r="D16" s="17" t="n">
        <v>10</v>
      </c>
    </row>
    <row r="17" customFormat="false" ht="15" hidden="false" customHeight="false" outlineLevel="0" collapsed="false">
      <c r="B17" s="14" t="s">
        <v>85</v>
      </c>
      <c r="C17" s="7" t="s">
        <v>86</v>
      </c>
      <c r="D17" s="14" t="n">
        <v>11</v>
      </c>
    </row>
    <row r="18" customFormat="false" ht="15" hidden="false" customHeight="false" outlineLevel="0" collapsed="false">
      <c r="B18" s="17" t="s">
        <v>87</v>
      </c>
      <c r="C18" s="9" t="s">
        <v>88</v>
      </c>
      <c r="D18" s="17" t="n">
        <v>12</v>
      </c>
    </row>
    <row r="19" customFormat="false" ht="15" hidden="false" customHeight="false" outlineLevel="0" collapsed="false">
      <c r="B19" s="14" t="s">
        <v>89</v>
      </c>
      <c r="C19" s="7" t="s">
        <v>90</v>
      </c>
      <c r="D19" s="14" t="n">
        <v>13</v>
      </c>
    </row>
    <row r="20" customFormat="false" ht="15" hidden="false" customHeight="false" outlineLevel="0" collapsed="false">
      <c r="B20" s="17" t="s">
        <v>91</v>
      </c>
      <c r="C20" s="9" t="s">
        <v>92</v>
      </c>
      <c r="D20" s="17" t="n">
        <v>14</v>
      </c>
    </row>
    <row r="21" customFormat="false" ht="15" hidden="false" customHeight="false" outlineLevel="0" collapsed="false">
      <c r="B21" s="14" t="s">
        <v>93</v>
      </c>
      <c r="C21" s="7" t="s">
        <v>94</v>
      </c>
      <c r="D21" s="14" t="n">
        <v>15</v>
      </c>
    </row>
    <row r="22" customFormat="false" ht="15" hidden="false" customHeight="false" outlineLevel="0" collapsed="false">
      <c r="B22" s="17" t="s">
        <v>95</v>
      </c>
      <c r="C22" s="9" t="s">
        <v>96</v>
      </c>
      <c r="D22" s="17" t="n">
        <v>16</v>
      </c>
    </row>
    <row r="23" customFormat="false" ht="15" hidden="false" customHeight="false" outlineLevel="0" collapsed="false">
      <c r="B23" s="14" t="s">
        <v>97</v>
      </c>
      <c r="C23" s="7" t="s">
        <v>98</v>
      </c>
      <c r="D23" s="14" t="n">
        <v>17</v>
      </c>
    </row>
    <row r="24" customFormat="false" ht="15" hidden="false" customHeight="false" outlineLevel="0" collapsed="false">
      <c r="B24" s="17" t="s">
        <v>99</v>
      </c>
      <c r="C24" s="9" t="s">
        <v>100</v>
      </c>
      <c r="D24" s="17" t="n">
        <v>18</v>
      </c>
    </row>
    <row r="25" customFormat="false" ht="15" hidden="false" customHeight="false" outlineLevel="0" collapsed="false">
      <c r="B25" s="14" t="s">
        <v>101</v>
      </c>
      <c r="C25" s="7" t="s">
        <v>102</v>
      </c>
      <c r="D25" s="14" t="n">
        <v>19</v>
      </c>
    </row>
    <row r="26" customFormat="false" ht="15" hidden="false" customHeight="false" outlineLevel="0" collapsed="false">
      <c r="B26" s="17" t="s">
        <v>103</v>
      </c>
      <c r="C26" s="9" t="s">
        <v>104</v>
      </c>
      <c r="D26" s="17" t="n">
        <v>20</v>
      </c>
    </row>
    <row r="27" customFormat="false" ht="15" hidden="false" customHeight="false" outlineLevel="0" collapsed="false">
      <c r="B27" s="14" t="s">
        <v>105</v>
      </c>
      <c r="C27" s="7" t="s">
        <v>106</v>
      </c>
      <c r="D27" s="14" t="n">
        <v>21</v>
      </c>
    </row>
    <row r="28" customFormat="false" ht="15" hidden="false" customHeight="false" outlineLevel="0" collapsed="false">
      <c r="B28" s="17" t="s">
        <v>107</v>
      </c>
      <c r="C28" s="9" t="s">
        <v>108</v>
      </c>
      <c r="D28" s="17" t="n">
        <v>22</v>
      </c>
    </row>
    <row r="29" customFormat="false" ht="15" hidden="false" customHeight="false" outlineLevel="0" collapsed="false">
      <c r="B29" s="14" t="s">
        <v>109</v>
      </c>
      <c r="C29" s="7" t="s">
        <v>110</v>
      </c>
      <c r="D29" s="14" t="n">
        <v>23</v>
      </c>
    </row>
    <row r="30" customFormat="false" ht="15" hidden="false" customHeight="false" outlineLevel="0" collapsed="false">
      <c r="B30" s="17" t="s">
        <v>111</v>
      </c>
      <c r="C30" s="9" t="s">
        <v>112</v>
      </c>
      <c r="D30" s="17" t="n">
        <v>24</v>
      </c>
    </row>
    <row r="31" customFormat="false" ht="15" hidden="false" customHeight="false" outlineLevel="0" collapsed="false">
      <c r="B31" s="14" t="s">
        <v>113</v>
      </c>
      <c r="C31" s="7" t="s">
        <v>114</v>
      </c>
      <c r="D31" s="14" t="n">
        <v>25</v>
      </c>
    </row>
    <row r="32" customFormat="false" ht="15" hidden="false" customHeight="false" outlineLevel="0" collapsed="false">
      <c r="B32" s="17" t="s">
        <v>115</v>
      </c>
      <c r="C32" s="9" t="s">
        <v>116</v>
      </c>
      <c r="D32" s="17" t="n">
        <v>26</v>
      </c>
    </row>
    <row r="33" customFormat="false" ht="15" hidden="false" customHeight="false" outlineLevel="0" collapsed="false">
      <c r="B33" s="14" t="s">
        <v>117</v>
      </c>
      <c r="C33" s="7" t="s">
        <v>118</v>
      </c>
      <c r="D33" s="14" t="n">
        <v>27</v>
      </c>
    </row>
    <row r="34" customFormat="false" ht="15" hidden="false" customHeight="false" outlineLevel="0" collapsed="false">
      <c r="B34" s="17" t="s">
        <v>119</v>
      </c>
      <c r="C34" s="9" t="s">
        <v>120</v>
      </c>
      <c r="D34" s="17" t="n">
        <v>28</v>
      </c>
    </row>
    <row r="35" customFormat="false" ht="15" hidden="false" customHeight="false" outlineLevel="0" collapsed="false">
      <c r="B35" s="14" t="s">
        <v>121</v>
      </c>
      <c r="C35" s="7" t="s">
        <v>122</v>
      </c>
      <c r="D35" s="14" t="n">
        <v>29</v>
      </c>
    </row>
    <row r="36" customFormat="false" ht="15" hidden="false" customHeight="false" outlineLevel="0" collapsed="false">
      <c r="B36" s="17" t="s">
        <v>123</v>
      </c>
      <c r="C36" s="9" t="s">
        <v>124</v>
      </c>
      <c r="D36" s="17" t="n">
        <v>30</v>
      </c>
    </row>
    <row r="37" customFormat="false" ht="15" hidden="false" customHeight="false" outlineLevel="0" collapsed="false">
      <c r="B37" s="14" t="s">
        <v>125</v>
      </c>
      <c r="C37" s="7" t="s">
        <v>126</v>
      </c>
      <c r="D37" s="14" t="n">
        <v>31</v>
      </c>
    </row>
    <row r="38" customFormat="false" ht="15" hidden="false" customHeight="false" outlineLevel="0" collapsed="false">
      <c r="B38" s="17" t="s">
        <v>127</v>
      </c>
      <c r="C38" s="9" t="s">
        <v>128</v>
      </c>
      <c r="D38" s="17" t="n">
        <v>32</v>
      </c>
    </row>
    <row r="39" customFormat="false" ht="15" hidden="false" customHeight="false" outlineLevel="0" collapsed="false">
      <c r="B39" s="14" t="s">
        <v>129</v>
      </c>
      <c r="C39" s="7" t="s">
        <v>130</v>
      </c>
      <c r="D39" s="14" t="n">
        <v>33</v>
      </c>
    </row>
    <row r="40" customFormat="false" ht="15" hidden="false" customHeight="false" outlineLevel="0" collapsed="false">
      <c r="B40" s="17" t="s">
        <v>131</v>
      </c>
      <c r="C40" s="9" t="s">
        <v>132</v>
      </c>
      <c r="D40" s="17" t="n">
        <v>34</v>
      </c>
    </row>
    <row r="41" customFormat="false" ht="15" hidden="false" customHeight="false" outlineLevel="0" collapsed="false">
      <c r="B41" s="14" t="s">
        <v>133</v>
      </c>
      <c r="C41" s="7" t="s">
        <v>134</v>
      </c>
      <c r="D41" s="14" t="n">
        <v>35</v>
      </c>
    </row>
    <row r="42" customFormat="false" ht="15" hidden="false" customHeight="false" outlineLevel="0" collapsed="false">
      <c r="B42" s="17" t="s">
        <v>135</v>
      </c>
      <c r="C42" s="9" t="s">
        <v>136</v>
      </c>
      <c r="D42" s="17" t="n">
        <v>36</v>
      </c>
    </row>
    <row r="43" customFormat="false" ht="15" hidden="false" customHeight="false" outlineLevel="0" collapsed="false">
      <c r="B43" s="14" t="s">
        <v>137</v>
      </c>
      <c r="C43" s="7" t="s">
        <v>138</v>
      </c>
      <c r="D43" s="14" t="n">
        <v>37</v>
      </c>
    </row>
    <row r="44" customFormat="false" ht="15" hidden="false" customHeight="false" outlineLevel="0" collapsed="false">
      <c r="B44" s="17" t="s">
        <v>139</v>
      </c>
      <c r="C44" s="9" t="s">
        <v>140</v>
      </c>
      <c r="D44" s="17" t="n">
        <v>38</v>
      </c>
    </row>
    <row r="45" customFormat="false" ht="15" hidden="false" customHeight="false" outlineLevel="0" collapsed="false">
      <c r="B45" s="14" t="s">
        <v>141</v>
      </c>
      <c r="C45" s="7" t="s">
        <v>142</v>
      </c>
      <c r="D45" s="14" t="n">
        <v>39</v>
      </c>
    </row>
    <row r="46" customFormat="false" ht="15" hidden="false" customHeight="false" outlineLevel="0" collapsed="false">
      <c r="B46" s="17" t="s">
        <v>143</v>
      </c>
      <c r="C46" s="9" t="s">
        <v>144</v>
      </c>
      <c r="D46" s="17" t="n">
        <v>40</v>
      </c>
    </row>
    <row r="47" customFormat="false" ht="15" hidden="false" customHeight="false" outlineLevel="0" collapsed="false">
      <c r="B47" s="14" t="s">
        <v>145</v>
      </c>
      <c r="C47" s="7" t="s">
        <v>146</v>
      </c>
      <c r="D47" s="14" t="n">
        <v>41</v>
      </c>
    </row>
    <row r="48" customFormat="false" ht="15" hidden="false" customHeight="false" outlineLevel="0" collapsed="false">
      <c r="B48" s="17" t="s">
        <v>147</v>
      </c>
      <c r="C48" s="9" t="s">
        <v>148</v>
      </c>
      <c r="D48" s="17" t="n">
        <v>42</v>
      </c>
    </row>
    <row r="49" customFormat="false" ht="15" hidden="false" customHeight="false" outlineLevel="0" collapsed="false">
      <c r="B49" s="14" t="s">
        <v>149</v>
      </c>
      <c r="C49" s="7" t="s">
        <v>150</v>
      </c>
      <c r="D49" s="14" t="n">
        <v>43</v>
      </c>
    </row>
    <row r="50" customFormat="false" ht="15" hidden="false" customHeight="false" outlineLevel="0" collapsed="false">
      <c r="B50" s="17" t="s">
        <v>151</v>
      </c>
      <c r="C50" s="9" t="s">
        <v>152</v>
      </c>
      <c r="D50" s="17" t="n">
        <v>44</v>
      </c>
    </row>
    <row r="51" customFormat="false" ht="15" hidden="false" customHeight="false" outlineLevel="0" collapsed="false">
      <c r="B51" s="14" t="s">
        <v>153</v>
      </c>
      <c r="C51" s="7" t="s">
        <v>154</v>
      </c>
      <c r="D51" s="14" t="n">
        <v>45</v>
      </c>
    </row>
    <row r="52" customFormat="false" ht="15" hidden="false" customHeight="false" outlineLevel="0" collapsed="false">
      <c r="B52" s="17" t="s">
        <v>155</v>
      </c>
      <c r="C52" s="9" t="s">
        <v>156</v>
      </c>
      <c r="D52" s="17" t="n">
        <v>46</v>
      </c>
    </row>
    <row r="53" customFormat="false" ht="15" hidden="false" customHeight="false" outlineLevel="0" collapsed="false">
      <c r="B53" s="14" t="s">
        <v>157</v>
      </c>
      <c r="C53" s="7" t="s">
        <v>158</v>
      </c>
      <c r="D53" s="14" t="n">
        <v>47</v>
      </c>
    </row>
    <row r="54" customFormat="false" ht="15" hidden="false" customHeight="false" outlineLevel="0" collapsed="false">
      <c r="B54" s="17" t="s">
        <v>159</v>
      </c>
      <c r="C54" s="9" t="s">
        <v>160</v>
      </c>
      <c r="D54" s="17" t="n">
        <v>48</v>
      </c>
    </row>
    <row r="55" customFormat="false" ht="15" hidden="false" customHeight="false" outlineLevel="0" collapsed="false">
      <c r="B55" s="14" t="s">
        <v>161</v>
      </c>
      <c r="C55" s="7" t="s">
        <v>162</v>
      </c>
      <c r="D55" s="14" t="n">
        <v>49</v>
      </c>
    </row>
    <row r="56" customFormat="false" ht="15" hidden="false" customHeight="false" outlineLevel="0" collapsed="false">
      <c r="B56" s="17" t="s">
        <v>163</v>
      </c>
      <c r="C56" s="9" t="s">
        <v>164</v>
      </c>
      <c r="D56" s="17" t="n">
        <v>50</v>
      </c>
    </row>
    <row r="57" customFormat="false" ht="15" hidden="false" customHeight="false" outlineLevel="0" collapsed="false">
      <c r="B57" s="14" t="s">
        <v>165</v>
      </c>
      <c r="C57" s="7" t="s">
        <v>166</v>
      </c>
      <c r="D57" s="14" t="n">
        <v>51</v>
      </c>
    </row>
    <row r="58" customFormat="false" ht="15" hidden="false" customHeight="false" outlineLevel="0" collapsed="false">
      <c r="B58" s="17" t="s">
        <v>167</v>
      </c>
      <c r="C58" s="9" t="s">
        <v>168</v>
      </c>
      <c r="D58" s="17" t="n">
        <v>52</v>
      </c>
    </row>
    <row r="59" customFormat="false" ht="15" hidden="false" customHeight="false" outlineLevel="0" collapsed="false">
      <c r="B59" s="14" t="s">
        <v>169</v>
      </c>
      <c r="C59" s="7" t="s">
        <v>170</v>
      </c>
      <c r="D59" s="14" t="n">
        <v>53</v>
      </c>
    </row>
    <row r="60" customFormat="false" ht="15" hidden="false" customHeight="false" outlineLevel="0" collapsed="false">
      <c r="B60" s="17" t="s">
        <v>171</v>
      </c>
      <c r="C60" s="9" t="s">
        <v>172</v>
      </c>
      <c r="D60" s="17" t="n">
        <v>54</v>
      </c>
    </row>
    <row r="61" customFormat="false" ht="15" hidden="false" customHeight="false" outlineLevel="0" collapsed="false">
      <c r="B61" s="14" t="s">
        <v>173</v>
      </c>
      <c r="C61" s="7" t="s">
        <v>174</v>
      </c>
      <c r="D61" s="14" t="n">
        <v>55</v>
      </c>
    </row>
    <row r="62" customFormat="false" ht="15" hidden="false" customHeight="false" outlineLevel="0" collapsed="false">
      <c r="B62" s="17" t="s">
        <v>175</v>
      </c>
      <c r="C62" s="9" t="s">
        <v>176</v>
      </c>
      <c r="D62" s="17" t="n">
        <v>56</v>
      </c>
    </row>
    <row r="63" customFormat="false" ht="15" hidden="false" customHeight="false" outlineLevel="0" collapsed="false">
      <c r="B63" s="14" t="s">
        <v>177</v>
      </c>
      <c r="C63" s="7" t="s">
        <v>178</v>
      </c>
      <c r="D63" s="14" t="n">
        <v>57</v>
      </c>
    </row>
    <row r="64" customFormat="false" ht="15" hidden="false" customHeight="false" outlineLevel="0" collapsed="false">
      <c r="B64" s="17" t="s">
        <v>179</v>
      </c>
      <c r="C64" s="9" t="s">
        <v>180</v>
      </c>
      <c r="D64" s="17" t="n">
        <v>58</v>
      </c>
    </row>
    <row r="65" customFormat="false" ht="15" hidden="false" customHeight="false" outlineLevel="0" collapsed="false">
      <c r="B65" s="14" t="s">
        <v>181</v>
      </c>
      <c r="C65" s="7" t="s">
        <v>182</v>
      </c>
      <c r="D65" s="14" t="n">
        <v>59</v>
      </c>
    </row>
    <row r="66" customFormat="false" ht="15" hidden="false" customHeight="false" outlineLevel="0" collapsed="false">
      <c r="B66" s="17" t="s">
        <v>183</v>
      </c>
      <c r="C66" s="9" t="s">
        <v>184</v>
      </c>
      <c r="D66" s="17" t="n">
        <v>60</v>
      </c>
    </row>
    <row r="67" customFormat="false" ht="15" hidden="false" customHeight="false" outlineLevel="0" collapsed="false">
      <c r="B67" s="14" t="s">
        <v>185</v>
      </c>
      <c r="C67" s="7" t="s">
        <v>186</v>
      </c>
      <c r="D67" s="14" t="n">
        <v>61</v>
      </c>
    </row>
    <row r="68" customFormat="false" ht="15" hidden="false" customHeight="false" outlineLevel="0" collapsed="false">
      <c r="B68" s="17" t="s">
        <v>187</v>
      </c>
      <c r="C68" s="9" t="s">
        <v>188</v>
      </c>
      <c r="D68" s="17" t="n">
        <v>62</v>
      </c>
    </row>
    <row r="69" customFormat="false" ht="15" hidden="false" customHeight="false" outlineLevel="0" collapsed="false">
      <c r="B69" s="14" t="s">
        <v>189</v>
      </c>
      <c r="C69" s="7" t="s">
        <v>190</v>
      </c>
      <c r="D69" s="14" t="n">
        <v>63</v>
      </c>
    </row>
    <row r="70" customFormat="false" ht="15" hidden="false" customHeight="false" outlineLevel="0" collapsed="false">
      <c r="B70" s="17" t="s">
        <v>191</v>
      </c>
      <c r="C70" s="9" t="s">
        <v>192</v>
      </c>
      <c r="D70" s="17" t="n">
        <v>64</v>
      </c>
    </row>
    <row r="71" customFormat="false" ht="15" hidden="false" customHeight="false" outlineLevel="0" collapsed="false">
      <c r="B71" s="14" t="s">
        <v>193</v>
      </c>
      <c r="C71" s="7" t="s">
        <v>194</v>
      </c>
      <c r="D71" s="14" t="n">
        <v>65</v>
      </c>
    </row>
    <row r="72" customFormat="false" ht="15" hidden="false" customHeight="false" outlineLevel="0" collapsed="false">
      <c r="B72" s="17" t="s">
        <v>195</v>
      </c>
      <c r="C72" s="9" t="s">
        <v>196</v>
      </c>
      <c r="D72" s="17" t="n">
        <v>66</v>
      </c>
    </row>
    <row r="73" customFormat="false" ht="15" hidden="false" customHeight="false" outlineLevel="0" collapsed="false">
      <c r="B73" s="14" t="s">
        <v>197</v>
      </c>
      <c r="C73" s="7" t="s">
        <v>198</v>
      </c>
      <c r="D73" s="14" t="n">
        <v>67</v>
      </c>
    </row>
    <row r="74" customFormat="false" ht="15" hidden="false" customHeight="false" outlineLevel="0" collapsed="false">
      <c r="B74" s="17" t="s">
        <v>199</v>
      </c>
      <c r="C74" s="9" t="s">
        <v>200</v>
      </c>
      <c r="D74" s="17" t="n">
        <v>68</v>
      </c>
    </row>
  </sheetData>
  <mergeCells count="1">
    <mergeCell ref="B3:V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8CE"/>
    <pageSetUpPr fitToPage="false"/>
  </sheetPr>
  <dimension ref="B1:V7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52"/>
    <col collapsed="false" customWidth="true" hidden="false" outlineLevel="0" max="4" min="4" style="0" width="4.4"/>
    <col collapsed="false" customWidth="true" hidden="false" outlineLevel="0" max="20" min="5" style="0" width="12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201</v>
      </c>
    </row>
    <row r="3" customFormat="false" ht="24.75" hidden="false" customHeight="true" outlineLevel="0" collapsed="false">
      <c r="B3" s="15" t="s">
        <v>202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6" customFormat="false" ht="24" hidden="false" customHeight="true" outlineLevel="0" collapsed="false">
      <c r="B6" s="18" t="s">
        <v>62</v>
      </c>
      <c r="C6" s="18" t="s">
        <v>63</v>
      </c>
      <c r="D6" s="18" t="s">
        <v>64</v>
      </c>
      <c r="E6" s="18" t="s">
        <v>203</v>
      </c>
      <c r="F6" s="18" t="s">
        <v>204</v>
      </c>
      <c r="G6" s="18" t="s">
        <v>205</v>
      </c>
      <c r="H6" s="18" t="s">
        <v>206</v>
      </c>
      <c r="I6" s="18" t="s">
        <v>207</v>
      </c>
      <c r="J6" s="18" t="s">
        <v>208</v>
      </c>
      <c r="K6" s="18" t="s">
        <v>209</v>
      </c>
      <c r="L6" s="18" t="s">
        <v>210</v>
      </c>
      <c r="M6" s="18" t="s">
        <v>211</v>
      </c>
      <c r="N6" s="18" t="s">
        <v>212</v>
      </c>
      <c r="O6" s="18" t="s">
        <v>213</v>
      </c>
      <c r="P6" s="18" t="s">
        <v>214</v>
      </c>
      <c r="Q6" s="18" t="s">
        <v>215</v>
      </c>
      <c r="R6" s="18" t="s">
        <v>216</v>
      </c>
      <c r="S6" s="18" t="s">
        <v>217</v>
      </c>
      <c r="T6" s="18" t="s">
        <v>218</v>
      </c>
    </row>
    <row r="7" customFormat="false" ht="11.25" hidden="false" customHeight="true" outlineLevel="0" collapsed="false">
      <c r="B7" s="19" t="s">
        <v>65</v>
      </c>
      <c r="C7" s="20" t="s">
        <v>66</v>
      </c>
      <c r="D7" s="19" t="n">
        <v>1</v>
      </c>
      <c r="E7" s="21" t="n">
        <v>549087</v>
      </c>
      <c r="F7" s="21" t="n">
        <v>32361</v>
      </c>
      <c r="G7" s="21" t="n">
        <v>303359</v>
      </c>
      <c r="H7" s="21" t="n">
        <v>6337753</v>
      </c>
      <c r="I7" s="21" t="n">
        <v>34265.1777191967</v>
      </c>
      <c r="J7" s="21" t="n">
        <v>208838.111552936</v>
      </c>
      <c r="K7" s="21" t="n">
        <v>143.846941875004</v>
      </c>
      <c r="L7" s="21" t="n">
        <v>0</v>
      </c>
      <c r="M7" s="21" t="n">
        <v>99806.8457701411</v>
      </c>
      <c r="N7" s="21" t="n">
        <v>3614.0809783988</v>
      </c>
      <c r="O7" s="21" t="n">
        <v>-3039.59171148423</v>
      </c>
      <c r="P7" s="21" t="n">
        <f aca="false">SUM(J7:O7)</f>
        <v>309363.293531867</v>
      </c>
      <c r="Q7" s="22" t="n">
        <f aca="false">IF(E7=0,0,H7/E7)</f>
        <v>11.542347569693</v>
      </c>
      <c r="R7" s="23" t="n">
        <f aca="false">IF(E7=0,0,F7/E7)</f>
        <v>0.0589360156040846</v>
      </c>
      <c r="S7" s="23" t="n">
        <f aca="false">IF(E7=0,0,G7/E7)</f>
        <v>0.552478933210948</v>
      </c>
      <c r="T7" s="23" t="n">
        <f aca="false">IF(E7=0,0,I7/E7)</f>
        <v>0.0624039136224255</v>
      </c>
    </row>
    <row r="8" customFormat="false" ht="11.25" hidden="false" customHeight="true" outlineLevel="0" collapsed="false">
      <c r="B8" s="24" t="s">
        <v>67</v>
      </c>
      <c r="C8" s="25" t="s">
        <v>68</v>
      </c>
      <c r="D8" s="24" t="n">
        <v>2</v>
      </c>
      <c r="E8" s="26" t="n">
        <v>204149</v>
      </c>
      <c r="F8" s="26" t="n">
        <v>21595</v>
      </c>
      <c r="G8" s="26" t="n">
        <v>99993</v>
      </c>
      <c r="H8" s="26" t="n">
        <v>5525366</v>
      </c>
      <c r="I8" s="26" t="n">
        <v>7687.02512659005</v>
      </c>
      <c r="J8" s="26" t="n">
        <v>8459.03218004134</v>
      </c>
      <c r="K8" s="26" t="n">
        <v>8.94949758140687</v>
      </c>
      <c r="L8" s="26" t="n">
        <v>0</v>
      </c>
      <c r="M8" s="26" t="n">
        <v>34591.1939767447</v>
      </c>
      <c r="N8" s="26" t="n">
        <v>20796.7518640966</v>
      </c>
      <c r="O8" s="26" t="n">
        <v>-886.618331078253</v>
      </c>
      <c r="P8" s="26" t="n">
        <f aca="false">SUM(J8:O8)</f>
        <v>62969.3091873857</v>
      </c>
      <c r="Q8" s="27" t="n">
        <f aca="false">IF(E8=0,0,H8/E8)</f>
        <v>27.0653591249529</v>
      </c>
      <c r="R8" s="28" t="n">
        <f aca="false">IF(E8=0,0,F8/E8)</f>
        <v>0.105780581829938</v>
      </c>
      <c r="S8" s="28" t="n">
        <f aca="false">IF(E8=0,0,G8/E8)</f>
        <v>0.48980401569442</v>
      </c>
      <c r="T8" s="28" t="n">
        <f aca="false">IF(E8=0,0,I8/E8)</f>
        <v>0.0376539935370247</v>
      </c>
    </row>
    <row r="9" customFormat="false" ht="11.25" hidden="false" customHeight="true" outlineLevel="0" collapsed="false">
      <c r="B9" s="19" t="s">
        <v>69</v>
      </c>
      <c r="C9" s="20" t="s">
        <v>70</v>
      </c>
      <c r="D9" s="19" t="n">
        <v>3</v>
      </c>
      <c r="E9" s="21" t="n">
        <v>42525</v>
      </c>
      <c r="F9" s="21" t="n">
        <v>2470</v>
      </c>
      <c r="G9" s="21" t="n">
        <v>31269</v>
      </c>
      <c r="H9" s="21" t="n">
        <v>697280</v>
      </c>
      <c r="I9" s="21" t="n">
        <v>645.555094054284</v>
      </c>
      <c r="J9" s="21" t="n">
        <v>3465.37445485002</v>
      </c>
      <c r="K9" s="21" t="n">
        <v>4.14192927519328</v>
      </c>
      <c r="L9" s="21" t="n">
        <v>0</v>
      </c>
      <c r="M9" s="21" t="n">
        <v>20328.2446409735</v>
      </c>
      <c r="N9" s="21" t="n">
        <v>1182.86977439863</v>
      </c>
      <c r="O9" s="21" t="n">
        <v>-1148.62063154059</v>
      </c>
      <c r="P9" s="21" t="n">
        <f aca="false">SUM(J9:O9)</f>
        <v>23832.0101679567</v>
      </c>
      <c r="Q9" s="22" t="n">
        <f aca="false">IF(E9=0,0,H9/E9)</f>
        <v>16.3969429747208</v>
      </c>
      <c r="R9" s="23" t="n">
        <f aca="false">IF(E9=0,0,F9/E9)</f>
        <v>0.0580834803057025</v>
      </c>
      <c r="S9" s="23" t="n">
        <f aca="false">IF(E9=0,0,G9/E9)</f>
        <v>0.735308641975309</v>
      </c>
      <c r="T9" s="23" t="n">
        <f aca="false">IF(E9=0,0,I9/E9)</f>
        <v>0.0151806018590073</v>
      </c>
    </row>
    <row r="10" customFormat="false" ht="11.25" hidden="false" customHeight="true" outlineLevel="0" collapsed="false">
      <c r="B10" s="24" t="s">
        <v>71</v>
      </c>
      <c r="C10" s="25" t="s">
        <v>72</v>
      </c>
      <c r="D10" s="24" t="n">
        <v>4</v>
      </c>
      <c r="E10" s="26" t="n">
        <v>23233</v>
      </c>
      <c r="F10" s="26" t="n">
        <v>4009</v>
      </c>
      <c r="G10" s="26" t="n">
        <v>9747</v>
      </c>
      <c r="H10" s="26" t="n">
        <v>104947</v>
      </c>
      <c r="I10" s="26" t="n">
        <v>1750.60498421063</v>
      </c>
      <c r="J10" s="26" t="n">
        <v>1771.39149896402</v>
      </c>
      <c r="K10" s="26" t="n">
        <v>0.0298362722438622</v>
      </c>
      <c r="L10" s="26" t="n">
        <v>0</v>
      </c>
      <c r="M10" s="26" t="n">
        <v>207.948302923711</v>
      </c>
      <c r="N10" s="26" t="n">
        <v>13.8289496375709</v>
      </c>
      <c r="O10" s="26" t="n">
        <v>204.802082005006</v>
      </c>
      <c r="P10" s="26" t="n">
        <f aca="false">SUM(J10:O10)</f>
        <v>2198.00066980255</v>
      </c>
      <c r="Q10" s="27" t="n">
        <f aca="false">IF(E10=0,0,H10/E10)</f>
        <v>4.51715232643223</v>
      </c>
      <c r="R10" s="28" t="n">
        <f aca="false">IF(E10=0,0,F10/E10)</f>
        <v>0.172556277708432</v>
      </c>
      <c r="S10" s="28" t="n">
        <f aca="false">IF(E10=0,0,G10/E10)</f>
        <v>0.419532561442775</v>
      </c>
      <c r="T10" s="28" t="n">
        <f aca="false">IF(E10=0,0,I10/E10)</f>
        <v>0.0753499326049426</v>
      </c>
    </row>
    <row r="11" customFormat="false" ht="11.25" hidden="false" customHeight="true" outlineLevel="0" collapsed="false">
      <c r="B11" s="19" t="s">
        <v>73</v>
      </c>
      <c r="C11" s="20" t="s">
        <v>74</v>
      </c>
      <c r="D11" s="19" t="n">
        <v>5</v>
      </c>
      <c r="E11" s="21" t="n">
        <v>238713</v>
      </c>
      <c r="F11" s="21" t="n">
        <v>19400</v>
      </c>
      <c r="G11" s="21" t="n">
        <v>90642</v>
      </c>
      <c r="H11" s="21" t="n">
        <v>51889</v>
      </c>
      <c r="I11" s="21" t="n">
        <v>30481.8750484855</v>
      </c>
      <c r="J11" s="21" t="n">
        <v>90261.8877120232</v>
      </c>
      <c r="K11" s="21" t="n">
        <v>0</v>
      </c>
      <c r="L11" s="21" t="n">
        <v>0</v>
      </c>
      <c r="M11" s="21" t="n">
        <v>636.094008680034</v>
      </c>
      <c r="N11" s="21" t="n">
        <v>35013.4564660095</v>
      </c>
      <c r="O11" s="21" t="n">
        <v>-17980.379736834</v>
      </c>
      <c r="P11" s="21" t="n">
        <f aca="false">SUM(J11:O11)</f>
        <v>107931.058449879</v>
      </c>
      <c r="Q11" s="22" t="n">
        <f aca="false">IF(E11=0,0,H11/E11)</f>
        <v>0.217369812285045</v>
      </c>
      <c r="R11" s="23" t="n">
        <f aca="false">IF(E11=0,0,F11/E11)</f>
        <v>0.0812691390917126</v>
      </c>
      <c r="S11" s="23" t="n">
        <f aca="false">IF(E11=0,0,G11/E11)</f>
        <v>0.379711201317063</v>
      </c>
      <c r="T11" s="23" t="n">
        <f aca="false">IF(E11=0,0,I11/E11)</f>
        <v>0.127692564076885</v>
      </c>
    </row>
    <row r="12" customFormat="false" ht="11.25" hidden="false" customHeight="true" outlineLevel="0" collapsed="false">
      <c r="B12" s="24" t="s">
        <v>75</v>
      </c>
      <c r="C12" s="25" t="s">
        <v>76</v>
      </c>
      <c r="D12" s="24" t="n">
        <v>6</v>
      </c>
      <c r="E12" s="26" t="n">
        <v>156454</v>
      </c>
      <c r="F12" s="26" t="n">
        <v>4870</v>
      </c>
      <c r="G12" s="26" t="n">
        <v>85756</v>
      </c>
      <c r="H12" s="26" t="n">
        <v>27455</v>
      </c>
      <c r="I12" s="26" t="n">
        <v>9552.83512945174</v>
      </c>
      <c r="J12" s="26" t="n">
        <v>119308.51420408</v>
      </c>
      <c r="K12" s="26" t="n">
        <v>0</v>
      </c>
      <c r="L12" s="26" t="n">
        <v>0</v>
      </c>
      <c r="M12" s="26" t="n">
        <v>37.0997196693628</v>
      </c>
      <c r="N12" s="26" t="n">
        <v>1574.2414696221</v>
      </c>
      <c r="O12" s="26" t="n">
        <v>-5378.39555236099</v>
      </c>
      <c r="P12" s="26" t="n">
        <f aca="false">SUM(J12:O12)</f>
        <v>115541.45984101</v>
      </c>
      <c r="Q12" s="27" t="n">
        <f aca="false">IF(E12=0,0,H12/E12)</f>
        <v>0.175482889539417</v>
      </c>
      <c r="R12" s="28" t="n">
        <f aca="false">IF(E12=0,0,F12/E12)</f>
        <v>0.0311273601186291</v>
      </c>
      <c r="S12" s="28" t="n">
        <f aca="false">IF(E12=0,0,G12/E12)</f>
        <v>0.5481227709103</v>
      </c>
      <c r="T12" s="28" t="n">
        <f aca="false">IF(E12=0,0,I12/E12)</f>
        <v>0.0610584269462701</v>
      </c>
    </row>
    <row r="13" customFormat="false" ht="11.25" hidden="false" customHeight="true" outlineLevel="0" collapsed="false">
      <c r="B13" s="19" t="s">
        <v>77</v>
      </c>
      <c r="C13" s="20" t="s">
        <v>78</v>
      </c>
      <c r="D13" s="19" t="n">
        <v>7</v>
      </c>
      <c r="E13" s="21" t="n">
        <v>23631</v>
      </c>
      <c r="F13" s="21" t="n">
        <v>2751</v>
      </c>
      <c r="G13" s="21" t="n">
        <v>7470</v>
      </c>
      <c r="H13" s="21" t="n">
        <v>27983</v>
      </c>
      <c r="I13" s="21" t="n">
        <v>2164.77470687225</v>
      </c>
      <c r="J13" s="21" t="n">
        <v>12255.8850164579</v>
      </c>
      <c r="K13" s="21" t="n">
        <v>0</v>
      </c>
      <c r="L13" s="21" t="n">
        <v>0</v>
      </c>
      <c r="M13" s="21" t="n">
        <v>11.8818074345856</v>
      </c>
      <c r="N13" s="21" t="n">
        <v>7.44261156450773</v>
      </c>
      <c r="O13" s="21" t="n">
        <v>-1043.43185232705</v>
      </c>
      <c r="P13" s="21" t="n">
        <f aca="false">SUM(J13:O13)</f>
        <v>11231.77758313</v>
      </c>
      <c r="Q13" s="22" t="n">
        <f aca="false">IF(E13=0,0,H13/E13)</f>
        <v>1.18416486818163</v>
      </c>
      <c r="R13" s="23" t="n">
        <f aca="false">IF(E13=0,0,F13/E13)</f>
        <v>0.11641487876095</v>
      </c>
      <c r="S13" s="23" t="n">
        <f aca="false">IF(E13=0,0,G13/E13)</f>
        <v>0.316110194236384</v>
      </c>
      <c r="T13" s="23" t="n">
        <f aca="false">IF(E13=0,0,I13/E13)</f>
        <v>0.0916074100491831</v>
      </c>
    </row>
    <row r="14" customFormat="false" ht="11.25" hidden="false" customHeight="true" outlineLevel="0" collapsed="false">
      <c r="B14" s="24" t="s">
        <v>79</v>
      </c>
      <c r="C14" s="25" t="s">
        <v>80</v>
      </c>
      <c r="D14" s="24" t="n">
        <v>8</v>
      </c>
      <c r="E14" s="26" t="n">
        <v>398215</v>
      </c>
      <c r="F14" s="26" t="n">
        <v>34281</v>
      </c>
      <c r="G14" s="26" t="n">
        <v>58616</v>
      </c>
      <c r="H14" s="26" t="n">
        <v>818425</v>
      </c>
      <c r="I14" s="26" t="n">
        <v>8595.36994778491</v>
      </c>
      <c r="J14" s="26" t="n">
        <v>72631.1182641491</v>
      </c>
      <c r="K14" s="26" t="n">
        <v>75.4980214219506</v>
      </c>
      <c r="L14" s="26" t="n">
        <v>0</v>
      </c>
      <c r="M14" s="26" t="n">
        <v>245746.160137597</v>
      </c>
      <c r="N14" s="26" t="n">
        <v>224.922230018471</v>
      </c>
      <c r="O14" s="26" t="n">
        <v>1429.8181013601</v>
      </c>
      <c r="P14" s="26" t="n">
        <f aca="false">SUM(J14:O14)</f>
        <v>320107.516754546</v>
      </c>
      <c r="Q14" s="27" t="n">
        <f aca="false">IF(E14=0,0,H14/E14)</f>
        <v>2.05523398164308</v>
      </c>
      <c r="R14" s="28" t="n">
        <f aca="false">IF(E14=0,0,F14/E14)</f>
        <v>0.086086661727961</v>
      </c>
      <c r="S14" s="28" t="n">
        <f aca="false">IF(E14=0,0,G14/E14)</f>
        <v>0.14719686601459</v>
      </c>
      <c r="T14" s="28" t="n">
        <f aca="false">IF(E14=0,0,I14/E14)</f>
        <v>0.0215847468020665</v>
      </c>
    </row>
    <row r="15" customFormat="false" ht="11.25" hidden="false" customHeight="true" outlineLevel="0" collapsed="false">
      <c r="B15" s="19" t="s">
        <v>81</v>
      </c>
      <c r="C15" s="20" t="s">
        <v>82</v>
      </c>
      <c r="D15" s="19" t="n">
        <v>9</v>
      </c>
      <c r="E15" s="21" t="n">
        <v>71299</v>
      </c>
      <c r="F15" s="21" t="n">
        <v>8261</v>
      </c>
      <c r="G15" s="21" t="n">
        <v>14749</v>
      </c>
      <c r="H15" s="21" t="n">
        <v>130365</v>
      </c>
      <c r="I15" s="21" t="n">
        <v>1332.21294727024</v>
      </c>
      <c r="J15" s="21" t="n">
        <v>32213.8913671508</v>
      </c>
      <c r="K15" s="21" t="n">
        <v>0.101649971784228</v>
      </c>
      <c r="L15" s="21" t="n">
        <v>0</v>
      </c>
      <c r="M15" s="21" t="n">
        <v>16698.210469383</v>
      </c>
      <c r="N15" s="21" t="n">
        <v>208.070434000429</v>
      </c>
      <c r="O15" s="21" t="n">
        <v>-1813.6345720112</v>
      </c>
      <c r="P15" s="21" t="n">
        <f aca="false">SUM(J15:O15)</f>
        <v>47306.6393484948</v>
      </c>
      <c r="Q15" s="22" t="n">
        <f aca="false">IF(E15=0,0,H15/E15)</f>
        <v>1.8284267661538</v>
      </c>
      <c r="R15" s="23" t="n">
        <f aca="false">IF(E15=0,0,F15/E15)</f>
        <v>0.115864177618199</v>
      </c>
      <c r="S15" s="23" t="n">
        <f aca="false">IF(E15=0,0,G15/E15)</f>
        <v>0.20686124630079</v>
      </c>
      <c r="T15" s="23" t="n">
        <f aca="false">IF(E15=0,0,I15/E15)</f>
        <v>0.0186848756261692</v>
      </c>
    </row>
    <row r="16" customFormat="false" ht="11.25" hidden="false" customHeight="true" outlineLevel="0" collapsed="false">
      <c r="B16" s="24" t="s">
        <v>83</v>
      </c>
      <c r="C16" s="25" t="s">
        <v>84</v>
      </c>
      <c r="D16" s="24" t="n">
        <v>10</v>
      </c>
      <c r="E16" s="26" t="n">
        <v>393619</v>
      </c>
      <c r="F16" s="26" t="n">
        <v>36586</v>
      </c>
      <c r="G16" s="26" t="n">
        <v>67425</v>
      </c>
      <c r="H16" s="26" t="n">
        <v>1223741</v>
      </c>
      <c r="I16" s="26" t="n">
        <v>18949.2167597772</v>
      </c>
      <c r="J16" s="26" t="n">
        <v>43890.4534977564</v>
      </c>
      <c r="K16" s="26" t="n">
        <v>73.3667741180806</v>
      </c>
      <c r="L16" s="26" t="n">
        <v>0</v>
      </c>
      <c r="M16" s="26" t="n">
        <v>205118.62497806</v>
      </c>
      <c r="N16" s="26" t="n">
        <v>295.47642239038</v>
      </c>
      <c r="O16" s="26" t="n">
        <v>4940.46748892444</v>
      </c>
      <c r="P16" s="26" t="n">
        <f aca="false">SUM(J16:O16)</f>
        <v>254318.38916125</v>
      </c>
      <c r="Q16" s="27" t="n">
        <f aca="false">IF(E16=0,0,H16/E16)</f>
        <v>3.10894799285604</v>
      </c>
      <c r="R16" s="28" t="n">
        <f aca="false">IF(E16=0,0,F16/E16)</f>
        <v>0.09294774896537</v>
      </c>
      <c r="S16" s="28" t="n">
        <f aca="false">IF(E16=0,0,G16/E16)</f>
        <v>0.171295084840925</v>
      </c>
      <c r="T16" s="28" t="n">
        <f aca="false">IF(E16=0,0,I16/E16)</f>
        <v>0.0481410113835388</v>
      </c>
    </row>
    <row r="17" customFormat="false" ht="11.25" hidden="false" customHeight="true" outlineLevel="0" collapsed="false">
      <c r="B17" s="19" t="s">
        <v>85</v>
      </c>
      <c r="C17" s="20" t="s">
        <v>86</v>
      </c>
      <c r="D17" s="19" t="n">
        <v>11</v>
      </c>
      <c r="E17" s="21" t="n">
        <v>97251</v>
      </c>
      <c r="F17" s="21" t="n">
        <v>10044</v>
      </c>
      <c r="G17" s="21" t="n">
        <v>24280</v>
      </c>
      <c r="H17" s="21" t="n">
        <v>188466</v>
      </c>
      <c r="I17" s="21" t="n">
        <v>4539.14093930141</v>
      </c>
      <c r="J17" s="21" t="n">
        <v>2266.6768059502</v>
      </c>
      <c r="K17" s="21" t="n">
        <v>0.618712241634603</v>
      </c>
      <c r="L17" s="21" t="n">
        <v>0</v>
      </c>
      <c r="M17" s="21" t="n">
        <v>55191.9283794211</v>
      </c>
      <c r="N17" s="21" t="n">
        <v>137.028480513156</v>
      </c>
      <c r="O17" s="21" t="n">
        <v>2849.02398467768</v>
      </c>
      <c r="P17" s="21" t="n">
        <f aca="false">SUM(J17:O17)</f>
        <v>60445.2763628038</v>
      </c>
      <c r="Q17" s="22" t="n">
        <f aca="false">IF(E17=0,0,H17/E17)</f>
        <v>1.93793380016658</v>
      </c>
      <c r="R17" s="23" t="n">
        <f aca="false">IF(E17=0,0,F17/E17)</f>
        <v>0.103279143659191</v>
      </c>
      <c r="S17" s="23" t="n">
        <f aca="false">IF(E17=0,0,G17/E17)</f>
        <v>0.249663242537352</v>
      </c>
      <c r="T17" s="23" t="n">
        <f aca="false">IF(E17=0,0,I17/E17)</f>
        <v>0.0466744911548613</v>
      </c>
    </row>
    <row r="18" customFormat="false" ht="11.25" hidden="false" customHeight="true" outlineLevel="0" collapsed="false">
      <c r="B18" s="24" t="s">
        <v>87</v>
      </c>
      <c r="C18" s="25" t="s">
        <v>88</v>
      </c>
      <c r="D18" s="24" t="n">
        <v>12</v>
      </c>
      <c r="E18" s="26" t="n">
        <v>17271</v>
      </c>
      <c r="F18" s="26" t="n">
        <v>1839</v>
      </c>
      <c r="G18" s="26" t="n">
        <v>3834</v>
      </c>
      <c r="H18" s="26" t="n">
        <v>16862</v>
      </c>
      <c r="I18" s="26" t="n">
        <v>881.869965530001</v>
      </c>
      <c r="J18" s="26" t="n">
        <v>2908.66604013012</v>
      </c>
      <c r="K18" s="26" t="n">
        <v>0</v>
      </c>
      <c r="L18" s="26" t="n">
        <v>0</v>
      </c>
      <c r="M18" s="26" t="n">
        <v>13566.8174055806</v>
      </c>
      <c r="N18" s="26" t="n">
        <v>105.938112808278</v>
      </c>
      <c r="O18" s="26" t="n">
        <v>-78.8117525046643</v>
      </c>
      <c r="P18" s="26" t="n">
        <f aca="false">SUM(J18:O18)</f>
        <v>16502.6098060143</v>
      </c>
      <c r="Q18" s="27" t="n">
        <f aca="false">IF(E18=0,0,H18/E18)</f>
        <v>0.976318684500029</v>
      </c>
      <c r="R18" s="28" t="n">
        <f aca="false">IF(E18=0,0,F18/E18)</f>
        <v>0.106479068959528</v>
      </c>
      <c r="S18" s="28" t="n">
        <f aca="false">IF(E18=0,0,G18/E18)</f>
        <v>0.221990620114643</v>
      </c>
      <c r="T18" s="28" t="n">
        <f aca="false">IF(E18=0,0,I18/E18)</f>
        <v>0.0510607356568815</v>
      </c>
    </row>
    <row r="19" customFormat="false" ht="11.25" hidden="false" customHeight="true" outlineLevel="0" collapsed="false">
      <c r="B19" s="19" t="s">
        <v>89</v>
      </c>
      <c r="C19" s="20" t="s">
        <v>90</v>
      </c>
      <c r="D19" s="19" t="n">
        <v>13</v>
      </c>
      <c r="E19" s="21" t="n">
        <v>56657</v>
      </c>
      <c r="F19" s="21" t="n">
        <v>10391</v>
      </c>
      <c r="G19" s="21" t="n">
        <v>12780</v>
      </c>
      <c r="H19" s="21" t="n">
        <v>584268</v>
      </c>
      <c r="I19" s="21" t="n">
        <v>5927.28229513355</v>
      </c>
      <c r="J19" s="21" t="n">
        <v>1506.74110572652</v>
      </c>
      <c r="K19" s="21" t="n">
        <v>0.0467588735210798</v>
      </c>
      <c r="L19" s="21" t="n">
        <v>0</v>
      </c>
      <c r="M19" s="21" t="n">
        <v>19878.3064189003</v>
      </c>
      <c r="N19" s="21" t="n">
        <v>115.308526138718</v>
      </c>
      <c r="O19" s="21" t="n">
        <v>1396.64088856342</v>
      </c>
      <c r="P19" s="21" t="n">
        <f aca="false">SUM(J19:O19)</f>
        <v>22897.0436982025</v>
      </c>
      <c r="Q19" s="22" t="n">
        <f aca="false">IF(E19=0,0,H19/E19)</f>
        <v>10.3123709338652</v>
      </c>
      <c r="R19" s="23" t="n">
        <f aca="false">IF(E19=0,0,F19/E19)</f>
        <v>0.183401874437404</v>
      </c>
      <c r="S19" s="23" t="n">
        <f aca="false">IF(E19=0,0,G19/E19)</f>
        <v>0.22556789099317</v>
      </c>
      <c r="T19" s="23" t="n">
        <f aca="false">IF(E19=0,0,I19/E19)</f>
        <v>0.104616945746043</v>
      </c>
    </row>
    <row r="20" customFormat="false" ht="11.25" hidden="false" customHeight="true" outlineLevel="0" collapsed="false">
      <c r="B20" s="24" t="s">
        <v>91</v>
      </c>
      <c r="C20" s="25" t="s">
        <v>92</v>
      </c>
      <c r="D20" s="24" t="n">
        <v>14</v>
      </c>
      <c r="E20" s="26" t="n">
        <v>63967</v>
      </c>
      <c r="F20" s="26" t="n">
        <v>16634</v>
      </c>
      <c r="G20" s="26" t="n">
        <v>24071</v>
      </c>
      <c r="H20" s="26" t="n">
        <v>1513256</v>
      </c>
      <c r="I20" s="26" t="n">
        <v>4710.3014696971</v>
      </c>
      <c r="J20" s="26" t="n">
        <v>826.910111013237</v>
      </c>
      <c r="K20" s="26" t="n">
        <v>9.56993167805365</v>
      </c>
      <c r="L20" s="26" t="n">
        <v>0</v>
      </c>
      <c r="M20" s="26" t="n">
        <v>58932.6205442547</v>
      </c>
      <c r="N20" s="26" t="n">
        <v>81.1928796956652</v>
      </c>
      <c r="O20" s="26" t="n">
        <v>-2656.37294307939</v>
      </c>
      <c r="P20" s="26" t="n">
        <f aca="false">SUM(J20:O20)</f>
        <v>57193.9205235623</v>
      </c>
      <c r="Q20" s="27" t="n">
        <f aca="false">IF(E20=0,0,H20/E20)</f>
        <v>23.6568230493848</v>
      </c>
      <c r="R20" s="28" t="n">
        <f aca="false">IF(E20=0,0,F20/E20)</f>
        <v>0.260040333296856</v>
      </c>
      <c r="S20" s="28" t="n">
        <f aca="false">IF(E20=0,0,G20/E20)</f>
        <v>0.376303406443948</v>
      </c>
      <c r="T20" s="28" t="n">
        <f aca="false">IF(E20=0,0,I20/E20)</f>
        <v>0.0736364292478481</v>
      </c>
    </row>
    <row r="21" customFormat="false" ht="11.25" hidden="false" customHeight="true" outlineLevel="0" collapsed="false">
      <c r="B21" s="19" t="s">
        <v>93</v>
      </c>
      <c r="C21" s="20" t="s">
        <v>94</v>
      </c>
      <c r="D21" s="19" t="n">
        <v>15</v>
      </c>
      <c r="E21" s="21" t="n">
        <v>36834</v>
      </c>
      <c r="F21" s="21" t="n">
        <v>9448</v>
      </c>
      <c r="G21" s="21" t="n">
        <v>13560</v>
      </c>
      <c r="H21" s="21" t="n">
        <v>414887</v>
      </c>
      <c r="I21" s="21" t="n">
        <v>2438.90155343149</v>
      </c>
      <c r="J21" s="21" t="n">
        <v>4126.15740553777</v>
      </c>
      <c r="K21" s="21" t="n">
        <v>0.0698752331663118</v>
      </c>
      <c r="L21" s="21" t="n">
        <v>0</v>
      </c>
      <c r="M21" s="21" t="n">
        <v>28777.2279387176</v>
      </c>
      <c r="N21" s="21" t="n">
        <v>319.081387009784</v>
      </c>
      <c r="O21" s="21" t="n">
        <v>-486.731788250349</v>
      </c>
      <c r="P21" s="21" t="n">
        <f aca="false">SUM(J21:O21)</f>
        <v>32735.804818248</v>
      </c>
      <c r="Q21" s="22" t="n">
        <f aca="false">IF(E21=0,0,H21/E21)</f>
        <v>11.2636965846772</v>
      </c>
      <c r="R21" s="23" t="n">
        <f aca="false">IF(E21=0,0,F21/E21)</f>
        <v>0.256502144757561</v>
      </c>
      <c r="S21" s="23" t="n">
        <f aca="false">IF(E21=0,0,G21/E21)</f>
        <v>0.368138133246457</v>
      </c>
      <c r="T21" s="23" t="n">
        <f aca="false">IF(E21=0,0,I21/E21)</f>
        <v>0.0662133233814273</v>
      </c>
    </row>
    <row r="22" customFormat="false" ht="11.25" hidden="false" customHeight="true" outlineLevel="0" collapsed="false">
      <c r="B22" s="24" t="s">
        <v>95</v>
      </c>
      <c r="C22" s="25" t="s">
        <v>96</v>
      </c>
      <c r="D22" s="24" t="n">
        <v>16</v>
      </c>
      <c r="E22" s="26" t="n">
        <v>39395</v>
      </c>
      <c r="F22" s="26" t="n">
        <v>7029</v>
      </c>
      <c r="G22" s="26" t="n">
        <v>14503</v>
      </c>
      <c r="H22" s="26" t="n">
        <v>355512</v>
      </c>
      <c r="I22" s="26" t="n">
        <v>1839.71577281443</v>
      </c>
      <c r="J22" s="26" t="n">
        <v>11639.3915311032</v>
      </c>
      <c r="K22" s="26" t="n">
        <v>0.00405837820963084</v>
      </c>
      <c r="L22" s="26" t="n">
        <v>0</v>
      </c>
      <c r="M22" s="26" t="n">
        <v>2806.32834591318</v>
      </c>
      <c r="N22" s="26" t="n">
        <v>136.419728060515</v>
      </c>
      <c r="O22" s="26" t="n">
        <v>-1212.14441833165</v>
      </c>
      <c r="P22" s="26" t="n">
        <f aca="false">SUM(J22:O22)</f>
        <v>13369.9992451234</v>
      </c>
      <c r="Q22" s="27" t="n">
        <f aca="false">IF(E22=0,0,H22/E22)</f>
        <v>9.02429242289631</v>
      </c>
      <c r="R22" s="28" t="n">
        <f aca="false">IF(E22=0,0,F22/E22)</f>
        <v>0.178423657824597</v>
      </c>
      <c r="S22" s="28" t="n">
        <f aca="false">IF(E22=0,0,G22/E22)</f>
        <v>0.368143165376317</v>
      </c>
      <c r="T22" s="28" t="n">
        <f aca="false">IF(E22=0,0,I22/E22)</f>
        <v>0.0466992200232118</v>
      </c>
    </row>
    <row r="23" customFormat="false" ht="11.25" hidden="false" customHeight="true" outlineLevel="0" collapsed="false">
      <c r="B23" s="19" t="s">
        <v>97</v>
      </c>
      <c r="C23" s="20" t="s">
        <v>98</v>
      </c>
      <c r="D23" s="19" t="n">
        <v>17</v>
      </c>
      <c r="E23" s="21" t="n">
        <v>120555</v>
      </c>
      <c r="F23" s="21" t="n">
        <v>14705</v>
      </c>
      <c r="G23" s="21" t="n">
        <v>30256</v>
      </c>
      <c r="H23" s="21" t="n">
        <v>203365</v>
      </c>
      <c r="I23" s="21" t="n">
        <v>10193.4959546796</v>
      </c>
      <c r="J23" s="21" t="n">
        <v>34354.10369175</v>
      </c>
      <c r="K23" s="21" t="n">
        <v>0</v>
      </c>
      <c r="L23" s="21" t="n">
        <v>0</v>
      </c>
      <c r="M23" s="21" t="n">
        <v>16280.7604729915</v>
      </c>
      <c r="N23" s="21" t="n">
        <v>230.326749029165</v>
      </c>
      <c r="O23" s="21" t="n">
        <v>-2556.09830433543</v>
      </c>
      <c r="P23" s="21" t="n">
        <f aca="false">SUM(J23:O23)</f>
        <v>48309.0926094352</v>
      </c>
      <c r="Q23" s="22" t="n">
        <f aca="false">IF(E23=0,0,H23/E23)</f>
        <v>1.68690639127369</v>
      </c>
      <c r="R23" s="23" t="n">
        <f aca="false">IF(E23=0,0,F23/E23)</f>
        <v>0.121977520633736</v>
      </c>
      <c r="S23" s="23" t="n">
        <f aca="false">IF(E23=0,0,G23/E23)</f>
        <v>0.25097258512712</v>
      </c>
      <c r="T23" s="23" t="n">
        <f aca="false">IF(E23=0,0,I23/E23)</f>
        <v>0.0845547339776833</v>
      </c>
    </row>
    <row r="24" customFormat="false" ht="11.25" hidden="false" customHeight="true" outlineLevel="0" collapsed="false">
      <c r="B24" s="24" t="s">
        <v>99</v>
      </c>
      <c r="C24" s="25" t="s">
        <v>100</v>
      </c>
      <c r="D24" s="24" t="n">
        <v>18</v>
      </c>
      <c r="E24" s="26" t="n">
        <v>19031</v>
      </c>
      <c r="F24" s="26" t="n">
        <v>5236</v>
      </c>
      <c r="G24" s="26" t="n">
        <v>8762</v>
      </c>
      <c r="H24" s="26" t="n">
        <v>161591</v>
      </c>
      <c r="I24" s="26" t="n">
        <v>1424.32783776102</v>
      </c>
      <c r="J24" s="26" t="n">
        <v>148.143039405076</v>
      </c>
      <c r="K24" s="26" t="n">
        <v>0</v>
      </c>
      <c r="L24" s="26" t="n">
        <v>0</v>
      </c>
      <c r="M24" s="26" t="n">
        <v>1155.30602505307</v>
      </c>
      <c r="N24" s="26" t="n">
        <v>43.016370688848</v>
      </c>
      <c r="O24" s="26" t="n">
        <v>-791.874619337663</v>
      </c>
      <c r="P24" s="26" t="n">
        <f aca="false">SUM(J24:O24)</f>
        <v>554.59081580933</v>
      </c>
      <c r="Q24" s="27" t="n">
        <f aca="false">IF(E24=0,0,H24/E24)</f>
        <v>8.49093584152173</v>
      </c>
      <c r="R24" s="28" t="n">
        <f aca="false">IF(E24=0,0,F24/E24)</f>
        <v>0.275130050969471</v>
      </c>
      <c r="S24" s="28" t="n">
        <f aca="false">IF(E24=0,0,G24/E24)</f>
        <v>0.460406704849982</v>
      </c>
      <c r="T24" s="28" t="n">
        <f aca="false">IF(E24=0,0,I24/E24)</f>
        <v>0.0748425115738017</v>
      </c>
    </row>
    <row r="25" customFormat="false" ht="11.25" hidden="false" customHeight="true" outlineLevel="0" collapsed="false">
      <c r="B25" s="19" t="s">
        <v>101</v>
      </c>
      <c r="C25" s="20" t="s">
        <v>102</v>
      </c>
      <c r="D25" s="19" t="n">
        <v>19</v>
      </c>
      <c r="E25" s="21" t="n">
        <v>445080</v>
      </c>
      <c r="F25" s="21" t="n">
        <v>9827</v>
      </c>
      <c r="G25" s="21" t="n">
        <v>66048</v>
      </c>
      <c r="H25" s="21" t="n">
        <v>22298</v>
      </c>
      <c r="I25" s="21" t="n">
        <v>39387.6097627736</v>
      </c>
      <c r="J25" s="21" t="n">
        <v>20687.6352751856</v>
      </c>
      <c r="K25" s="21" t="n">
        <v>0</v>
      </c>
      <c r="L25" s="21" t="n">
        <v>0</v>
      </c>
      <c r="M25" s="21" t="n">
        <v>112545.970935905</v>
      </c>
      <c r="N25" s="21" t="n">
        <v>0.0462453058028902</v>
      </c>
      <c r="O25" s="21" t="n">
        <v>1545.41617766607</v>
      </c>
      <c r="P25" s="21" t="n">
        <f aca="false">SUM(J25:O25)</f>
        <v>134779.068634062</v>
      </c>
      <c r="Q25" s="22" t="n">
        <f aca="false">IF(E25=0,0,H25/E25)</f>
        <v>0.050098858632156</v>
      </c>
      <c r="R25" s="23" t="n">
        <f aca="false">IF(E25=0,0,F25/E25)</f>
        <v>0.0220791767772086</v>
      </c>
      <c r="S25" s="23" t="n">
        <f aca="false">IF(E25=0,0,G25/E25)</f>
        <v>0.148395794014559</v>
      </c>
      <c r="T25" s="23" t="n">
        <f aca="false">IF(E25=0,0,I25/E25)</f>
        <v>0.0884955732964267</v>
      </c>
    </row>
    <row r="26" customFormat="false" ht="11.25" hidden="false" customHeight="true" outlineLevel="0" collapsed="false">
      <c r="B26" s="24" t="s">
        <v>103</v>
      </c>
      <c r="C26" s="25" t="s">
        <v>104</v>
      </c>
      <c r="D26" s="24" t="n">
        <v>20</v>
      </c>
      <c r="E26" s="26" t="n">
        <v>72877</v>
      </c>
      <c r="F26" s="26" t="n">
        <v>7727</v>
      </c>
      <c r="G26" s="26" t="n">
        <v>20382</v>
      </c>
      <c r="H26" s="26" t="n">
        <v>112760</v>
      </c>
      <c r="I26" s="26" t="n">
        <v>1555.67908027978</v>
      </c>
      <c r="J26" s="26" t="n">
        <v>10121.8119917579</v>
      </c>
      <c r="K26" s="26" t="n">
        <v>0.143254407836262</v>
      </c>
      <c r="L26" s="26" t="n">
        <v>0</v>
      </c>
      <c r="M26" s="26" t="n">
        <v>27243.0578892792</v>
      </c>
      <c r="N26" s="26" t="n">
        <v>12.8015012048798</v>
      </c>
      <c r="O26" s="26" t="n">
        <v>-924.001411481006</v>
      </c>
      <c r="P26" s="26" t="n">
        <f aca="false">SUM(J26:O26)</f>
        <v>36453.8132251689</v>
      </c>
      <c r="Q26" s="27" t="n">
        <f aca="false">IF(E26=0,0,H26/E26)</f>
        <v>1.54726456906843</v>
      </c>
      <c r="R26" s="28" t="n">
        <f aca="false">IF(E26=0,0,F26/E26)</f>
        <v>0.106027964927206</v>
      </c>
      <c r="S26" s="28" t="n">
        <f aca="false">IF(E26=0,0,G26/E26)</f>
        <v>0.279676715561837</v>
      </c>
      <c r="T26" s="28" t="n">
        <f aca="false">IF(E26=0,0,I26/E26)</f>
        <v>0.0213466399588318</v>
      </c>
    </row>
    <row r="27" customFormat="false" ht="11.25" hidden="false" customHeight="true" outlineLevel="0" collapsed="false">
      <c r="B27" s="19" t="s">
        <v>105</v>
      </c>
      <c r="C27" s="20" t="s">
        <v>106</v>
      </c>
      <c r="D27" s="19" t="n">
        <v>21</v>
      </c>
      <c r="E27" s="21" t="n">
        <v>210605</v>
      </c>
      <c r="F27" s="21" t="n">
        <v>13202</v>
      </c>
      <c r="G27" s="21" t="n">
        <v>35137</v>
      </c>
      <c r="H27" s="21" t="n">
        <v>102708</v>
      </c>
      <c r="I27" s="21" t="n">
        <v>50510.5714143136</v>
      </c>
      <c r="J27" s="21" t="n">
        <v>11999.7795690218</v>
      </c>
      <c r="K27" s="21" t="n">
        <v>4.73087001840449</v>
      </c>
      <c r="L27" s="21" t="n">
        <v>0</v>
      </c>
      <c r="M27" s="21" t="n">
        <v>4219.28911215656</v>
      </c>
      <c r="N27" s="21" t="n">
        <v>739.824332171418</v>
      </c>
      <c r="O27" s="21" t="n">
        <v>2814.46893723941</v>
      </c>
      <c r="P27" s="21" t="n">
        <f aca="false">SUM(J27:O27)</f>
        <v>19778.0928206076</v>
      </c>
      <c r="Q27" s="22" t="n">
        <f aca="false">IF(E27=0,0,H27/E27)</f>
        <v>0.487680729327414</v>
      </c>
      <c r="R27" s="23" t="n">
        <f aca="false">IF(E27=0,0,F27/E27)</f>
        <v>0.0626860710809335</v>
      </c>
      <c r="S27" s="23" t="n">
        <f aca="false">IF(E27=0,0,G27/E27)</f>
        <v>0.166838394150186</v>
      </c>
      <c r="T27" s="23" t="n">
        <f aca="false">IF(E27=0,0,I27/E27)</f>
        <v>0.239835575671582</v>
      </c>
    </row>
    <row r="28" customFormat="false" ht="11.25" hidden="false" customHeight="true" outlineLevel="0" collapsed="false">
      <c r="B28" s="24" t="s">
        <v>107</v>
      </c>
      <c r="C28" s="25" t="s">
        <v>108</v>
      </c>
      <c r="D28" s="24" t="n">
        <v>22</v>
      </c>
      <c r="E28" s="26" t="n">
        <v>119141</v>
      </c>
      <c r="F28" s="26" t="n">
        <v>9984</v>
      </c>
      <c r="G28" s="26" t="n">
        <v>23014</v>
      </c>
      <c r="H28" s="26" t="n">
        <v>92434</v>
      </c>
      <c r="I28" s="26" t="n">
        <v>24928.724506864</v>
      </c>
      <c r="J28" s="26" t="n">
        <v>6732.74227090029</v>
      </c>
      <c r="K28" s="26" t="n">
        <v>3.97629667685355</v>
      </c>
      <c r="L28" s="26" t="n">
        <v>0</v>
      </c>
      <c r="M28" s="26" t="n">
        <v>3151.97908276325</v>
      </c>
      <c r="N28" s="26" t="n">
        <v>1079.27771098642</v>
      </c>
      <c r="O28" s="26" t="n">
        <v>2314.2773034777</v>
      </c>
      <c r="P28" s="26" t="n">
        <f aca="false">SUM(J28:O28)</f>
        <v>13282.2526648045</v>
      </c>
      <c r="Q28" s="27" t="n">
        <f aca="false">IF(E28=0,0,H28/E28)</f>
        <v>0.775837033430977</v>
      </c>
      <c r="R28" s="28" t="n">
        <f aca="false">IF(E28=0,0,F28/E28)</f>
        <v>0.083799867384024</v>
      </c>
      <c r="S28" s="28" t="n">
        <f aca="false">IF(E28=0,0,G28/E28)</f>
        <v>0.193166080526435</v>
      </c>
      <c r="T28" s="28" t="n">
        <f aca="false">IF(E28=0,0,I28/E28)</f>
        <v>0.209237160229174</v>
      </c>
    </row>
    <row r="29" customFormat="false" ht="11.25" hidden="false" customHeight="true" outlineLevel="0" collapsed="false">
      <c r="B29" s="19" t="s">
        <v>109</v>
      </c>
      <c r="C29" s="20" t="s">
        <v>110</v>
      </c>
      <c r="D29" s="19" t="n">
        <v>23</v>
      </c>
      <c r="E29" s="21" t="n">
        <v>60459</v>
      </c>
      <c r="F29" s="21" t="n">
        <v>6767</v>
      </c>
      <c r="G29" s="21" t="n">
        <v>13361</v>
      </c>
      <c r="H29" s="21" t="n">
        <v>140629</v>
      </c>
      <c r="I29" s="21" t="n">
        <v>7864.11521594908</v>
      </c>
      <c r="J29" s="21" t="n">
        <v>2438.47009261823</v>
      </c>
      <c r="K29" s="21" t="n">
        <v>4.95914091897558</v>
      </c>
      <c r="L29" s="21" t="n">
        <v>0</v>
      </c>
      <c r="M29" s="21" t="n">
        <v>42098.3019937087</v>
      </c>
      <c r="N29" s="21" t="n">
        <v>548.396004740237</v>
      </c>
      <c r="O29" s="21" t="n">
        <v>-116.369908661837</v>
      </c>
      <c r="P29" s="21" t="n">
        <f aca="false">SUM(J29:O29)</f>
        <v>44973.7573233243</v>
      </c>
      <c r="Q29" s="22" t="n">
        <f aca="false">IF(E29=0,0,H29/E29)</f>
        <v>2.32602259382391</v>
      </c>
      <c r="R29" s="23" t="n">
        <f aca="false">IF(E29=0,0,F29/E29)</f>
        <v>0.111927091086521</v>
      </c>
      <c r="S29" s="23" t="n">
        <f aca="false">IF(E29=0,0,G29/E29)</f>
        <v>0.220992738880894</v>
      </c>
      <c r="T29" s="23" t="n">
        <f aca="false">IF(E29=0,0,I29/E29)</f>
        <v>0.130073524470287</v>
      </c>
    </row>
    <row r="30" customFormat="false" ht="11.25" hidden="false" customHeight="true" outlineLevel="0" collapsed="false">
      <c r="B30" s="24" t="s">
        <v>111</v>
      </c>
      <c r="C30" s="25" t="s">
        <v>112</v>
      </c>
      <c r="D30" s="24" t="n">
        <v>24</v>
      </c>
      <c r="E30" s="26" t="n">
        <v>87234</v>
      </c>
      <c r="F30" s="26" t="n">
        <v>14419</v>
      </c>
      <c r="G30" s="26" t="n">
        <v>39955</v>
      </c>
      <c r="H30" s="26" t="n">
        <v>111664</v>
      </c>
      <c r="I30" s="26" t="n">
        <v>6710.74090094036</v>
      </c>
      <c r="J30" s="26" t="n">
        <v>2288.29900438739</v>
      </c>
      <c r="K30" s="26" t="n">
        <v>3427.06893859031</v>
      </c>
      <c r="L30" s="26" t="n">
        <v>0</v>
      </c>
      <c r="M30" s="26" t="n">
        <v>52433.4724015041</v>
      </c>
      <c r="N30" s="26" t="n">
        <v>1332.48866299743</v>
      </c>
      <c r="O30" s="26" t="n">
        <v>1235.9449805654</v>
      </c>
      <c r="P30" s="26" t="n">
        <f aca="false">SUM(J30:O30)</f>
        <v>60717.2739880447</v>
      </c>
      <c r="Q30" s="27" t="n">
        <f aca="false">IF(E30=0,0,H30/E30)</f>
        <v>1.28005135612261</v>
      </c>
      <c r="R30" s="28" t="n">
        <f aca="false">IF(E30=0,0,F30/E30)</f>
        <v>0.16529105623954</v>
      </c>
      <c r="S30" s="28" t="n">
        <f aca="false">IF(E30=0,0,G30/E30)</f>
        <v>0.458020955132173</v>
      </c>
      <c r="T30" s="28" t="n">
        <f aca="false">IF(E30=0,0,I30/E30)</f>
        <v>0.0769280429756787</v>
      </c>
    </row>
    <row r="31" customFormat="false" ht="11.25" hidden="false" customHeight="true" outlineLevel="0" collapsed="false">
      <c r="B31" s="19" t="s">
        <v>113</v>
      </c>
      <c r="C31" s="20" t="s">
        <v>114</v>
      </c>
      <c r="D31" s="19" t="n">
        <v>25</v>
      </c>
      <c r="E31" s="21" t="n">
        <v>136308</v>
      </c>
      <c r="F31" s="21" t="n">
        <v>22668</v>
      </c>
      <c r="G31" s="21" t="n">
        <v>32458</v>
      </c>
      <c r="H31" s="21" t="n">
        <v>428125</v>
      </c>
      <c r="I31" s="21" t="n">
        <v>19244.105944844</v>
      </c>
      <c r="J31" s="21" t="n">
        <v>7422.51573874458</v>
      </c>
      <c r="K31" s="21" t="n">
        <v>0.907027728968635</v>
      </c>
      <c r="L31" s="21" t="n">
        <v>0</v>
      </c>
      <c r="M31" s="21" t="n">
        <v>16602.3338732918</v>
      </c>
      <c r="N31" s="21" t="n">
        <v>1352.01496557911</v>
      </c>
      <c r="O31" s="21" t="n">
        <v>1168.52823420128</v>
      </c>
      <c r="P31" s="21" t="n">
        <f aca="false">SUM(J31:O31)</f>
        <v>26546.2998395457</v>
      </c>
      <c r="Q31" s="22" t="n">
        <f aca="false">IF(E31=0,0,H31/E31)</f>
        <v>3.14086480617425</v>
      </c>
      <c r="R31" s="23" t="n">
        <f aca="false">IF(E31=0,0,F31/E31)</f>
        <v>0.166299850338938</v>
      </c>
      <c r="S31" s="23" t="n">
        <f aca="false">IF(E31=0,0,G31/E31)</f>
        <v>0.238122487308155</v>
      </c>
      <c r="T31" s="23" t="n">
        <f aca="false">IF(E31=0,0,I31/E31)</f>
        <v>0.141181045462071</v>
      </c>
    </row>
    <row r="32" customFormat="false" ht="11.25" hidden="false" customHeight="true" outlineLevel="0" collapsed="false">
      <c r="B32" s="24" t="s">
        <v>115</v>
      </c>
      <c r="C32" s="25" t="s">
        <v>116</v>
      </c>
      <c r="D32" s="24" t="n">
        <v>26</v>
      </c>
      <c r="E32" s="26" t="n">
        <v>101587</v>
      </c>
      <c r="F32" s="26" t="n">
        <v>20250</v>
      </c>
      <c r="G32" s="26" t="n">
        <v>30218</v>
      </c>
      <c r="H32" s="26" t="n">
        <v>563507</v>
      </c>
      <c r="I32" s="26" t="n">
        <v>6987.85668664481</v>
      </c>
      <c r="J32" s="26" t="n">
        <v>5952.98033641646</v>
      </c>
      <c r="K32" s="26" t="n">
        <v>5.67610897959</v>
      </c>
      <c r="L32" s="26" t="n">
        <v>0</v>
      </c>
      <c r="M32" s="26" t="n">
        <v>3908.40951804545</v>
      </c>
      <c r="N32" s="26" t="n">
        <v>714.557076269169</v>
      </c>
      <c r="O32" s="26" t="n">
        <v>1654.00409807841</v>
      </c>
      <c r="P32" s="26" t="n">
        <f aca="false">SUM(J32:O32)</f>
        <v>12235.6271377891</v>
      </c>
      <c r="Q32" s="27" t="n">
        <f aca="false">IF(E32=0,0,H32/E32)</f>
        <v>5.54703849902054</v>
      </c>
      <c r="R32" s="28" t="n">
        <f aca="false">IF(E32=0,0,F32/E32)</f>
        <v>0.199336529280321</v>
      </c>
      <c r="S32" s="28" t="n">
        <f aca="false">IF(E32=0,0,G32/E32)</f>
        <v>0.297459320582358</v>
      </c>
      <c r="T32" s="28" t="n">
        <f aca="false">IF(E32=0,0,I32/E32)</f>
        <v>0.0687869184703241</v>
      </c>
    </row>
    <row r="33" customFormat="false" ht="11.25" hidden="false" customHeight="true" outlineLevel="0" collapsed="false">
      <c r="B33" s="19" t="s">
        <v>117</v>
      </c>
      <c r="C33" s="20" t="s">
        <v>118</v>
      </c>
      <c r="D33" s="19" t="n">
        <v>27</v>
      </c>
      <c r="E33" s="21" t="n">
        <v>154385</v>
      </c>
      <c r="F33" s="21" t="n">
        <v>13160</v>
      </c>
      <c r="G33" s="21" t="n">
        <v>20344</v>
      </c>
      <c r="H33" s="21" t="n">
        <v>121685</v>
      </c>
      <c r="I33" s="21" t="n">
        <v>15788.1038922902</v>
      </c>
      <c r="J33" s="21" t="n">
        <v>38005.1933380632</v>
      </c>
      <c r="K33" s="21" t="n">
        <v>0</v>
      </c>
      <c r="L33" s="21" t="n">
        <v>0</v>
      </c>
      <c r="M33" s="21" t="n">
        <v>2051.77927277975</v>
      </c>
      <c r="N33" s="21" t="n">
        <v>1073.36255154212</v>
      </c>
      <c r="O33" s="21" t="n">
        <v>-533.879053090815</v>
      </c>
      <c r="P33" s="21" t="n">
        <f aca="false">SUM(J33:O33)</f>
        <v>40596.4561092942</v>
      </c>
      <c r="Q33" s="22" t="n">
        <f aca="false">IF(E33=0,0,H33/E33)</f>
        <v>0.788191858017294</v>
      </c>
      <c r="R33" s="23" t="n">
        <f aca="false">IF(E33=0,0,F33/E33)</f>
        <v>0.0852414418499207</v>
      </c>
      <c r="S33" s="23" t="n">
        <f aca="false">IF(E33=0,0,G33/E33)</f>
        <v>0.131774459954011</v>
      </c>
      <c r="T33" s="23" t="n">
        <f aca="false">IF(E33=0,0,I33/E33)</f>
        <v>0.102264493909967</v>
      </c>
    </row>
    <row r="34" customFormat="false" ht="11.25" hidden="false" customHeight="true" outlineLevel="0" collapsed="false">
      <c r="B34" s="24" t="s">
        <v>119</v>
      </c>
      <c r="C34" s="25" t="s">
        <v>120</v>
      </c>
      <c r="D34" s="24" t="n">
        <v>28</v>
      </c>
      <c r="E34" s="26" t="n">
        <v>85765</v>
      </c>
      <c r="F34" s="26" t="n">
        <v>6621</v>
      </c>
      <c r="G34" s="26" t="n">
        <v>20496</v>
      </c>
      <c r="H34" s="26" t="n">
        <v>101615</v>
      </c>
      <c r="I34" s="26" t="n">
        <v>9054.29130866939</v>
      </c>
      <c r="J34" s="26" t="n">
        <v>30344.4488410298</v>
      </c>
      <c r="K34" s="26" t="n">
        <v>0</v>
      </c>
      <c r="L34" s="26" t="n">
        <v>0</v>
      </c>
      <c r="M34" s="26" t="n">
        <v>2117.65080378778</v>
      </c>
      <c r="N34" s="26" t="n">
        <v>479.337047743655</v>
      </c>
      <c r="O34" s="26" t="n">
        <v>-2721.2735579415</v>
      </c>
      <c r="P34" s="26" t="n">
        <f aca="false">SUM(J34:O34)</f>
        <v>30220.1631346197</v>
      </c>
      <c r="Q34" s="27" t="n">
        <f aca="false">IF(E34=0,0,H34/E34)</f>
        <v>1.18480732233429</v>
      </c>
      <c r="R34" s="28" t="n">
        <f aca="false">IF(E34=0,0,F34/E34)</f>
        <v>0.0771993237334577</v>
      </c>
      <c r="S34" s="28" t="n">
        <f aca="false">IF(E34=0,0,G34/E34)</f>
        <v>0.238978604325774</v>
      </c>
      <c r="T34" s="28" t="n">
        <f aca="false">IF(E34=0,0,I34/E34)</f>
        <v>0.105570935797463</v>
      </c>
    </row>
    <row r="35" customFormat="false" ht="11.25" hidden="false" customHeight="true" outlineLevel="0" collapsed="false">
      <c r="B35" s="19" t="s">
        <v>121</v>
      </c>
      <c r="C35" s="20" t="s">
        <v>122</v>
      </c>
      <c r="D35" s="19" t="n">
        <v>29</v>
      </c>
      <c r="E35" s="21" t="n">
        <v>125635</v>
      </c>
      <c r="F35" s="21" t="n">
        <v>22556</v>
      </c>
      <c r="G35" s="21" t="n">
        <v>37450</v>
      </c>
      <c r="H35" s="21" t="n">
        <v>636250</v>
      </c>
      <c r="I35" s="21" t="n">
        <v>12116.5981250045</v>
      </c>
      <c r="J35" s="21" t="n">
        <v>6433.42136732692</v>
      </c>
      <c r="K35" s="21" t="n">
        <v>0</v>
      </c>
      <c r="L35" s="21" t="n">
        <v>0</v>
      </c>
      <c r="M35" s="21" t="n">
        <v>13487.6457662264</v>
      </c>
      <c r="N35" s="21" t="n">
        <v>10193.248377284</v>
      </c>
      <c r="O35" s="21" t="n">
        <v>107.364931252127</v>
      </c>
      <c r="P35" s="21" t="n">
        <f aca="false">SUM(J35:O35)</f>
        <v>30221.6804420895</v>
      </c>
      <c r="Q35" s="22" t="n">
        <f aca="false">IF(E35=0,0,H35/E35)</f>
        <v>5.06427349066741</v>
      </c>
      <c r="R35" s="23" t="n">
        <f aca="false">IF(E35=0,0,F35/E35)</f>
        <v>0.179535957336729</v>
      </c>
      <c r="S35" s="23" t="n">
        <f aca="false">IF(E35=0,0,G35/E35)</f>
        <v>0.298085724519441</v>
      </c>
      <c r="T35" s="23" t="n">
        <f aca="false">IF(E35=0,0,I35/E35)</f>
        <v>0.0964428552951365</v>
      </c>
    </row>
    <row r="36" customFormat="false" ht="11.25" hidden="false" customHeight="true" outlineLevel="0" collapsed="false">
      <c r="B36" s="24" t="s">
        <v>123</v>
      </c>
      <c r="C36" s="25" t="s">
        <v>124</v>
      </c>
      <c r="D36" s="24" t="n">
        <v>30</v>
      </c>
      <c r="E36" s="26" t="n">
        <v>116628</v>
      </c>
      <c r="F36" s="26" t="n">
        <v>9577</v>
      </c>
      <c r="G36" s="26" t="n">
        <v>17412</v>
      </c>
      <c r="H36" s="26" t="n">
        <v>115876</v>
      </c>
      <c r="I36" s="26" t="n">
        <v>39626.9035879451</v>
      </c>
      <c r="J36" s="26" t="n">
        <v>2121.70043295023</v>
      </c>
      <c r="K36" s="26" t="n">
        <v>0</v>
      </c>
      <c r="L36" s="26" t="n">
        <v>0</v>
      </c>
      <c r="M36" s="26" t="n">
        <v>44272.1068303711</v>
      </c>
      <c r="N36" s="26" t="n">
        <v>31910.8032470414</v>
      </c>
      <c r="O36" s="26" t="n">
        <v>383.658675875184</v>
      </c>
      <c r="P36" s="26" t="n">
        <f aca="false">SUM(J36:O36)</f>
        <v>78688.2691862379</v>
      </c>
      <c r="Q36" s="27" t="n">
        <f aca="false">IF(E36=0,0,H36/E36)</f>
        <v>0.993552148712145</v>
      </c>
      <c r="R36" s="28" t="n">
        <f aca="false">IF(E36=0,0,F36/E36)</f>
        <v>0.0821157869465309</v>
      </c>
      <c r="S36" s="28" t="n">
        <f aca="false">IF(E36=0,0,G36/E36)</f>
        <v>0.149295194978907</v>
      </c>
      <c r="T36" s="28" t="n">
        <f aca="false">IF(E36=0,0,I36/E36)</f>
        <v>0.339771783687837</v>
      </c>
    </row>
    <row r="37" customFormat="false" ht="11.25" hidden="false" customHeight="true" outlineLevel="0" collapsed="false">
      <c r="B37" s="19" t="s">
        <v>125</v>
      </c>
      <c r="C37" s="20" t="s">
        <v>126</v>
      </c>
      <c r="D37" s="19" t="n">
        <v>31</v>
      </c>
      <c r="E37" s="21" t="n">
        <v>99669</v>
      </c>
      <c r="F37" s="21" t="n">
        <v>15734</v>
      </c>
      <c r="G37" s="21" t="n">
        <v>21034</v>
      </c>
      <c r="H37" s="21" t="n">
        <v>217565</v>
      </c>
      <c r="I37" s="21" t="n">
        <v>14734.1265469321</v>
      </c>
      <c r="J37" s="21" t="n">
        <v>6150.80007513602</v>
      </c>
      <c r="K37" s="21" t="n">
        <v>0</v>
      </c>
      <c r="L37" s="21" t="n">
        <v>0</v>
      </c>
      <c r="M37" s="21" t="n">
        <v>19881.7083253656</v>
      </c>
      <c r="N37" s="21" t="n">
        <v>19996.3441712392</v>
      </c>
      <c r="O37" s="21" t="n">
        <v>1957.16874741317</v>
      </c>
      <c r="P37" s="21" t="n">
        <f aca="false">SUM(J37:O37)</f>
        <v>47986.021319154</v>
      </c>
      <c r="Q37" s="22" t="n">
        <f aca="false">IF(E37=0,0,H37/E37)</f>
        <v>2.18287531730026</v>
      </c>
      <c r="R37" s="23" t="n">
        <f aca="false">IF(E37=0,0,F37/E37)</f>
        <v>0.15786252495761</v>
      </c>
      <c r="S37" s="23" t="n">
        <f aca="false">IF(E37=0,0,G37/E37)</f>
        <v>0.211038537559321</v>
      </c>
      <c r="T37" s="23" t="n">
        <f aca="false">IF(E37=0,0,I37/E37)</f>
        <v>0.147830584704693</v>
      </c>
    </row>
    <row r="38" customFormat="false" ht="11.25" hidden="false" customHeight="true" outlineLevel="0" collapsed="false">
      <c r="B38" s="24" t="s">
        <v>127</v>
      </c>
      <c r="C38" s="25" t="s">
        <v>128</v>
      </c>
      <c r="D38" s="24" t="n">
        <v>32</v>
      </c>
      <c r="E38" s="26" t="n">
        <v>156205</v>
      </c>
      <c r="F38" s="26" t="n">
        <v>28025</v>
      </c>
      <c r="G38" s="26" t="n">
        <v>42964</v>
      </c>
      <c r="H38" s="26" t="n">
        <v>382544</v>
      </c>
      <c r="I38" s="26" t="n">
        <v>22398.3796815961</v>
      </c>
      <c r="J38" s="26" t="n">
        <v>15571.0680777307</v>
      </c>
      <c r="K38" s="26" t="n">
        <v>0</v>
      </c>
      <c r="L38" s="26" t="n">
        <v>0</v>
      </c>
      <c r="M38" s="26" t="n">
        <v>5113.80844922513</v>
      </c>
      <c r="N38" s="26" t="n">
        <v>78577.9127092188</v>
      </c>
      <c r="O38" s="26" t="n">
        <v>2011.09317695798</v>
      </c>
      <c r="P38" s="26" t="n">
        <f aca="false">SUM(J38:O38)</f>
        <v>101273.882413133</v>
      </c>
      <c r="Q38" s="27" t="n">
        <f aca="false">IF(E38=0,0,H38/E38)</f>
        <v>2.44898690822957</v>
      </c>
      <c r="R38" s="28" t="n">
        <f aca="false">IF(E38=0,0,F38/E38)</f>
        <v>0.179411670561122</v>
      </c>
      <c r="S38" s="28" t="n">
        <f aca="false">IF(E38=0,0,G38/E38)</f>
        <v>0.275048814058449</v>
      </c>
      <c r="T38" s="28" t="n">
        <f aca="false">IF(E38=0,0,I38/E38)</f>
        <v>0.143390926549061</v>
      </c>
    </row>
    <row r="39" customFormat="false" ht="11.25" hidden="false" customHeight="true" outlineLevel="0" collapsed="false">
      <c r="B39" s="19" t="s">
        <v>129</v>
      </c>
      <c r="C39" s="20" t="s">
        <v>130</v>
      </c>
      <c r="D39" s="19" t="n">
        <v>33</v>
      </c>
      <c r="E39" s="21" t="n">
        <v>164497</v>
      </c>
      <c r="F39" s="21" t="n">
        <v>18613</v>
      </c>
      <c r="G39" s="21" t="n">
        <v>14580</v>
      </c>
      <c r="H39" s="21" t="n">
        <v>156967</v>
      </c>
      <c r="I39" s="21" t="n">
        <v>26794.3016838586</v>
      </c>
      <c r="J39" s="21" t="n">
        <v>18170.770110621</v>
      </c>
      <c r="K39" s="21" t="n">
        <v>0</v>
      </c>
      <c r="L39" s="21" t="n">
        <v>0</v>
      </c>
      <c r="M39" s="21" t="n">
        <v>76733.0869017313</v>
      </c>
      <c r="N39" s="21" t="n">
        <v>75079.8566694926</v>
      </c>
      <c r="O39" s="21" t="n">
        <v>-15206.0475476041</v>
      </c>
      <c r="P39" s="21" t="n">
        <f aca="false">SUM(J39:O39)</f>
        <v>154777.666134241</v>
      </c>
      <c r="Q39" s="22" t="n">
        <f aca="false">IF(E39=0,0,H39/E39)</f>
        <v>0.954224089193116</v>
      </c>
      <c r="R39" s="23" t="n">
        <f aca="false">IF(E39=0,0,F39/E39)</f>
        <v>0.113150999714281</v>
      </c>
      <c r="S39" s="23" t="n">
        <f aca="false">IF(E39=0,0,G39/E39)</f>
        <v>0.0886338352675125</v>
      </c>
      <c r="T39" s="23" t="n">
        <f aca="false">IF(E39=0,0,I39/E39)</f>
        <v>0.162886263481149</v>
      </c>
    </row>
    <row r="40" customFormat="false" ht="11.25" hidden="false" customHeight="true" outlineLevel="0" collapsed="false">
      <c r="B40" s="24" t="s">
        <v>131</v>
      </c>
      <c r="C40" s="25" t="s">
        <v>132</v>
      </c>
      <c r="D40" s="24" t="n">
        <v>34</v>
      </c>
      <c r="E40" s="26" t="n">
        <v>100628</v>
      </c>
      <c r="F40" s="26" t="n">
        <v>19450</v>
      </c>
      <c r="G40" s="26" t="n">
        <v>25636</v>
      </c>
      <c r="H40" s="26" t="n">
        <v>292213</v>
      </c>
      <c r="I40" s="26" t="n">
        <v>13235.1358271233</v>
      </c>
      <c r="J40" s="26" t="n">
        <v>8950.97070646894</v>
      </c>
      <c r="K40" s="26" t="n">
        <v>0</v>
      </c>
      <c r="L40" s="26" t="n">
        <v>0</v>
      </c>
      <c r="M40" s="26" t="n">
        <v>1481.49238320366</v>
      </c>
      <c r="N40" s="26" t="n">
        <v>3136.26170337061</v>
      </c>
      <c r="O40" s="26" t="n">
        <v>-3809.64128567148</v>
      </c>
      <c r="P40" s="26" t="n">
        <f aca="false">SUM(J40:O40)</f>
        <v>9759.08350737173</v>
      </c>
      <c r="Q40" s="27" t="n">
        <f aca="false">IF(E40=0,0,H40/E40)</f>
        <v>2.90389354851532</v>
      </c>
      <c r="R40" s="28" t="n">
        <f aca="false">IF(E40=0,0,F40/E40)</f>
        <v>0.193286162897007</v>
      </c>
      <c r="S40" s="28" t="n">
        <f aca="false">IF(E40=0,0,G40/E40)</f>
        <v>0.254760106530985</v>
      </c>
      <c r="T40" s="28" t="n">
        <f aca="false">IF(E40=0,0,I40/E40)</f>
        <v>0.131525378891792</v>
      </c>
    </row>
    <row r="41" customFormat="false" ht="11.25" hidden="false" customHeight="true" outlineLevel="0" collapsed="false">
      <c r="B41" s="19" t="s">
        <v>133</v>
      </c>
      <c r="C41" s="20" t="s">
        <v>134</v>
      </c>
      <c r="D41" s="19" t="n">
        <v>35</v>
      </c>
      <c r="E41" s="21" t="n">
        <v>41813</v>
      </c>
      <c r="F41" s="21" t="n">
        <v>7068</v>
      </c>
      <c r="G41" s="21" t="n">
        <v>8792</v>
      </c>
      <c r="H41" s="21" t="n">
        <v>80006</v>
      </c>
      <c r="I41" s="21" t="n">
        <v>13184.2456893969</v>
      </c>
      <c r="J41" s="21" t="n">
        <v>4927.75561818249</v>
      </c>
      <c r="K41" s="21" t="n">
        <v>0</v>
      </c>
      <c r="L41" s="21" t="n">
        <v>0</v>
      </c>
      <c r="M41" s="21" t="n">
        <v>6318.15618298718</v>
      </c>
      <c r="N41" s="21" t="n">
        <v>20014.6979113639</v>
      </c>
      <c r="O41" s="21" t="n">
        <v>2596.9825505764</v>
      </c>
      <c r="P41" s="21" t="n">
        <f aca="false">SUM(J41:O41)</f>
        <v>33857.59226311</v>
      </c>
      <c r="Q41" s="22" t="n">
        <f aca="false">IF(E41=0,0,H41/E41)</f>
        <v>1.91342405471982</v>
      </c>
      <c r="R41" s="23" t="n">
        <f aca="false">IF(E41=0,0,F41/E41)</f>
        <v>0.169038337359195</v>
      </c>
      <c r="S41" s="23" t="n">
        <f aca="false">IF(E41=0,0,G41/E41)</f>
        <v>0.210269533398704</v>
      </c>
      <c r="T41" s="23" t="n">
        <f aca="false">IF(E41=0,0,I41/E41)</f>
        <v>0.315314511979453</v>
      </c>
    </row>
    <row r="42" customFormat="false" ht="11.25" hidden="false" customHeight="true" outlineLevel="0" collapsed="false">
      <c r="B42" s="24" t="s">
        <v>135</v>
      </c>
      <c r="C42" s="25" t="s">
        <v>136</v>
      </c>
      <c r="D42" s="24" t="n">
        <v>36</v>
      </c>
      <c r="E42" s="26" t="n">
        <v>88070</v>
      </c>
      <c r="F42" s="26" t="n">
        <v>17360</v>
      </c>
      <c r="G42" s="26" t="n">
        <v>38853</v>
      </c>
      <c r="H42" s="26" t="n">
        <v>735151</v>
      </c>
      <c r="I42" s="26" t="n">
        <v>5467.74771903542</v>
      </c>
      <c r="J42" s="26" t="n">
        <v>3073.58819331159</v>
      </c>
      <c r="K42" s="26" t="n">
        <v>6.73539514593879</v>
      </c>
      <c r="L42" s="26" t="n">
        <v>0</v>
      </c>
      <c r="M42" s="26" t="n">
        <v>50869.6170402814</v>
      </c>
      <c r="N42" s="26" t="n">
        <v>10867.8124389806</v>
      </c>
      <c r="O42" s="26" t="n">
        <v>-1506.88806686055</v>
      </c>
      <c r="P42" s="26" t="n">
        <f aca="false">SUM(J42:O42)</f>
        <v>63310.8650008589</v>
      </c>
      <c r="Q42" s="27" t="n">
        <f aca="false">IF(E42=0,0,H42/E42)</f>
        <v>8.34734869989781</v>
      </c>
      <c r="R42" s="28" t="n">
        <f aca="false">IF(E42=0,0,F42/E42)</f>
        <v>0.197115930509822</v>
      </c>
      <c r="S42" s="28" t="n">
        <f aca="false">IF(E42=0,0,G42/E42)</f>
        <v>0.441160440558647</v>
      </c>
      <c r="T42" s="28" t="n">
        <f aca="false">IF(E42=0,0,I42/E42)</f>
        <v>0.0620841117183539</v>
      </c>
    </row>
    <row r="43" customFormat="false" ht="11.25" hidden="false" customHeight="true" outlineLevel="0" collapsed="false">
      <c r="B43" s="19" t="s">
        <v>137</v>
      </c>
      <c r="C43" s="20" t="s">
        <v>138</v>
      </c>
      <c r="D43" s="19" t="n">
        <v>37</v>
      </c>
      <c r="E43" s="21" t="n">
        <v>88696</v>
      </c>
      <c r="F43" s="21" t="n">
        <v>14445</v>
      </c>
      <c r="G43" s="21" t="n">
        <v>32719</v>
      </c>
      <c r="H43" s="21" t="n">
        <v>535624</v>
      </c>
      <c r="I43" s="21" t="n">
        <v>14775.3094859344</v>
      </c>
      <c r="J43" s="21" t="n">
        <v>2011.36503702516</v>
      </c>
      <c r="K43" s="21" t="n">
        <v>0</v>
      </c>
      <c r="L43" s="21" t="n">
        <v>0</v>
      </c>
      <c r="M43" s="21" t="n">
        <v>676.433578623169</v>
      </c>
      <c r="N43" s="21" t="n">
        <v>10995.3452896792</v>
      </c>
      <c r="O43" s="21" t="n">
        <v>37.7085050562621</v>
      </c>
      <c r="P43" s="21" t="n">
        <f aca="false">SUM(J43:O43)</f>
        <v>13720.8524103838</v>
      </c>
      <c r="Q43" s="22" t="n">
        <f aca="false">IF(E43=0,0,H43/E43)</f>
        <v>6.03887435735546</v>
      </c>
      <c r="R43" s="23" t="n">
        <f aca="false">IF(E43=0,0,F43/E43)</f>
        <v>0.162859655452332</v>
      </c>
      <c r="S43" s="23" t="n">
        <f aca="false">IF(E43=0,0,G43/E43)</f>
        <v>0.368889239650041</v>
      </c>
      <c r="T43" s="23" t="n">
        <f aca="false">IF(E43=0,0,I43/E43)</f>
        <v>0.166583718385659</v>
      </c>
    </row>
    <row r="44" customFormat="false" ht="11.25" hidden="false" customHeight="true" outlineLevel="0" collapsed="false">
      <c r="B44" s="24" t="s">
        <v>139</v>
      </c>
      <c r="C44" s="25" t="s">
        <v>140</v>
      </c>
      <c r="D44" s="24" t="n">
        <v>38</v>
      </c>
      <c r="E44" s="26" t="n">
        <v>357896</v>
      </c>
      <c r="F44" s="26" t="n">
        <v>18666</v>
      </c>
      <c r="G44" s="26" t="n">
        <v>150795</v>
      </c>
      <c r="H44" s="26" t="n">
        <v>167533</v>
      </c>
      <c r="I44" s="26" t="n">
        <v>11500.6878940502</v>
      </c>
      <c r="J44" s="26" t="n">
        <v>202.97104052357</v>
      </c>
      <c r="K44" s="26" t="n">
        <v>0</v>
      </c>
      <c r="L44" s="26" t="n">
        <v>0</v>
      </c>
      <c r="M44" s="26" t="n">
        <v>120589.415762526</v>
      </c>
      <c r="N44" s="26" t="n">
        <v>288.401198124674</v>
      </c>
      <c r="O44" s="26" t="n">
        <v>0</v>
      </c>
      <c r="P44" s="26" t="n">
        <f aca="false">SUM(J44:O44)</f>
        <v>121080.788001174</v>
      </c>
      <c r="Q44" s="27" t="n">
        <f aca="false">IF(E44=0,0,H44/E44)</f>
        <v>0.468105259628495</v>
      </c>
      <c r="R44" s="28" t="n">
        <f aca="false">IF(E44=0,0,F44/E44)</f>
        <v>0.0521548159241791</v>
      </c>
      <c r="S44" s="28" t="n">
        <f aca="false">IF(E44=0,0,G44/E44)</f>
        <v>0.421337483514764</v>
      </c>
      <c r="T44" s="28" t="n">
        <f aca="false">IF(E44=0,0,I44/E44)</f>
        <v>0.0321341615833936</v>
      </c>
    </row>
    <row r="45" customFormat="false" ht="11.25" hidden="false" customHeight="true" outlineLevel="0" collapsed="false">
      <c r="B45" s="19" t="s">
        <v>141</v>
      </c>
      <c r="C45" s="20" t="s">
        <v>142</v>
      </c>
      <c r="D45" s="19" t="n">
        <v>39</v>
      </c>
      <c r="E45" s="21" t="n">
        <v>96845</v>
      </c>
      <c r="F45" s="21" t="n">
        <v>23674</v>
      </c>
      <c r="G45" s="21" t="n">
        <v>58317</v>
      </c>
      <c r="H45" s="21" t="n">
        <v>574554</v>
      </c>
      <c r="I45" s="21" t="n">
        <v>4018.68762036266</v>
      </c>
      <c r="J45" s="21" t="n">
        <v>12.8328926954046</v>
      </c>
      <c r="K45" s="21" t="n">
        <v>0</v>
      </c>
      <c r="L45" s="21" t="n">
        <v>0</v>
      </c>
      <c r="M45" s="21" t="n">
        <v>40008.073680669</v>
      </c>
      <c r="N45" s="21" t="n">
        <v>29.7704462580309</v>
      </c>
      <c r="O45" s="21" t="n">
        <v>-52.0518182558866</v>
      </c>
      <c r="P45" s="21" t="n">
        <f aca="false">SUM(J45:O45)</f>
        <v>39998.6252013665</v>
      </c>
      <c r="Q45" s="22" t="n">
        <f aca="false">IF(E45=0,0,H45/E45)</f>
        <v>5.9327172285611</v>
      </c>
      <c r="R45" s="23" t="n">
        <f aca="false">IF(E45=0,0,F45/E45)</f>
        <v>0.244452475605349</v>
      </c>
      <c r="S45" s="23" t="n">
        <f aca="false">IF(E45=0,0,G45/E45)</f>
        <v>0.602168413444163</v>
      </c>
      <c r="T45" s="23" t="n">
        <f aca="false">IF(E45=0,0,I45/E45)</f>
        <v>0.041496077447082</v>
      </c>
    </row>
    <row r="46" customFormat="false" ht="11.25" hidden="false" customHeight="true" outlineLevel="0" collapsed="false">
      <c r="B46" s="24" t="s">
        <v>143</v>
      </c>
      <c r="C46" s="25" t="s">
        <v>144</v>
      </c>
      <c r="D46" s="24" t="n">
        <v>40</v>
      </c>
      <c r="E46" s="26" t="n">
        <v>612501</v>
      </c>
      <c r="F46" s="26" t="n">
        <v>110214</v>
      </c>
      <c r="G46" s="26" t="n">
        <v>267921</v>
      </c>
      <c r="H46" s="26" t="n">
        <v>7047825</v>
      </c>
      <c r="I46" s="26" t="n">
        <v>30383.0616702194</v>
      </c>
      <c r="J46" s="26" t="n">
        <v>3322.23995909794</v>
      </c>
      <c r="K46" s="26" t="n">
        <v>0</v>
      </c>
      <c r="L46" s="26" t="n">
        <v>0</v>
      </c>
      <c r="M46" s="26" t="n">
        <v>1777.1670703949</v>
      </c>
      <c r="N46" s="26" t="n">
        <v>495674.959045298</v>
      </c>
      <c r="O46" s="26" t="n">
        <v>0.94170029219424</v>
      </c>
      <c r="P46" s="26" t="n">
        <f aca="false">SUM(J46:O46)</f>
        <v>500775.307775083</v>
      </c>
      <c r="Q46" s="27" t="n">
        <f aca="false">IF(E46=0,0,H46/E46)</f>
        <v>11.5066342748828</v>
      </c>
      <c r="R46" s="28" t="n">
        <f aca="false">IF(E46=0,0,F46/E46)</f>
        <v>0.179940930708685</v>
      </c>
      <c r="S46" s="28" t="n">
        <f aca="false">IF(E46=0,0,G46/E46)</f>
        <v>0.437421326659059</v>
      </c>
      <c r="T46" s="28" t="n">
        <f aca="false">IF(E46=0,0,I46/E46)</f>
        <v>0.0496049176576354</v>
      </c>
    </row>
    <row r="47" customFormat="false" ht="11.25" hidden="false" customHeight="true" outlineLevel="0" collapsed="false">
      <c r="B47" s="19" t="s">
        <v>145</v>
      </c>
      <c r="C47" s="20" t="s">
        <v>146</v>
      </c>
      <c r="D47" s="19" t="n">
        <v>41</v>
      </c>
      <c r="E47" s="21" t="n">
        <v>175550</v>
      </c>
      <c r="F47" s="21" t="n">
        <v>48290</v>
      </c>
      <c r="G47" s="21" t="n">
        <v>95946</v>
      </c>
      <c r="H47" s="21" t="n">
        <v>2754787</v>
      </c>
      <c r="I47" s="21" t="n">
        <v>11307.6500598596</v>
      </c>
      <c r="J47" s="21" t="n">
        <v>1444.1152638175</v>
      </c>
      <c r="K47" s="21" t="n">
        <v>0</v>
      </c>
      <c r="L47" s="21" t="n">
        <v>0</v>
      </c>
      <c r="M47" s="21" t="n">
        <v>112870.232836459</v>
      </c>
      <c r="N47" s="21" t="n">
        <v>6.58760907233035</v>
      </c>
      <c r="O47" s="21" t="n">
        <v>-39.5808101599745</v>
      </c>
      <c r="P47" s="21" t="n">
        <f aca="false">SUM(J47:O47)</f>
        <v>114281.354899189</v>
      </c>
      <c r="Q47" s="22" t="n">
        <f aca="false">IF(E47=0,0,H47/E47)</f>
        <v>15.6923212759897</v>
      </c>
      <c r="R47" s="23" t="n">
        <f aca="false">IF(E47=0,0,F47/E47)</f>
        <v>0.275078325263458</v>
      </c>
      <c r="S47" s="23" t="n">
        <f aca="false">IF(E47=0,0,G47/E47)</f>
        <v>0.546545143833666</v>
      </c>
      <c r="T47" s="23" t="n">
        <f aca="false">IF(E47=0,0,I47/E47)</f>
        <v>0.0644127032746205</v>
      </c>
    </row>
    <row r="48" customFormat="false" ht="11.25" hidden="false" customHeight="true" outlineLevel="0" collapsed="false">
      <c r="B48" s="24" t="s">
        <v>147</v>
      </c>
      <c r="C48" s="25" t="s">
        <v>148</v>
      </c>
      <c r="D48" s="24" t="n">
        <v>42</v>
      </c>
      <c r="E48" s="26" t="n">
        <v>1229001</v>
      </c>
      <c r="F48" s="26" t="n">
        <v>355978</v>
      </c>
      <c r="G48" s="26" t="n">
        <v>729400</v>
      </c>
      <c r="H48" s="26" t="n">
        <v>14858603</v>
      </c>
      <c r="I48" s="26" t="n">
        <v>28391.4183406215</v>
      </c>
      <c r="J48" s="26" t="n">
        <v>89159.9444813119</v>
      </c>
      <c r="K48" s="26" t="n">
        <v>524.788961038232</v>
      </c>
      <c r="L48" s="26" t="n">
        <v>0</v>
      </c>
      <c r="M48" s="26" t="n">
        <v>57300.4734195631</v>
      </c>
      <c r="N48" s="26" t="n">
        <v>3713.66686673354</v>
      </c>
      <c r="O48" s="26" t="n">
        <v>978.993440564518</v>
      </c>
      <c r="P48" s="26" t="n">
        <f aca="false">SUM(J48:O48)</f>
        <v>151677.867169211</v>
      </c>
      <c r="Q48" s="27" t="n">
        <f aca="false">IF(E48=0,0,H48/E48)</f>
        <v>12.089984467059</v>
      </c>
      <c r="R48" s="28" t="n">
        <f aca="false">IF(E48=0,0,F48/E48)</f>
        <v>0.28964825903315</v>
      </c>
      <c r="S48" s="28" t="n">
        <f aca="false">IF(E48=0,0,G48/E48)</f>
        <v>0.593490159894093</v>
      </c>
      <c r="T48" s="28" t="n">
        <f aca="false">IF(E48=0,0,I48/E48)</f>
        <v>0.0231012166309234</v>
      </c>
    </row>
    <row r="49" customFormat="false" ht="11.25" hidden="false" customHeight="true" outlineLevel="0" collapsed="false">
      <c r="B49" s="19" t="s">
        <v>149</v>
      </c>
      <c r="C49" s="20" t="s">
        <v>150</v>
      </c>
      <c r="D49" s="19" t="n">
        <v>43</v>
      </c>
      <c r="E49" s="21" t="n">
        <v>420984</v>
      </c>
      <c r="F49" s="21" t="n">
        <v>89844</v>
      </c>
      <c r="G49" s="21" t="n">
        <v>169944</v>
      </c>
      <c r="H49" s="21" t="n">
        <v>4005597</v>
      </c>
      <c r="I49" s="21" t="n">
        <v>16147.4124785642</v>
      </c>
      <c r="J49" s="21" t="n">
        <v>3130.78227047666</v>
      </c>
      <c r="K49" s="21" t="n">
        <v>0</v>
      </c>
      <c r="L49" s="21" t="n">
        <v>0</v>
      </c>
      <c r="M49" s="21" t="n">
        <v>66098.1937304863</v>
      </c>
      <c r="N49" s="21" t="n">
        <v>3.88732151062453</v>
      </c>
      <c r="O49" s="21" t="n">
        <v>-5.15639893262169</v>
      </c>
      <c r="P49" s="21" t="n">
        <f aca="false">SUM(J49:O49)</f>
        <v>69227.7069235409</v>
      </c>
      <c r="Q49" s="22" t="n">
        <f aca="false">IF(E49=0,0,H49/E49)</f>
        <v>9.51484379453851</v>
      </c>
      <c r="R49" s="23" t="n">
        <f aca="false">IF(E49=0,0,F49/E49)</f>
        <v>0.213414286528704</v>
      </c>
      <c r="S49" s="23" t="n">
        <f aca="false">IF(E49=0,0,G49/E49)</f>
        <v>0.403682800296448</v>
      </c>
      <c r="T49" s="23" t="n">
        <f aca="false">IF(E49=0,0,I49/E49)</f>
        <v>0.0383563567227358</v>
      </c>
    </row>
    <row r="50" customFormat="false" ht="11.25" hidden="false" customHeight="true" outlineLevel="0" collapsed="false">
      <c r="B50" s="24" t="s">
        <v>151</v>
      </c>
      <c r="C50" s="25" t="s">
        <v>152</v>
      </c>
      <c r="D50" s="24" t="n">
        <v>44</v>
      </c>
      <c r="E50" s="26" t="n">
        <v>30016</v>
      </c>
      <c r="F50" s="26" t="n">
        <v>5409</v>
      </c>
      <c r="G50" s="26" t="n">
        <v>12977</v>
      </c>
      <c r="H50" s="26" t="n">
        <v>48469</v>
      </c>
      <c r="I50" s="26" t="n">
        <v>2194.96417816865</v>
      </c>
      <c r="J50" s="26" t="n">
        <v>6609.80392479644</v>
      </c>
      <c r="K50" s="26" t="n">
        <v>0</v>
      </c>
      <c r="L50" s="26" t="n">
        <v>0</v>
      </c>
      <c r="M50" s="26" t="n">
        <v>1701.04781297267</v>
      </c>
      <c r="N50" s="26" t="n">
        <v>0</v>
      </c>
      <c r="O50" s="26" t="n">
        <v>0</v>
      </c>
      <c r="P50" s="26" t="n">
        <f aca="false">SUM(J50:O50)</f>
        <v>8310.85173776911</v>
      </c>
      <c r="Q50" s="27" t="n">
        <f aca="false">IF(E50=0,0,H50/E50)</f>
        <v>1.61477212153518</v>
      </c>
      <c r="R50" s="28" t="n">
        <f aca="false">IF(E50=0,0,F50/E50)</f>
        <v>0.180203891257996</v>
      </c>
      <c r="S50" s="28" t="n">
        <f aca="false">IF(E50=0,0,G50/E50)</f>
        <v>0.432336087420043</v>
      </c>
      <c r="T50" s="28" t="n">
        <f aca="false">IF(E50=0,0,I50/E50)</f>
        <v>0.0731264718206507</v>
      </c>
    </row>
    <row r="51" customFormat="false" ht="11.25" hidden="false" customHeight="true" outlineLevel="0" collapsed="false">
      <c r="B51" s="19" t="s">
        <v>153</v>
      </c>
      <c r="C51" s="20" t="s">
        <v>154</v>
      </c>
      <c r="D51" s="19" t="n">
        <v>45</v>
      </c>
      <c r="E51" s="21" t="n">
        <v>25860</v>
      </c>
      <c r="F51" s="21" t="n">
        <v>6298</v>
      </c>
      <c r="G51" s="21" t="n">
        <v>5425</v>
      </c>
      <c r="H51" s="21" t="n">
        <v>54206</v>
      </c>
      <c r="I51" s="21" t="n">
        <v>4156.14673276472</v>
      </c>
      <c r="J51" s="21" t="n">
        <v>6379.08317203209</v>
      </c>
      <c r="K51" s="21" t="n">
        <v>0</v>
      </c>
      <c r="L51" s="21" t="n">
        <v>0</v>
      </c>
      <c r="M51" s="21" t="n">
        <v>4202.1892424099</v>
      </c>
      <c r="N51" s="21" t="n">
        <v>0</v>
      </c>
      <c r="O51" s="21" t="n">
        <v>0</v>
      </c>
      <c r="P51" s="21" t="n">
        <f aca="false">SUM(J51:O51)</f>
        <v>10581.272414442</v>
      </c>
      <c r="Q51" s="22" t="n">
        <f aca="false">IF(E51=0,0,H51/E51)</f>
        <v>2.09613302397525</v>
      </c>
      <c r="R51" s="23" t="n">
        <f aca="false">IF(E51=0,0,F51/E51)</f>
        <v>0.24354215003867</v>
      </c>
      <c r="S51" s="23" t="n">
        <f aca="false">IF(E51=0,0,G51/E51)</f>
        <v>0.209783449342614</v>
      </c>
      <c r="T51" s="23" t="n">
        <f aca="false">IF(E51=0,0,I51/E51)</f>
        <v>0.160717197709386</v>
      </c>
    </row>
    <row r="52" customFormat="false" ht="11.25" hidden="false" customHeight="true" outlineLevel="0" collapsed="false">
      <c r="B52" s="24" t="s">
        <v>155</v>
      </c>
      <c r="C52" s="25" t="s">
        <v>156</v>
      </c>
      <c r="D52" s="24" t="n">
        <v>46</v>
      </c>
      <c r="E52" s="26" t="n">
        <v>152041</v>
      </c>
      <c r="F52" s="26" t="n">
        <v>42865</v>
      </c>
      <c r="G52" s="26" t="n">
        <v>84893</v>
      </c>
      <c r="H52" s="26" t="n">
        <v>823853</v>
      </c>
      <c r="I52" s="26" t="n">
        <v>6037.60709738091</v>
      </c>
      <c r="J52" s="26" t="n">
        <v>14241.3051053141</v>
      </c>
      <c r="K52" s="26" t="n">
        <v>0</v>
      </c>
      <c r="L52" s="26" t="n">
        <v>0</v>
      </c>
      <c r="M52" s="26" t="n">
        <v>29173.6760689122</v>
      </c>
      <c r="N52" s="26" t="n">
        <v>0</v>
      </c>
      <c r="O52" s="26" t="n">
        <v>0</v>
      </c>
      <c r="P52" s="26" t="n">
        <f aca="false">SUM(J52:O52)</f>
        <v>43414.9811742263</v>
      </c>
      <c r="Q52" s="27" t="n">
        <f aca="false">IF(E52=0,0,H52/E52)</f>
        <v>5.41862392381003</v>
      </c>
      <c r="R52" s="28" t="n">
        <f aca="false">IF(E52=0,0,F52/E52)</f>
        <v>0.281930531896002</v>
      </c>
      <c r="S52" s="28" t="n">
        <f aca="false">IF(E52=0,0,G52/E52)</f>
        <v>0.558355969771312</v>
      </c>
      <c r="T52" s="28" t="n">
        <f aca="false">IF(E52=0,0,I52/E52)</f>
        <v>0.0397103879702245</v>
      </c>
    </row>
    <row r="53" customFormat="false" ht="11.25" hidden="false" customHeight="true" outlineLevel="0" collapsed="false">
      <c r="B53" s="19" t="s">
        <v>157</v>
      </c>
      <c r="C53" s="20" t="s">
        <v>158</v>
      </c>
      <c r="D53" s="19" t="n">
        <v>47</v>
      </c>
      <c r="E53" s="21" t="n">
        <v>20611</v>
      </c>
      <c r="F53" s="21" t="n">
        <v>8890</v>
      </c>
      <c r="G53" s="21" t="n">
        <v>10365</v>
      </c>
      <c r="H53" s="21" t="n">
        <v>364315</v>
      </c>
      <c r="I53" s="21" t="n">
        <v>439.297774960577</v>
      </c>
      <c r="J53" s="21" t="n">
        <v>3217.1469064461</v>
      </c>
      <c r="K53" s="21" t="n">
        <v>0</v>
      </c>
      <c r="L53" s="21" t="n">
        <v>0</v>
      </c>
      <c r="M53" s="21" t="n">
        <v>4011.55133810711</v>
      </c>
      <c r="N53" s="21" t="n">
        <v>0</v>
      </c>
      <c r="O53" s="21" t="n">
        <v>0</v>
      </c>
      <c r="P53" s="21" t="n">
        <f aca="false">SUM(J53:O53)</f>
        <v>7228.69824455321</v>
      </c>
      <c r="Q53" s="22" t="n">
        <f aca="false">IF(E53=0,0,H53/E53)</f>
        <v>17.675755664451</v>
      </c>
      <c r="R53" s="23" t="n">
        <f aca="false">IF(E53=0,0,F53/E53)</f>
        <v>0.431323079908787</v>
      </c>
      <c r="S53" s="23" t="n">
        <f aca="false">IF(E53=0,0,G53/E53)</f>
        <v>0.502886808015138</v>
      </c>
      <c r="T53" s="23" t="n">
        <f aca="false">IF(E53=0,0,I53/E53)</f>
        <v>0.0213137535762737</v>
      </c>
    </row>
    <row r="54" customFormat="false" ht="11.25" hidden="false" customHeight="true" outlineLevel="0" collapsed="false">
      <c r="B54" s="24" t="s">
        <v>159</v>
      </c>
      <c r="C54" s="25" t="s">
        <v>160</v>
      </c>
      <c r="D54" s="24" t="n">
        <v>48</v>
      </c>
      <c r="E54" s="26" t="n">
        <v>242050</v>
      </c>
      <c r="F54" s="26" t="n">
        <v>50385</v>
      </c>
      <c r="G54" s="26" t="n">
        <v>107100</v>
      </c>
      <c r="H54" s="26" t="n">
        <v>4656666</v>
      </c>
      <c r="I54" s="26" t="n">
        <v>6394.85035217735</v>
      </c>
      <c r="J54" s="26" t="n">
        <v>2808.91073582656</v>
      </c>
      <c r="K54" s="26" t="n">
        <v>0</v>
      </c>
      <c r="L54" s="26" t="n">
        <v>0</v>
      </c>
      <c r="M54" s="26" t="n">
        <v>198564.494993881</v>
      </c>
      <c r="N54" s="26" t="n">
        <v>0</v>
      </c>
      <c r="O54" s="26" t="n">
        <v>0</v>
      </c>
      <c r="P54" s="26" t="n">
        <f aca="false">SUM(J54:O54)</f>
        <v>201373.405729708</v>
      </c>
      <c r="Q54" s="27" t="n">
        <f aca="false">IF(E54=0,0,H54/E54)</f>
        <v>19.2384466019417</v>
      </c>
      <c r="R54" s="28" t="n">
        <f aca="false">IF(E54=0,0,F54/E54)</f>
        <v>0.20815947118364</v>
      </c>
      <c r="S54" s="28" t="n">
        <f aca="false">IF(E54=0,0,G54/E54)</f>
        <v>0.442470563933072</v>
      </c>
      <c r="T54" s="28" t="n">
        <f aca="false">IF(E54=0,0,I54/E54)</f>
        <v>0.0264195428720403</v>
      </c>
    </row>
    <row r="55" customFormat="false" ht="11.25" hidden="false" customHeight="true" outlineLevel="0" collapsed="false">
      <c r="B55" s="19" t="s">
        <v>161</v>
      </c>
      <c r="C55" s="20" t="s">
        <v>162</v>
      </c>
      <c r="D55" s="19" t="n">
        <v>49</v>
      </c>
      <c r="E55" s="21" t="n">
        <v>16477</v>
      </c>
      <c r="F55" s="21" t="n">
        <v>6047</v>
      </c>
      <c r="G55" s="21" t="n">
        <v>8252</v>
      </c>
      <c r="H55" s="21" t="n">
        <v>136345</v>
      </c>
      <c r="I55" s="21" t="n">
        <v>750.243449619136</v>
      </c>
      <c r="J55" s="21" t="n">
        <v>464.120982384816</v>
      </c>
      <c r="K55" s="21" t="n">
        <v>0</v>
      </c>
      <c r="L55" s="21" t="n">
        <v>0</v>
      </c>
      <c r="M55" s="21" t="n">
        <v>7210.48963376525</v>
      </c>
      <c r="N55" s="21" t="n">
        <v>19.5368553568328</v>
      </c>
      <c r="O55" s="21" t="n">
        <v>-798.302770551836</v>
      </c>
      <c r="P55" s="21" t="n">
        <f aca="false">SUM(J55:O55)</f>
        <v>6895.84470095507</v>
      </c>
      <c r="Q55" s="22" t="n">
        <f aca="false">IF(E55=0,0,H55/E55)</f>
        <v>8.27486799781514</v>
      </c>
      <c r="R55" s="23" t="n">
        <f aca="false">IF(E55=0,0,F55/E55)</f>
        <v>0.366996419251077</v>
      </c>
      <c r="S55" s="23" t="n">
        <f aca="false">IF(E55=0,0,G55/E55)</f>
        <v>0.500819323906051</v>
      </c>
      <c r="T55" s="23" t="n">
        <f aca="false">IF(E55=0,0,I55/E55)</f>
        <v>0.0455327698985942</v>
      </c>
    </row>
    <row r="56" customFormat="false" ht="11.25" hidden="false" customHeight="true" outlineLevel="0" collapsed="false">
      <c r="B56" s="24" t="s">
        <v>163</v>
      </c>
      <c r="C56" s="25" t="s">
        <v>164</v>
      </c>
      <c r="D56" s="24" t="n">
        <v>50</v>
      </c>
      <c r="E56" s="26" t="n">
        <v>38823</v>
      </c>
      <c r="F56" s="26" t="n">
        <v>12010</v>
      </c>
      <c r="G56" s="26" t="n">
        <v>15834</v>
      </c>
      <c r="H56" s="26" t="n">
        <v>159090</v>
      </c>
      <c r="I56" s="26" t="n">
        <v>1794.15248421357</v>
      </c>
      <c r="J56" s="26" t="n">
        <v>1195.10527005065</v>
      </c>
      <c r="K56" s="26" t="n">
        <v>0</v>
      </c>
      <c r="L56" s="26" t="n">
        <v>0</v>
      </c>
      <c r="M56" s="26" t="n">
        <v>823.032958136973</v>
      </c>
      <c r="N56" s="26" t="n">
        <v>0</v>
      </c>
      <c r="O56" s="26" t="n">
        <v>0</v>
      </c>
      <c r="P56" s="26" t="n">
        <f aca="false">SUM(J56:O56)</f>
        <v>2018.13822818762</v>
      </c>
      <c r="Q56" s="27" t="n">
        <f aca="false">IF(E56=0,0,H56/E56)</f>
        <v>4.09782860675373</v>
      </c>
      <c r="R56" s="28" t="n">
        <f aca="false">IF(E56=0,0,F56/E56)</f>
        <v>0.309352703294439</v>
      </c>
      <c r="S56" s="28" t="n">
        <f aca="false">IF(E56=0,0,G56/E56)</f>
        <v>0.40785101615022</v>
      </c>
      <c r="T56" s="28" t="n">
        <f aca="false">IF(E56=0,0,I56/E56)</f>
        <v>0.0462136487188926</v>
      </c>
    </row>
    <row r="57" customFormat="false" ht="11.25" hidden="false" customHeight="true" outlineLevel="0" collapsed="false">
      <c r="B57" s="19" t="s">
        <v>165</v>
      </c>
      <c r="C57" s="20" t="s">
        <v>166</v>
      </c>
      <c r="D57" s="19" t="n">
        <v>51</v>
      </c>
      <c r="E57" s="21" t="n">
        <v>171149</v>
      </c>
      <c r="F57" s="21" t="n">
        <v>21382</v>
      </c>
      <c r="G57" s="21" t="n">
        <v>80291</v>
      </c>
      <c r="H57" s="21" t="n">
        <v>290079</v>
      </c>
      <c r="I57" s="21" t="n">
        <v>5935.18853456164</v>
      </c>
      <c r="J57" s="21" t="n">
        <v>1790.73642058581</v>
      </c>
      <c r="K57" s="21" t="n">
        <v>0</v>
      </c>
      <c r="L57" s="21" t="n">
        <v>0</v>
      </c>
      <c r="M57" s="21" t="n">
        <v>103787.996844502</v>
      </c>
      <c r="N57" s="21" t="n">
        <v>426.089512068067</v>
      </c>
      <c r="O57" s="21" t="n">
        <v>0</v>
      </c>
      <c r="P57" s="21" t="n">
        <f aca="false">SUM(J57:O57)</f>
        <v>106004.822777156</v>
      </c>
      <c r="Q57" s="22" t="n">
        <f aca="false">IF(E57=0,0,H57/E57)</f>
        <v>1.69489158569434</v>
      </c>
      <c r="R57" s="23" t="n">
        <f aca="false">IF(E57=0,0,F57/E57)</f>
        <v>0.124932076728465</v>
      </c>
      <c r="S57" s="23" t="n">
        <f aca="false">IF(E57=0,0,G57/E57)</f>
        <v>0.469129238266072</v>
      </c>
      <c r="T57" s="23" t="n">
        <f aca="false">IF(E57=0,0,I57/E57)</f>
        <v>0.0346784879523786</v>
      </c>
    </row>
    <row r="58" customFormat="false" ht="11.25" hidden="false" customHeight="true" outlineLevel="0" collapsed="false">
      <c r="B58" s="24" t="s">
        <v>167</v>
      </c>
      <c r="C58" s="25" t="s">
        <v>168</v>
      </c>
      <c r="D58" s="24" t="n">
        <v>52</v>
      </c>
      <c r="E58" s="26" t="n">
        <v>209199</v>
      </c>
      <c r="F58" s="26" t="n">
        <v>66866</v>
      </c>
      <c r="G58" s="26" t="n">
        <v>133197</v>
      </c>
      <c r="H58" s="26" t="n">
        <v>819781</v>
      </c>
      <c r="I58" s="26" t="n">
        <v>10162.3087783149</v>
      </c>
      <c r="J58" s="26" t="n">
        <v>9249.1911733626</v>
      </c>
      <c r="K58" s="26" t="n">
        <v>0</v>
      </c>
      <c r="L58" s="26" t="n">
        <v>0</v>
      </c>
      <c r="M58" s="26" t="n">
        <v>4397.13942349011</v>
      </c>
      <c r="N58" s="26" t="n">
        <v>85119.4863769018</v>
      </c>
      <c r="O58" s="26" t="n">
        <v>7.00710995875258</v>
      </c>
      <c r="P58" s="26" t="n">
        <f aca="false">SUM(J58:O58)</f>
        <v>98772.8240837133</v>
      </c>
      <c r="Q58" s="27" t="n">
        <f aca="false">IF(E58=0,0,H58/E58)</f>
        <v>3.91866595920631</v>
      </c>
      <c r="R58" s="28" t="n">
        <f aca="false">IF(E58=0,0,F58/E58)</f>
        <v>0.319628678913379</v>
      </c>
      <c r="S58" s="28" t="n">
        <f aca="false">IF(E58=0,0,G58/E58)</f>
        <v>0.636699984225546</v>
      </c>
      <c r="T58" s="28" t="n">
        <f aca="false">IF(E58=0,0,I58/E58)</f>
        <v>0.0485772340131401</v>
      </c>
    </row>
    <row r="59" customFormat="false" ht="11.25" hidden="false" customHeight="true" outlineLevel="0" collapsed="false">
      <c r="B59" s="19" t="s">
        <v>169</v>
      </c>
      <c r="C59" s="20" t="s">
        <v>170</v>
      </c>
      <c r="D59" s="19" t="n">
        <v>53</v>
      </c>
      <c r="E59" s="21" t="n">
        <v>700903</v>
      </c>
      <c r="F59" s="21" t="n">
        <v>181285</v>
      </c>
      <c r="G59" s="21" t="n">
        <v>454550</v>
      </c>
      <c r="H59" s="21" t="n">
        <v>1410816</v>
      </c>
      <c r="I59" s="21" t="n">
        <v>13733.598033122</v>
      </c>
      <c r="J59" s="21" t="n">
        <v>6279.30570432971</v>
      </c>
      <c r="K59" s="21" t="n">
        <v>1861.34970927762</v>
      </c>
      <c r="L59" s="21" t="n">
        <v>361.522703403966</v>
      </c>
      <c r="M59" s="21" t="n">
        <v>331839.278514422</v>
      </c>
      <c r="N59" s="21" t="n">
        <v>615.418891235065</v>
      </c>
      <c r="O59" s="21" t="n">
        <v>0.0352036622124793</v>
      </c>
      <c r="P59" s="21" t="n">
        <f aca="false">SUM(J59:O59)</f>
        <v>340956.91072633</v>
      </c>
      <c r="Q59" s="22" t="n">
        <f aca="false">IF(E59=0,0,H59/E59)</f>
        <v>2.01285484582032</v>
      </c>
      <c r="R59" s="23" t="n">
        <f aca="false">IF(E59=0,0,F59/E59)</f>
        <v>0.258644919482439</v>
      </c>
      <c r="S59" s="23" t="n">
        <f aca="false">IF(E59=0,0,G59/E59)</f>
        <v>0.648520551345907</v>
      </c>
      <c r="T59" s="23" t="n">
        <f aca="false">IF(E59=0,0,I59/E59)</f>
        <v>0.0195941493089942</v>
      </c>
    </row>
    <row r="60" customFormat="false" ht="11.25" hidden="false" customHeight="true" outlineLevel="0" collapsed="false">
      <c r="B60" s="24" t="s">
        <v>171</v>
      </c>
      <c r="C60" s="25" t="s">
        <v>172</v>
      </c>
      <c r="D60" s="24" t="n">
        <v>54</v>
      </c>
      <c r="E60" s="26" t="n">
        <v>711631</v>
      </c>
      <c r="F60" s="26" t="n">
        <v>9024</v>
      </c>
      <c r="G60" s="26" t="n">
        <v>656013</v>
      </c>
      <c r="H60" s="26" t="n">
        <v>502337</v>
      </c>
      <c r="I60" s="26" t="n">
        <v>3131.26819846487</v>
      </c>
      <c r="J60" s="26" t="n">
        <v>3310.38299592803</v>
      </c>
      <c r="K60" s="26" t="n">
        <v>0</v>
      </c>
      <c r="L60" s="26" t="n">
        <v>0</v>
      </c>
      <c r="M60" s="26" t="n">
        <v>605828.673838334</v>
      </c>
      <c r="N60" s="26" t="n">
        <v>0</v>
      </c>
      <c r="O60" s="26" t="n">
        <v>0</v>
      </c>
      <c r="P60" s="26" t="n">
        <f aca="false">SUM(J60:O60)</f>
        <v>609139.056834262</v>
      </c>
      <c r="Q60" s="27" t="n">
        <f aca="false">IF(E60=0,0,H60/E60)</f>
        <v>0.705895330585655</v>
      </c>
      <c r="R60" s="28" t="n">
        <f aca="false">IF(E60=0,0,F60/E60)</f>
        <v>0.0126807291981378</v>
      </c>
      <c r="S60" s="28" t="n">
        <f aca="false">IF(E60=0,0,G60/E60)</f>
        <v>0.921844326624332</v>
      </c>
      <c r="T60" s="28" t="n">
        <f aca="false">IF(E60=0,0,I60/E60)</f>
        <v>0.00440012899728212</v>
      </c>
    </row>
    <row r="61" customFormat="false" ht="11.25" hidden="false" customHeight="true" outlineLevel="0" collapsed="false">
      <c r="B61" s="19" t="s">
        <v>173</v>
      </c>
      <c r="C61" s="20" t="s">
        <v>174</v>
      </c>
      <c r="D61" s="19" t="n">
        <v>55</v>
      </c>
      <c r="E61" s="21" t="n">
        <v>246252</v>
      </c>
      <c r="F61" s="21" t="n">
        <v>69678</v>
      </c>
      <c r="G61" s="21" t="n">
        <v>168149</v>
      </c>
      <c r="H61" s="21" t="n">
        <v>1985025</v>
      </c>
      <c r="I61" s="21" t="n">
        <v>4176.63164282702</v>
      </c>
      <c r="J61" s="21" t="n">
        <v>16038.9128665953</v>
      </c>
      <c r="K61" s="21" t="n">
        <v>0</v>
      </c>
      <c r="L61" s="21" t="n">
        <v>0</v>
      </c>
      <c r="M61" s="21" t="n">
        <v>18285.914396919</v>
      </c>
      <c r="N61" s="21" t="n">
        <v>0</v>
      </c>
      <c r="O61" s="21" t="n">
        <v>0</v>
      </c>
      <c r="P61" s="21" t="n">
        <f aca="false">SUM(J61:O61)</f>
        <v>34324.8272635143</v>
      </c>
      <c r="Q61" s="22" t="n">
        <f aca="false">IF(E61=0,0,H61/E61)</f>
        <v>8.06094975878369</v>
      </c>
      <c r="R61" s="23" t="n">
        <f aca="false">IF(E61=0,0,F61/E61)</f>
        <v>0.282954047073729</v>
      </c>
      <c r="S61" s="23" t="n">
        <f aca="false">IF(E61=0,0,G61/E61)</f>
        <v>0.68283303282816</v>
      </c>
      <c r="T61" s="23" t="n">
        <f aca="false">IF(E61=0,0,I61/E61)</f>
        <v>0.0169608029288169</v>
      </c>
    </row>
    <row r="62" customFormat="false" ht="11.25" hidden="false" customHeight="true" outlineLevel="0" collapsed="false">
      <c r="B62" s="24" t="s">
        <v>175</v>
      </c>
      <c r="C62" s="25" t="s">
        <v>176</v>
      </c>
      <c r="D62" s="24" t="n">
        <v>56</v>
      </c>
      <c r="E62" s="26" t="n">
        <v>73176</v>
      </c>
      <c r="F62" s="26" t="n">
        <v>21024</v>
      </c>
      <c r="G62" s="26" t="n">
        <v>45369</v>
      </c>
      <c r="H62" s="26" t="n">
        <v>658648</v>
      </c>
      <c r="I62" s="26" t="n">
        <v>3561.8324089797</v>
      </c>
      <c r="J62" s="26" t="n">
        <v>19811.4661880958</v>
      </c>
      <c r="K62" s="26" t="n">
        <v>0</v>
      </c>
      <c r="L62" s="26" t="n">
        <v>0</v>
      </c>
      <c r="M62" s="26" t="n">
        <v>1107.20604622117</v>
      </c>
      <c r="N62" s="26" t="n">
        <v>7525.60815843785</v>
      </c>
      <c r="O62" s="26" t="n">
        <v>5.52568779756087</v>
      </c>
      <c r="P62" s="26" t="n">
        <f aca="false">SUM(J62:O62)</f>
        <v>28449.8060805524</v>
      </c>
      <c r="Q62" s="27" t="n">
        <f aca="false">IF(E62=0,0,H62/E62)</f>
        <v>9.0008746036952</v>
      </c>
      <c r="R62" s="28" t="n">
        <f aca="false">IF(E62=0,0,F62/E62)</f>
        <v>0.287307313873401</v>
      </c>
      <c r="S62" s="28" t="n">
        <f aca="false">IF(E62=0,0,G62/E62)</f>
        <v>0.619998360118072</v>
      </c>
      <c r="T62" s="28" t="n">
        <f aca="false">IF(E62=0,0,I62/E62)</f>
        <v>0.048674871665296</v>
      </c>
    </row>
    <row r="63" customFormat="false" ht="11.25" hidden="false" customHeight="true" outlineLevel="0" collapsed="false">
      <c r="B63" s="19" t="s">
        <v>177</v>
      </c>
      <c r="C63" s="20" t="s">
        <v>178</v>
      </c>
      <c r="D63" s="19" t="n">
        <v>57</v>
      </c>
      <c r="E63" s="21" t="n">
        <v>116737</v>
      </c>
      <c r="F63" s="21" t="n">
        <v>19198</v>
      </c>
      <c r="G63" s="21" t="n">
        <v>44731</v>
      </c>
      <c r="H63" s="21" t="n">
        <v>703543</v>
      </c>
      <c r="I63" s="21" t="n">
        <v>3670.97950527273</v>
      </c>
      <c r="J63" s="21" t="n">
        <v>4080.3553020606</v>
      </c>
      <c r="K63" s="21" t="n">
        <v>0</v>
      </c>
      <c r="L63" s="21" t="n">
        <v>0</v>
      </c>
      <c r="M63" s="21" t="n">
        <v>1967.32579135463</v>
      </c>
      <c r="N63" s="21" t="n">
        <v>0</v>
      </c>
      <c r="O63" s="21" t="n">
        <v>0</v>
      </c>
      <c r="P63" s="21" t="n">
        <f aca="false">SUM(J63:O63)</f>
        <v>6047.68109341523</v>
      </c>
      <c r="Q63" s="22" t="n">
        <f aca="false">IF(E63=0,0,H63/E63)</f>
        <v>6.02673531099823</v>
      </c>
      <c r="R63" s="23" t="n">
        <f aca="false">IF(E63=0,0,F63/E63)</f>
        <v>0.164455142756795</v>
      </c>
      <c r="S63" s="23" t="n">
        <f aca="false">IF(E63=0,0,G63/E63)</f>
        <v>0.383177570093458</v>
      </c>
      <c r="T63" s="23" t="n">
        <f aca="false">IF(E63=0,0,I63/E63)</f>
        <v>0.0314465808207571</v>
      </c>
    </row>
    <row r="64" customFormat="false" ht="11.25" hidden="false" customHeight="true" outlineLevel="0" collapsed="false">
      <c r="B64" s="24" t="s">
        <v>179</v>
      </c>
      <c r="C64" s="25" t="s">
        <v>180</v>
      </c>
      <c r="D64" s="24" t="n">
        <v>58</v>
      </c>
      <c r="E64" s="26" t="n">
        <v>62361</v>
      </c>
      <c r="F64" s="26" t="n">
        <v>13145</v>
      </c>
      <c r="G64" s="26" t="n">
        <v>41148</v>
      </c>
      <c r="H64" s="26" t="n">
        <v>292366</v>
      </c>
      <c r="I64" s="26" t="n">
        <v>2622.17651198414</v>
      </c>
      <c r="J64" s="26" t="n">
        <v>2958.29717946482</v>
      </c>
      <c r="K64" s="26" t="n">
        <v>0</v>
      </c>
      <c r="L64" s="26" t="n">
        <v>0</v>
      </c>
      <c r="M64" s="26" t="n">
        <v>3360.7603847689</v>
      </c>
      <c r="N64" s="26" t="n">
        <v>548.936519735027</v>
      </c>
      <c r="O64" s="26" t="n">
        <v>-12.5855049987403</v>
      </c>
      <c r="P64" s="26" t="n">
        <f aca="false">SUM(J64:O64)</f>
        <v>6855.40857897001</v>
      </c>
      <c r="Q64" s="27" t="n">
        <f aca="false">IF(E64=0,0,H64/E64)</f>
        <v>4.68828274081557</v>
      </c>
      <c r="R64" s="28" t="n">
        <f aca="false">IF(E64=0,0,F64/E64)</f>
        <v>0.210788794278475</v>
      </c>
      <c r="S64" s="28" t="n">
        <f aca="false">IF(E64=0,0,G64/E64)</f>
        <v>0.659835474094386</v>
      </c>
      <c r="T64" s="28" t="n">
        <f aca="false">IF(E64=0,0,I64/E64)</f>
        <v>0.0420483396992374</v>
      </c>
    </row>
    <row r="65" customFormat="false" ht="11.25" hidden="false" customHeight="true" outlineLevel="0" collapsed="false">
      <c r="B65" s="19" t="s">
        <v>181</v>
      </c>
      <c r="C65" s="20" t="s">
        <v>182</v>
      </c>
      <c r="D65" s="19" t="n">
        <v>59</v>
      </c>
      <c r="E65" s="21" t="n">
        <v>277136</v>
      </c>
      <c r="F65" s="21" t="n">
        <v>125635</v>
      </c>
      <c r="G65" s="21" t="n">
        <v>187826</v>
      </c>
      <c r="H65" s="21" t="n">
        <v>4249886</v>
      </c>
      <c r="I65" s="21" t="n">
        <v>6620.31958739933</v>
      </c>
      <c r="J65" s="21" t="n">
        <v>7741.39408411165</v>
      </c>
      <c r="K65" s="21" t="n">
        <v>0</v>
      </c>
      <c r="L65" s="21" t="n">
        <v>35206.1939894056</v>
      </c>
      <c r="M65" s="21" t="n">
        <v>10086.1643214802</v>
      </c>
      <c r="N65" s="21" t="n">
        <v>37.4508709419885</v>
      </c>
      <c r="O65" s="21" t="n">
        <v>0.0851267817742444</v>
      </c>
      <c r="P65" s="21" t="n">
        <f aca="false">SUM(J65:O65)</f>
        <v>53071.2883927211</v>
      </c>
      <c r="Q65" s="22" t="n">
        <f aca="false">IF(E65=0,0,H65/E65)</f>
        <v>15.3350196293517</v>
      </c>
      <c r="R65" s="23" t="n">
        <f aca="false">IF(E65=0,0,F65/E65)</f>
        <v>0.453333381444489</v>
      </c>
      <c r="S65" s="23" t="n">
        <f aca="false">IF(E65=0,0,G65/E65)</f>
        <v>0.677739449223486</v>
      </c>
      <c r="T65" s="23" t="n">
        <f aca="false">IF(E65=0,0,I65/E65)</f>
        <v>0.0238883421403186</v>
      </c>
    </row>
    <row r="66" customFormat="false" ht="11.25" hidden="false" customHeight="true" outlineLevel="0" collapsed="false">
      <c r="B66" s="24" t="s">
        <v>183</v>
      </c>
      <c r="C66" s="25" t="s">
        <v>184</v>
      </c>
      <c r="D66" s="24" t="n">
        <v>60</v>
      </c>
      <c r="E66" s="26" t="n">
        <v>45995</v>
      </c>
      <c r="F66" s="26" t="n">
        <v>31750</v>
      </c>
      <c r="G66" s="26" t="n">
        <v>36612</v>
      </c>
      <c r="H66" s="26" t="n">
        <v>782135</v>
      </c>
      <c r="I66" s="26" t="n">
        <v>762.432111530603</v>
      </c>
      <c r="J66" s="26" t="n">
        <v>11.2427554738266</v>
      </c>
      <c r="K66" s="26" t="n">
        <v>0</v>
      </c>
      <c r="L66" s="26" t="n">
        <v>0</v>
      </c>
      <c r="M66" s="26" t="n">
        <v>536.027673026259</v>
      </c>
      <c r="N66" s="26" t="n">
        <v>0</v>
      </c>
      <c r="O66" s="26" t="n">
        <v>0</v>
      </c>
      <c r="P66" s="26" t="n">
        <f aca="false">SUM(J66:O66)</f>
        <v>547.270428500086</v>
      </c>
      <c r="Q66" s="27" t="n">
        <f aca="false">IF(E66=0,0,H66/E66)</f>
        <v>17.0047831286009</v>
      </c>
      <c r="R66" s="28" t="n">
        <f aca="false">IF(E66=0,0,F66/E66)</f>
        <v>0.690292423089466</v>
      </c>
      <c r="S66" s="28" t="n">
        <f aca="false">IF(E66=0,0,G66/E66)</f>
        <v>0.795999565170127</v>
      </c>
      <c r="T66" s="28" t="n">
        <f aca="false">IF(E66=0,0,I66/E66)</f>
        <v>0.0165764129042418</v>
      </c>
    </row>
    <row r="67" customFormat="false" ht="11.25" hidden="false" customHeight="true" outlineLevel="0" collapsed="false">
      <c r="B67" s="19" t="s">
        <v>185</v>
      </c>
      <c r="C67" s="20" t="s">
        <v>186</v>
      </c>
      <c r="D67" s="19" t="n">
        <v>61</v>
      </c>
      <c r="E67" s="21" t="n">
        <v>908212</v>
      </c>
      <c r="F67" s="21" t="n">
        <v>567850</v>
      </c>
      <c r="G67" s="21" t="n">
        <v>668908</v>
      </c>
      <c r="H67" s="21" t="n">
        <v>4944893</v>
      </c>
      <c r="I67" s="21" t="n">
        <v>15059.4170816919</v>
      </c>
      <c r="J67" s="21" t="n">
        <v>2083.98815522078</v>
      </c>
      <c r="K67" s="21" t="n">
        <v>854739.881950263</v>
      </c>
      <c r="L67" s="21" t="n">
        <v>235.833954666977</v>
      </c>
      <c r="M67" s="21" t="n">
        <v>14371.5014239743</v>
      </c>
      <c r="N67" s="21" t="n">
        <v>9792.47764868756</v>
      </c>
      <c r="O67" s="21" t="n">
        <v>20.4894897879003</v>
      </c>
      <c r="P67" s="21" t="n">
        <f aca="false">SUM(J67:O67)</f>
        <v>881244.1726226</v>
      </c>
      <c r="Q67" s="22" t="n">
        <f aca="false">IF(E67=0,0,H67/E67)</f>
        <v>5.44464618393062</v>
      </c>
      <c r="R67" s="23" t="n">
        <f aca="false">IF(E67=0,0,F67/E67)</f>
        <v>0.625239481530744</v>
      </c>
      <c r="S67" s="23" t="n">
        <f aca="false">IF(E67=0,0,G67/E67)</f>
        <v>0.736510858698189</v>
      </c>
      <c r="T67" s="23" t="n">
        <f aca="false">IF(E67=0,0,I67/E67)</f>
        <v>0.0165813896774012</v>
      </c>
    </row>
    <row r="68" customFormat="false" ht="11.25" hidden="false" customHeight="true" outlineLevel="0" collapsed="false">
      <c r="B68" s="24" t="s">
        <v>187</v>
      </c>
      <c r="C68" s="25" t="s">
        <v>188</v>
      </c>
      <c r="D68" s="24" t="n">
        <v>62</v>
      </c>
      <c r="E68" s="26" t="n">
        <v>383823</v>
      </c>
      <c r="F68" s="26" t="n">
        <v>316746</v>
      </c>
      <c r="G68" s="26" t="n">
        <v>325997</v>
      </c>
      <c r="H68" s="26" t="n">
        <v>4477421</v>
      </c>
      <c r="I68" s="26" t="n">
        <v>4265.50420346444</v>
      </c>
      <c r="J68" s="26" t="n">
        <v>36.8609540507296</v>
      </c>
      <c r="K68" s="26" t="n">
        <v>369827.867821534</v>
      </c>
      <c r="L68" s="26" t="n">
        <v>4.8921885958221</v>
      </c>
      <c r="M68" s="26" t="n">
        <v>883.512075985148</v>
      </c>
      <c r="N68" s="26" t="n">
        <v>11748.3417162137</v>
      </c>
      <c r="O68" s="26" t="n">
        <v>0.0363904080774085</v>
      </c>
      <c r="P68" s="26" t="n">
        <f aca="false">SUM(J68:O68)</f>
        <v>382501.511146787</v>
      </c>
      <c r="Q68" s="27" t="n">
        <f aca="false">IF(E68=0,0,H68/E68)</f>
        <v>11.6653275077314</v>
      </c>
      <c r="R68" s="28" t="n">
        <f aca="false">IF(E68=0,0,F68/E68)</f>
        <v>0.825239758951392</v>
      </c>
      <c r="S68" s="28" t="n">
        <f aca="false">IF(E68=0,0,G68/E68)</f>
        <v>0.849342014418104</v>
      </c>
      <c r="T68" s="28" t="n">
        <f aca="false">IF(E68=0,0,I68/E68)</f>
        <v>0.0111132063567437</v>
      </c>
    </row>
    <row r="69" customFormat="false" ht="11.25" hidden="false" customHeight="true" outlineLevel="0" collapsed="false">
      <c r="B69" s="19" t="s">
        <v>189</v>
      </c>
      <c r="C69" s="20" t="s">
        <v>190</v>
      </c>
      <c r="D69" s="19" t="n">
        <v>63</v>
      </c>
      <c r="E69" s="21" t="n">
        <v>140243</v>
      </c>
      <c r="F69" s="21" t="n">
        <v>85753</v>
      </c>
      <c r="G69" s="21" t="n">
        <v>95909</v>
      </c>
      <c r="H69" s="21" t="n">
        <v>2613910</v>
      </c>
      <c r="I69" s="21" t="n">
        <v>3340.78793925904</v>
      </c>
      <c r="J69" s="21" t="n">
        <v>69.010068880172</v>
      </c>
      <c r="K69" s="21" t="n">
        <v>0</v>
      </c>
      <c r="L69" s="21" t="n">
        <v>0</v>
      </c>
      <c r="M69" s="21" t="n">
        <v>121541.238903064</v>
      </c>
      <c r="N69" s="21" t="n">
        <v>718.212015974996</v>
      </c>
      <c r="O69" s="21" t="n">
        <v>0</v>
      </c>
      <c r="P69" s="21" t="n">
        <f aca="false">SUM(J69:O69)</f>
        <v>122328.460987919</v>
      </c>
      <c r="Q69" s="22" t="n">
        <f aca="false">IF(E69=0,0,H69/E69)</f>
        <v>18.6384347168843</v>
      </c>
      <c r="R69" s="23" t="n">
        <f aca="false">IF(E69=0,0,F69/E69)</f>
        <v>0.611460108525916</v>
      </c>
      <c r="S69" s="23" t="n">
        <f aca="false">IF(E69=0,0,G69/E69)</f>
        <v>0.683877270166782</v>
      </c>
      <c r="T69" s="23" t="n">
        <f aca="false">IF(E69=0,0,I69/E69)</f>
        <v>0.0238214238090959</v>
      </c>
    </row>
    <row r="70" customFormat="false" ht="11.25" hidden="false" customHeight="true" outlineLevel="0" collapsed="false">
      <c r="B70" s="24" t="s">
        <v>191</v>
      </c>
      <c r="C70" s="25" t="s">
        <v>192</v>
      </c>
      <c r="D70" s="24" t="n">
        <v>64</v>
      </c>
      <c r="E70" s="26" t="n">
        <v>245095</v>
      </c>
      <c r="F70" s="26" t="n">
        <v>144353</v>
      </c>
      <c r="G70" s="26" t="n">
        <v>151995</v>
      </c>
      <c r="H70" s="26" t="n">
        <v>2392393</v>
      </c>
      <c r="I70" s="26" t="n">
        <v>9969.03544867962</v>
      </c>
      <c r="J70" s="26" t="n">
        <v>3.57959185042037</v>
      </c>
      <c r="K70" s="26" t="n">
        <v>241358.577419208</v>
      </c>
      <c r="L70" s="26" t="n">
        <v>75.3851277913933</v>
      </c>
      <c r="M70" s="26" t="n">
        <v>1904.40929503075</v>
      </c>
      <c r="N70" s="26" t="n">
        <v>1305.32938233034</v>
      </c>
      <c r="O70" s="26" t="n">
        <v>0</v>
      </c>
      <c r="P70" s="26" t="n">
        <f aca="false">SUM(J70:O70)</f>
        <v>244647.28081621</v>
      </c>
      <c r="Q70" s="27" t="n">
        <f aca="false">IF(E70=0,0,H70/E70)</f>
        <v>9.76108447744752</v>
      </c>
      <c r="R70" s="28" t="n">
        <f aca="false">IF(E70=0,0,F70/E70)</f>
        <v>0.588967543197536</v>
      </c>
      <c r="S70" s="28" t="n">
        <f aca="false">IF(E70=0,0,G70/E70)</f>
        <v>0.620147289826394</v>
      </c>
      <c r="T70" s="28" t="n">
        <f aca="false">IF(E70=0,0,I70/E70)</f>
        <v>0.0406741689903083</v>
      </c>
    </row>
    <row r="71" customFormat="false" ht="11.25" hidden="false" customHeight="true" outlineLevel="0" collapsed="false">
      <c r="B71" s="19" t="s">
        <v>193</v>
      </c>
      <c r="C71" s="20" t="s">
        <v>194</v>
      </c>
      <c r="D71" s="19" t="n">
        <v>65</v>
      </c>
      <c r="E71" s="21" t="n">
        <v>317470</v>
      </c>
      <c r="F71" s="21" t="n">
        <v>105058</v>
      </c>
      <c r="G71" s="21" t="n">
        <v>179302</v>
      </c>
      <c r="H71" s="21" t="n">
        <v>3514531</v>
      </c>
      <c r="I71" s="21" t="n">
        <v>12571.009111887</v>
      </c>
      <c r="J71" s="21" t="n">
        <v>336.10720498007</v>
      </c>
      <c r="K71" s="21" t="n">
        <v>52904.8063933753</v>
      </c>
      <c r="L71" s="21" t="n">
        <v>8547.85385353082</v>
      </c>
      <c r="M71" s="21" t="n">
        <v>216065.902074241</v>
      </c>
      <c r="N71" s="21" t="n">
        <v>20.4671818023963</v>
      </c>
      <c r="O71" s="21" t="n">
        <v>0</v>
      </c>
      <c r="P71" s="21" t="n">
        <f aca="false">SUM(J71:O71)</f>
        <v>277875.136707929</v>
      </c>
      <c r="Q71" s="22" t="n">
        <f aca="false">IF(E71=0,0,H71/E71)</f>
        <v>11.0704350017324</v>
      </c>
      <c r="R71" s="23" t="n">
        <f aca="false">IF(E71=0,0,F71/E71)</f>
        <v>0.330922606860491</v>
      </c>
      <c r="S71" s="23" t="n">
        <f aca="false">IF(E71=0,0,G71/E71)</f>
        <v>0.56478407408574</v>
      </c>
      <c r="T71" s="23" t="n">
        <f aca="false">IF(E71=0,0,I71/E71)</f>
        <v>0.0395974709795791</v>
      </c>
    </row>
    <row r="72" customFormat="false" ht="11.25" hidden="false" customHeight="true" outlineLevel="0" collapsed="false">
      <c r="B72" s="24" t="s">
        <v>195</v>
      </c>
      <c r="C72" s="25" t="s">
        <v>196</v>
      </c>
      <c r="D72" s="24" t="n">
        <v>66</v>
      </c>
      <c r="E72" s="26" t="n">
        <v>39301</v>
      </c>
      <c r="F72" s="26" t="n">
        <v>11879</v>
      </c>
      <c r="G72" s="26" t="n">
        <v>21512</v>
      </c>
      <c r="H72" s="26" t="n">
        <v>959048</v>
      </c>
      <c r="I72" s="26" t="n">
        <v>1122.04572673746</v>
      </c>
      <c r="J72" s="26" t="n">
        <v>1349.09147624996</v>
      </c>
      <c r="K72" s="26" t="n">
        <v>0</v>
      </c>
      <c r="L72" s="26" t="n">
        <v>7054.95193673936</v>
      </c>
      <c r="M72" s="26" t="n">
        <v>23702.7506718621</v>
      </c>
      <c r="N72" s="26" t="n">
        <v>0</v>
      </c>
      <c r="O72" s="26" t="n">
        <v>0</v>
      </c>
      <c r="P72" s="26" t="n">
        <f aca="false">SUM(J72:O72)</f>
        <v>32106.7940848514</v>
      </c>
      <c r="Q72" s="27" t="n">
        <f aca="false">IF(E72=0,0,H72/E72)</f>
        <v>24.4026360652401</v>
      </c>
      <c r="R72" s="28" t="n">
        <f aca="false">IF(E72=0,0,F72/E72)</f>
        <v>0.302256940026971</v>
      </c>
      <c r="S72" s="28" t="n">
        <f aca="false">IF(E72=0,0,G72/E72)</f>
        <v>0.547365206992189</v>
      </c>
      <c r="T72" s="28" t="n">
        <f aca="false">IF(E72=0,0,I72/E72)</f>
        <v>0.0285500553863122</v>
      </c>
    </row>
    <row r="73" customFormat="false" ht="11.25" hidden="false" customHeight="true" outlineLevel="0" collapsed="false">
      <c r="B73" s="19" t="s">
        <v>197</v>
      </c>
      <c r="C73" s="20" t="s">
        <v>198</v>
      </c>
      <c r="D73" s="19" t="n">
        <v>67</v>
      </c>
      <c r="E73" s="21" t="n">
        <v>172219</v>
      </c>
      <c r="F73" s="21" t="n">
        <v>44310</v>
      </c>
      <c r="G73" s="21" t="n">
        <v>84860</v>
      </c>
      <c r="H73" s="21" t="n">
        <v>4154142</v>
      </c>
      <c r="I73" s="21" t="n">
        <v>7097.07799318704</v>
      </c>
      <c r="J73" s="21" t="n">
        <v>130.447066713717</v>
      </c>
      <c r="K73" s="21" t="n">
        <v>0</v>
      </c>
      <c r="L73" s="21" t="n">
        <v>49913</v>
      </c>
      <c r="M73" s="21" t="n">
        <v>90696.9394982136</v>
      </c>
      <c r="N73" s="21" t="n">
        <v>55.7112501813376</v>
      </c>
      <c r="O73" s="21" t="n">
        <v>0.00386450458582505</v>
      </c>
      <c r="P73" s="21" t="n">
        <f aca="false">SUM(J73:O73)</f>
        <v>140796.101679613</v>
      </c>
      <c r="Q73" s="22" t="n">
        <f aca="false">IF(E73=0,0,H73/E73)</f>
        <v>24.1212758174185</v>
      </c>
      <c r="R73" s="23" t="n">
        <f aca="false">IF(E73=0,0,F73/E73)</f>
        <v>0.257288684756037</v>
      </c>
      <c r="S73" s="23" t="n">
        <f aca="false">IF(E73=0,0,G73/E73)</f>
        <v>0.49274470296541</v>
      </c>
      <c r="T73" s="23" t="n">
        <f aca="false">IF(E73=0,0,I73/E73)</f>
        <v>0.0412096109789689</v>
      </c>
    </row>
    <row r="74" customFormat="false" ht="11.25" hidden="false" customHeight="true" outlineLevel="0" collapsed="false">
      <c r="B74" s="24" t="s">
        <v>199</v>
      </c>
      <c r="C74" s="25" t="s">
        <v>200</v>
      </c>
      <c r="D74" s="24" t="n">
        <v>68</v>
      </c>
      <c r="E74" s="26" t="n">
        <v>59474</v>
      </c>
      <c r="F74" s="26" t="n">
        <v>59474</v>
      </c>
      <c r="G74" s="26" t="n">
        <v>59474</v>
      </c>
      <c r="H74" s="26" t="n">
        <v>5518847</v>
      </c>
      <c r="I74" s="26" t="n">
        <v>0</v>
      </c>
      <c r="J74" s="26" t="n">
        <v>0</v>
      </c>
      <c r="K74" s="26" t="n">
        <v>0</v>
      </c>
      <c r="L74" s="26" t="n">
        <v>0</v>
      </c>
      <c r="M74" s="26" t="n">
        <v>59474</v>
      </c>
      <c r="N74" s="26" t="n">
        <v>0</v>
      </c>
      <c r="O74" s="26" t="n">
        <v>0</v>
      </c>
      <c r="P74" s="26" t="n">
        <f aca="false">SUM(J74:O74)</f>
        <v>59474</v>
      </c>
      <c r="Q74" s="27" t="n">
        <f aca="false">IF(E74=0,0,H74/E74)</f>
        <v>92.7942798533813</v>
      </c>
      <c r="R74" s="28" t="n">
        <f aca="false">IF(E74=0,0,F74/E74)</f>
        <v>1</v>
      </c>
      <c r="S74" s="28" t="n">
        <f aca="false">IF(E74=0,0,G74/E74)</f>
        <v>1</v>
      </c>
      <c r="T74" s="28" t="n">
        <f aca="false">IF(E74=0,0,I74/E74)</f>
        <v>0</v>
      </c>
    </row>
    <row r="75" customFormat="false" ht="15" hidden="false" customHeight="false" outlineLevel="0" collapsed="false">
      <c r="B75" s="29"/>
      <c r="C75" s="30" t="s">
        <v>219</v>
      </c>
      <c r="D75" s="29"/>
      <c r="E75" s="31" t="n">
        <f aca="false">SUM(E7:E74)</f>
        <v>13306199</v>
      </c>
      <c r="F75" s="31" t="n">
        <f aca="false">SUM(F7:F74)</f>
        <v>3192343</v>
      </c>
      <c r="G75" s="31" t="n">
        <f aca="false">SUM(G7:G74)</f>
        <v>6594937</v>
      </c>
      <c r="H75" s="31" t="n">
        <f aca="false">SUM(H7:H74)</f>
        <v>99254676</v>
      </c>
      <c r="I75" s="31" t="n">
        <f aca="false">SUM(I7:I74)</f>
        <v>723062.023262763</v>
      </c>
      <c r="J75" s="31" t="n">
        <f aca="false">SUM(J7:J74)</f>
        <v>1061746.49674863</v>
      </c>
      <c r="K75" s="31" t="n">
        <f aca="false">SUM(K7:K74)</f>
        <v>1524987.71327408</v>
      </c>
      <c r="L75" s="31" t="n">
        <f aca="false">SUM(L7:L74)</f>
        <v>101399.633754134</v>
      </c>
      <c r="M75" s="31" t="n">
        <f aca="false">SUM(M7:M74)</f>
        <v>3559144.67940885</v>
      </c>
      <c r="N75" s="31" t="n">
        <f aca="false">SUM(N7:N74)</f>
        <v>949854.180917155</v>
      </c>
      <c r="O75" s="31" t="n">
        <f aca="false">SUM(O7:O74)</f>
        <v>-35137.9974700382</v>
      </c>
      <c r="P75" s="31" t="n">
        <f aca="false">SUM(P7:P74)</f>
        <v>7161994.70663281</v>
      </c>
      <c r="Q75" s="29"/>
      <c r="R75" s="29"/>
      <c r="S75" s="29"/>
      <c r="T75" s="29"/>
    </row>
  </sheetData>
  <mergeCells count="1">
    <mergeCell ref="B3:V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8CE"/>
    <pageSetUpPr fitToPage="false"/>
  </sheetPr>
  <dimension ref="B1:V7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52"/>
    <col collapsed="false" customWidth="true" hidden="false" outlineLevel="0" max="4" min="4" style="0" width="4.4"/>
    <col collapsed="false" customWidth="true" hidden="false" outlineLevel="0" max="20" min="5" style="0" width="12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220</v>
      </c>
    </row>
    <row r="3" customFormat="false" ht="24.75" hidden="false" customHeight="true" outlineLevel="0" collapsed="false">
      <c r="B3" s="15" t="s">
        <v>202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6" customFormat="false" ht="24" hidden="false" customHeight="true" outlineLevel="0" collapsed="false">
      <c r="B6" s="18" t="s">
        <v>62</v>
      </c>
      <c r="C6" s="18" t="s">
        <v>63</v>
      </c>
      <c r="D6" s="18" t="s">
        <v>64</v>
      </c>
      <c r="E6" s="18" t="s">
        <v>203</v>
      </c>
      <c r="F6" s="18" t="s">
        <v>204</v>
      </c>
      <c r="G6" s="18" t="s">
        <v>205</v>
      </c>
      <c r="H6" s="18" t="s">
        <v>206</v>
      </c>
      <c r="I6" s="18" t="s">
        <v>207</v>
      </c>
      <c r="J6" s="18" t="s">
        <v>208</v>
      </c>
      <c r="K6" s="18" t="s">
        <v>209</v>
      </c>
      <c r="L6" s="18" t="s">
        <v>210</v>
      </c>
      <c r="M6" s="18" t="s">
        <v>211</v>
      </c>
      <c r="N6" s="18" t="s">
        <v>212</v>
      </c>
      <c r="O6" s="18" t="s">
        <v>213</v>
      </c>
      <c r="P6" s="18" t="s">
        <v>214</v>
      </c>
      <c r="Q6" s="18" t="s">
        <v>215</v>
      </c>
      <c r="R6" s="18" t="s">
        <v>216</v>
      </c>
      <c r="S6" s="18" t="s">
        <v>217</v>
      </c>
      <c r="T6" s="18" t="s">
        <v>218</v>
      </c>
    </row>
    <row r="7" customFormat="false" ht="11.25" hidden="false" customHeight="true" outlineLevel="0" collapsed="false">
      <c r="B7" s="19" t="s">
        <v>65</v>
      </c>
      <c r="C7" s="20" t="s">
        <v>66</v>
      </c>
      <c r="D7" s="19" t="n">
        <v>1</v>
      </c>
      <c r="E7" s="21" t="n">
        <v>168861</v>
      </c>
      <c r="F7" s="21" t="n">
        <v>21587</v>
      </c>
      <c r="G7" s="21" t="n">
        <v>100111</v>
      </c>
      <c r="H7" s="21" t="n">
        <v>6965949</v>
      </c>
      <c r="I7" s="21" t="n">
        <v>5556.33353348822</v>
      </c>
      <c r="J7" s="21" t="n">
        <v>31349.7981664931</v>
      </c>
      <c r="K7" s="21" t="n">
        <v>162.538162990866</v>
      </c>
      <c r="L7" s="21" t="n">
        <v>0</v>
      </c>
      <c r="M7" s="21" t="n">
        <v>38738.80868994</v>
      </c>
      <c r="N7" s="21" t="n">
        <v>1972.73097134459</v>
      </c>
      <c r="O7" s="21" t="n">
        <v>384.794632054997</v>
      </c>
      <c r="P7" s="21" t="n">
        <f aca="false">SUM(J7:O7)</f>
        <v>72608.6706228235</v>
      </c>
      <c r="Q7" s="22" t="n">
        <f aca="false">IF(E7=0,0,H7/E7)</f>
        <v>41.2525627587187</v>
      </c>
      <c r="R7" s="23" t="n">
        <f aca="false">IF(E7=0,0,F7/E7)</f>
        <v>0.127838873392909</v>
      </c>
      <c r="S7" s="23" t="n">
        <f aca="false">IF(E7=0,0,G7/E7)</f>
        <v>0.592860399973943</v>
      </c>
      <c r="T7" s="23" t="n">
        <f aca="false">IF(E7=0,0,I7/E7)</f>
        <v>0.0329047769081566</v>
      </c>
    </row>
    <row r="8" customFormat="false" ht="11.25" hidden="false" customHeight="true" outlineLevel="0" collapsed="false">
      <c r="B8" s="24" t="s">
        <v>67</v>
      </c>
      <c r="C8" s="25" t="s">
        <v>68</v>
      </c>
      <c r="D8" s="24" t="n">
        <v>2</v>
      </c>
      <c r="E8" s="26" t="n">
        <v>83448</v>
      </c>
      <c r="F8" s="26" t="n">
        <v>14062</v>
      </c>
      <c r="G8" s="26" t="n">
        <v>44863</v>
      </c>
      <c r="H8" s="26" t="n">
        <v>7473681</v>
      </c>
      <c r="I8" s="26" t="n">
        <v>1980.05320590451</v>
      </c>
      <c r="J8" s="26" t="n">
        <v>2712.88815638632</v>
      </c>
      <c r="K8" s="26" t="n">
        <v>10.5157835588146</v>
      </c>
      <c r="L8" s="26" t="n">
        <v>0</v>
      </c>
      <c r="M8" s="26" t="n">
        <v>13254.1708731358</v>
      </c>
      <c r="N8" s="26" t="n">
        <v>10470.5438889163</v>
      </c>
      <c r="O8" s="26" t="n">
        <v>1034.36648293705</v>
      </c>
      <c r="P8" s="26" t="n">
        <f aca="false">SUM(J8:O8)</f>
        <v>27482.4851849343</v>
      </c>
      <c r="Q8" s="27" t="n">
        <f aca="false">IF(E8=0,0,H8/E8)</f>
        <v>89.5609361518551</v>
      </c>
      <c r="R8" s="28" t="n">
        <f aca="false">IF(E8=0,0,F8/E8)</f>
        <v>0.168512127312818</v>
      </c>
      <c r="S8" s="28" t="n">
        <f aca="false">IF(E8=0,0,G8/E8)</f>
        <v>0.537616240053686</v>
      </c>
      <c r="T8" s="28" t="n">
        <f aca="false">IF(E8=0,0,I8/E8)</f>
        <v>0.0237279887583227</v>
      </c>
    </row>
    <row r="9" customFormat="false" ht="11.25" hidden="false" customHeight="true" outlineLevel="0" collapsed="false">
      <c r="B9" s="19" t="s">
        <v>69</v>
      </c>
      <c r="C9" s="20" t="s">
        <v>70</v>
      </c>
      <c r="D9" s="19" t="n">
        <v>3</v>
      </c>
      <c r="E9" s="21" t="n">
        <v>20332</v>
      </c>
      <c r="F9" s="21" t="n">
        <v>1983</v>
      </c>
      <c r="G9" s="21" t="n">
        <v>14958</v>
      </c>
      <c r="H9" s="21" t="n">
        <v>1041304</v>
      </c>
      <c r="I9" s="21" t="n">
        <v>299.921374403275</v>
      </c>
      <c r="J9" s="21" t="n">
        <v>457.178012087229</v>
      </c>
      <c r="K9" s="21" t="n">
        <v>2.54593809860419</v>
      </c>
      <c r="L9" s="21" t="n">
        <v>0</v>
      </c>
      <c r="M9" s="21" t="n">
        <v>7475.64515238281</v>
      </c>
      <c r="N9" s="21" t="n">
        <v>1252.48001026656</v>
      </c>
      <c r="O9" s="21" t="n">
        <v>-118.334319903303</v>
      </c>
      <c r="P9" s="21" t="n">
        <f aca="false">SUM(J9:O9)</f>
        <v>9069.51479293189</v>
      </c>
      <c r="Q9" s="22" t="n">
        <f aca="false">IF(E9=0,0,H9/E9)</f>
        <v>51.2150304938029</v>
      </c>
      <c r="R9" s="23" t="n">
        <f aca="false">IF(E9=0,0,F9/E9)</f>
        <v>0.0975309856384025</v>
      </c>
      <c r="S9" s="23" t="n">
        <f aca="false">IF(E9=0,0,G9/E9)</f>
        <v>0.735687586071218</v>
      </c>
      <c r="T9" s="23" t="n">
        <f aca="false">IF(E9=0,0,I9/E9)</f>
        <v>0.0147511988197558</v>
      </c>
    </row>
    <row r="10" customFormat="false" ht="11.25" hidden="false" customHeight="true" outlineLevel="0" collapsed="false">
      <c r="B10" s="24" t="s">
        <v>71</v>
      </c>
      <c r="C10" s="25" t="s">
        <v>72</v>
      </c>
      <c r="D10" s="24" t="n">
        <v>4</v>
      </c>
      <c r="E10" s="26" t="n">
        <v>14838</v>
      </c>
      <c r="F10" s="26" t="n">
        <v>2772</v>
      </c>
      <c r="G10" s="26" t="n">
        <v>6592</v>
      </c>
      <c r="H10" s="26" t="n">
        <v>138960</v>
      </c>
      <c r="I10" s="26" t="n">
        <v>768.643627274239</v>
      </c>
      <c r="J10" s="26" t="n">
        <v>593.779087359821</v>
      </c>
      <c r="K10" s="26" t="n">
        <v>0.0890843023182562</v>
      </c>
      <c r="L10" s="26" t="n">
        <v>0</v>
      </c>
      <c r="M10" s="26" t="n">
        <v>465.813375140226</v>
      </c>
      <c r="N10" s="26" t="n">
        <v>35.8189848890198</v>
      </c>
      <c r="O10" s="26" t="n">
        <v>-306.271381772151</v>
      </c>
      <c r="P10" s="26" t="n">
        <f aca="false">SUM(J10:O10)</f>
        <v>789.229149919234</v>
      </c>
      <c r="Q10" s="27" t="n">
        <f aca="false">IF(E10=0,0,H10/E10)</f>
        <v>9.36514355034371</v>
      </c>
      <c r="R10" s="28" t="n">
        <f aca="false">IF(E10=0,0,F10/E10)</f>
        <v>0.186817630408411</v>
      </c>
      <c r="S10" s="28" t="n">
        <f aca="false">IF(E10=0,0,G10/E10)</f>
        <v>0.444264725704273</v>
      </c>
      <c r="T10" s="28" t="n">
        <f aca="false">IF(E10=0,0,I10/E10)</f>
        <v>0.0518023741255047</v>
      </c>
    </row>
    <row r="11" customFormat="false" ht="11.25" hidden="false" customHeight="true" outlineLevel="0" collapsed="false">
      <c r="B11" s="19" t="s">
        <v>73</v>
      </c>
      <c r="C11" s="20" t="s">
        <v>74</v>
      </c>
      <c r="D11" s="19" t="n">
        <v>5</v>
      </c>
      <c r="E11" s="21" t="n">
        <v>117330</v>
      </c>
      <c r="F11" s="21" t="n">
        <v>12201</v>
      </c>
      <c r="G11" s="21" t="n">
        <v>63474</v>
      </c>
      <c r="H11" s="21" t="n">
        <v>60278</v>
      </c>
      <c r="I11" s="21" t="n">
        <v>8185.75638067856</v>
      </c>
      <c r="J11" s="21" t="n">
        <v>23128.2406077775</v>
      </c>
      <c r="K11" s="21" t="n">
        <v>0</v>
      </c>
      <c r="L11" s="21" t="n">
        <v>0</v>
      </c>
      <c r="M11" s="21" t="n">
        <v>285.483454690815</v>
      </c>
      <c r="N11" s="21" t="n">
        <v>12022.337550777</v>
      </c>
      <c r="O11" s="21" t="n">
        <v>-455.919220038342</v>
      </c>
      <c r="P11" s="21" t="n">
        <f aca="false">SUM(J11:O11)</f>
        <v>34980.1423932069</v>
      </c>
      <c r="Q11" s="22" t="n">
        <f aca="false">IF(E11=0,0,H11/E11)</f>
        <v>0.513747549646297</v>
      </c>
      <c r="R11" s="23" t="n">
        <f aca="false">IF(E11=0,0,F11/E11)</f>
        <v>0.103988749680389</v>
      </c>
      <c r="S11" s="23" t="n">
        <f aca="false">IF(E11=0,0,G11/E11)</f>
        <v>0.540986959856814</v>
      </c>
      <c r="T11" s="23" t="n">
        <f aca="false">IF(E11=0,0,I11/E11)</f>
        <v>0.0697669511691687</v>
      </c>
    </row>
    <row r="12" customFormat="false" ht="11.25" hidden="false" customHeight="true" outlineLevel="0" collapsed="false">
      <c r="B12" s="24" t="s">
        <v>75</v>
      </c>
      <c r="C12" s="25" t="s">
        <v>76</v>
      </c>
      <c r="D12" s="24" t="n">
        <v>6</v>
      </c>
      <c r="E12" s="26" t="n">
        <v>56525</v>
      </c>
      <c r="F12" s="26" t="n">
        <v>3687</v>
      </c>
      <c r="G12" s="26" t="n">
        <v>36491</v>
      </c>
      <c r="H12" s="26" t="n">
        <v>35928</v>
      </c>
      <c r="I12" s="26" t="n">
        <v>1964.89141741721</v>
      </c>
      <c r="J12" s="26" t="n">
        <v>44613.2008346888</v>
      </c>
      <c r="K12" s="26" t="n">
        <v>0</v>
      </c>
      <c r="L12" s="26" t="n">
        <v>0</v>
      </c>
      <c r="M12" s="26" t="n">
        <v>5.77449158531159</v>
      </c>
      <c r="N12" s="26" t="n">
        <v>187.084543465288</v>
      </c>
      <c r="O12" s="26" t="n">
        <v>-216.708664823486</v>
      </c>
      <c r="P12" s="26" t="n">
        <f aca="false">SUM(J12:O12)</f>
        <v>44589.3512049159</v>
      </c>
      <c r="Q12" s="27" t="n">
        <f aca="false">IF(E12=0,0,H12/E12)</f>
        <v>0.635612560813799</v>
      </c>
      <c r="R12" s="28" t="n">
        <f aca="false">IF(E12=0,0,F12/E12)</f>
        <v>0.0652277753206546</v>
      </c>
      <c r="S12" s="28" t="n">
        <f aca="false">IF(E12=0,0,G12/E12)</f>
        <v>0.645572755417957</v>
      </c>
      <c r="T12" s="28" t="n">
        <f aca="false">IF(E12=0,0,I12/E12)</f>
        <v>0.0347614580701851</v>
      </c>
    </row>
    <row r="13" customFormat="false" ht="11.25" hidden="false" customHeight="true" outlineLevel="0" collapsed="false">
      <c r="B13" s="19" t="s">
        <v>77</v>
      </c>
      <c r="C13" s="20" t="s">
        <v>78</v>
      </c>
      <c r="D13" s="19" t="n">
        <v>7</v>
      </c>
      <c r="E13" s="21" t="n">
        <v>9864</v>
      </c>
      <c r="F13" s="21" t="n">
        <v>1507</v>
      </c>
      <c r="G13" s="21" t="n">
        <v>3408</v>
      </c>
      <c r="H13" s="21" t="n">
        <v>31775</v>
      </c>
      <c r="I13" s="21" t="n">
        <v>659.065008770347</v>
      </c>
      <c r="J13" s="21" t="n">
        <v>2232.20452896352</v>
      </c>
      <c r="K13" s="21" t="n">
        <v>0</v>
      </c>
      <c r="L13" s="21" t="n">
        <v>0</v>
      </c>
      <c r="M13" s="21" t="n">
        <v>3.93070700286032</v>
      </c>
      <c r="N13" s="21" t="n">
        <v>0</v>
      </c>
      <c r="O13" s="21" t="n">
        <v>360.158286840726</v>
      </c>
      <c r="P13" s="21" t="n">
        <f aca="false">SUM(J13:O13)</f>
        <v>2596.29352280711</v>
      </c>
      <c r="Q13" s="22" t="n">
        <f aca="false">IF(E13=0,0,H13/E13)</f>
        <v>3.2213098134631</v>
      </c>
      <c r="R13" s="23" t="n">
        <f aca="false">IF(E13=0,0,F13/E13)</f>
        <v>0.152777777777778</v>
      </c>
      <c r="S13" s="23" t="n">
        <f aca="false">IF(E13=0,0,G13/E13)</f>
        <v>0.345498783454988</v>
      </c>
      <c r="T13" s="23" t="n">
        <f aca="false">IF(E13=0,0,I13/E13)</f>
        <v>0.0668151874260287</v>
      </c>
    </row>
    <row r="14" customFormat="false" ht="11.25" hidden="false" customHeight="true" outlineLevel="0" collapsed="false">
      <c r="B14" s="24" t="s">
        <v>79</v>
      </c>
      <c r="C14" s="25" t="s">
        <v>80</v>
      </c>
      <c r="D14" s="24" t="n">
        <v>8</v>
      </c>
      <c r="E14" s="26" t="n">
        <v>137527</v>
      </c>
      <c r="F14" s="26" t="n">
        <v>13111</v>
      </c>
      <c r="G14" s="26" t="n">
        <v>20849</v>
      </c>
      <c r="H14" s="26" t="n">
        <v>638392</v>
      </c>
      <c r="I14" s="26" t="n">
        <v>1944.28791078476</v>
      </c>
      <c r="J14" s="26" t="n">
        <v>18341.4310695291</v>
      </c>
      <c r="K14" s="26" t="n">
        <v>35.8198441308648</v>
      </c>
      <c r="L14" s="26" t="n">
        <v>0</v>
      </c>
      <c r="M14" s="26" t="n">
        <v>91316.5251624079</v>
      </c>
      <c r="N14" s="26" t="n">
        <v>45.5740453529352</v>
      </c>
      <c r="O14" s="26" t="n">
        <v>1496.69537306309</v>
      </c>
      <c r="P14" s="26" t="n">
        <f aca="false">SUM(J14:O14)</f>
        <v>111236.045494484</v>
      </c>
      <c r="Q14" s="27" t="n">
        <f aca="false">IF(E14=0,0,H14/E14)</f>
        <v>4.64193940099035</v>
      </c>
      <c r="R14" s="28" t="n">
        <f aca="false">IF(E14=0,0,F14/E14)</f>
        <v>0.0953340071404161</v>
      </c>
      <c r="S14" s="28" t="n">
        <f aca="false">IF(E14=0,0,G14/E14)</f>
        <v>0.151599322314891</v>
      </c>
      <c r="T14" s="28" t="n">
        <f aca="false">IF(E14=0,0,I14/E14)</f>
        <v>0.014137499623963</v>
      </c>
    </row>
    <row r="15" customFormat="false" ht="11.25" hidden="false" customHeight="true" outlineLevel="0" collapsed="false">
      <c r="B15" s="19" t="s">
        <v>81</v>
      </c>
      <c r="C15" s="20" t="s">
        <v>82</v>
      </c>
      <c r="D15" s="19" t="n">
        <v>9</v>
      </c>
      <c r="E15" s="21" t="n">
        <v>44422</v>
      </c>
      <c r="F15" s="21" t="n">
        <v>6175</v>
      </c>
      <c r="G15" s="21" t="n">
        <v>9545</v>
      </c>
      <c r="H15" s="21" t="n">
        <v>228655</v>
      </c>
      <c r="I15" s="21" t="n">
        <v>565.654489886351</v>
      </c>
      <c r="J15" s="21" t="n">
        <v>16579.4532957718</v>
      </c>
      <c r="K15" s="21" t="n">
        <v>2.20254126082808</v>
      </c>
      <c r="L15" s="21" t="n">
        <v>0</v>
      </c>
      <c r="M15" s="21" t="n">
        <v>13243.2576533719</v>
      </c>
      <c r="N15" s="21" t="n">
        <v>224.565335252789</v>
      </c>
      <c r="O15" s="21" t="n">
        <v>725.780897176077</v>
      </c>
      <c r="P15" s="21" t="n">
        <f aca="false">SUM(J15:O15)</f>
        <v>30775.2597228334</v>
      </c>
      <c r="Q15" s="22" t="n">
        <f aca="false">IF(E15=0,0,H15/E15)</f>
        <v>5.1473369051371</v>
      </c>
      <c r="R15" s="23" t="n">
        <f aca="false">IF(E15=0,0,F15/E15)</f>
        <v>0.139007698887938</v>
      </c>
      <c r="S15" s="23" t="n">
        <f aca="false">IF(E15=0,0,G15/E15)</f>
        <v>0.214871009859979</v>
      </c>
      <c r="T15" s="23" t="n">
        <f aca="false">IF(E15=0,0,I15/E15)</f>
        <v>0.012733656518985</v>
      </c>
    </row>
    <row r="16" customFormat="false" ht="11.25" hidden="false" customHeight="true" outlineLevel="0" collapsed="false">
      <c r="B16" s="24" t="s">
        <v>83</v>
      </c>
      <c r="C16" s="25" t="s">
        <v>84</v>
      </c>
      <c r="D16" s="24" t="n">
        <v>10</v>
      </c>
      <c r="E16" s="26" t="n">
        <v>153990</v>
      </c>
      <c r="F16" s="26" t="n">
        <v>16095</v>
      </c>
      <c r="G16" s="26" t="n">
        <v>27485</v>
      </c>
      <c r="H16" s="26" t="n">
        <v>1115497</v>
      </c>
      <c r="I16" s="26" t="n">
        <v>6123.38059530019</v>
      </c>
      <c r="J16" s="26" t="n">
        <v>13882.6872684822</v>
      </c>
      <c r="K16" s="26" t="n">
        <v>33.2673603966624</v>
      </c>
      <c r="L16" s="26" t="n">
        <v>0</v>
      </c>
      <c r="M16" s="26" t="n">
        <v>88499.4761940046</v>
      </c>
      <c r="N16" s="26" t="n">
        <v>264.682193349008</v>
      </c>
      <c r="O16" s="26" t="n">
        <v>2828.43469789366</v>
      </c>
      <c r="P16" s="26" t="n">
        <f aca="false">SUM(J16:O16)</f>
        <v>105508.547714126</v>
      </c>
      <c r="Q16" s="27" t="n">
        <f aca="false">IF(E16=0,0,H16/E16)</f>
        <v>7.24395739983116</v>
      </c>
      <c r="R16" s="28" t="n">
        <f aca="false">IF(E16=0,0,F16/E16)</f>
        <v>0.1045197740113</v>
      </c>
      <c r="S16" s="28" t="n">
        <f aca="false">IF(E16=0,0,G16/E16)</f>
        <v>0.178485615949088</v>
      </c>
      <c r="T16" s="28" t="n">
        <f aca="false">IF(E16=0,0,I16/E16)</f>
        <v>0.0397647937872602</v>
      </c>
    </row>
    <row r="17" customFormat="false" ht="11.25" hidden="false" customHeight="true" outlineLevel="0" collapsed="false">
      <c r="B17" s="19" t="s">
        <v>85</v>
      </c>
      <c r="C17" s="20" t="s">
        <v>86</v>
      </c>
      <c r="D17" s="19" t="n">
        <v>11</v>
      </c>
      <c r="E17" s="21" t="n">
        <v>53034</v>
      </c>
      <c r="F17" s="21" t="n">
        <v>5267</v>
      </c>
      <c r="G17" s="21" t="n">
        <v>17224</v>
      </c>
      <c r="H17" s="21" t="n">
        <v>161508</v>
      </c>
      <c r="I17" s="21" t="n">
        <v>1575.41875484798</v>
      </c>
      <c r="J17" s="21" t="n">
        <v>969.910612463645</v>
      </c>
      <c r="K17" s="21" t="n">
        <v>1.75043173513724</v>
      </c>
      <c r="L17" s="21" t="n">
        <v>0</v>
      </c>
      <c r="M17" s="21" t="n">
        <v>30131.3340092204</v>
      </c>
      <c r="N17" s="21" t="n">
        <v>150.369568390511</v>
      </c>
      <c r="O17" s="21" t="n">
        <v>634.434795524258</v>
      </c>
      <c r="P17" s="21" t="n">
        <f aca="false">SUM(J17:O17)</f>
        <v>31887.7994173339</v>
      </c>
      <c r="Q17" s="22" t="n">
        <f aca="false">IF(E17=0,0,H17/E17)</f>
        <v>3.04536712297771</v>
      </c>
      <c r="R17" s="23" t="n">
        <f aca="false">IF(E17=0,0,F17/E17)</f>
        <v>0.09931364784855</v>
      </c>
      <c r="S17" s="23" t="n">
        <f aca="false">IF(E17=0,0,G17/E17)</f>
        <v>0.324772787268545</v>
      </c>
      <c r="T17" s="23" t="n">
        <f aca="false">IF(E17=0,0,I17/E17)</f>
        <v>0.0297058255995772</v>
      </c>
    </row>
    <row r="18" customFormat="false" ht="11.25" hidden="false" customHeight="true" outlineLevel="0" collapsed="false">
      <c r="B18" s="24" t="s">
        <v>87</v>
      </c>
      <c r="C18" s="25" t="s">
        <v>88</v>
      </c>
      <c r="D18" s="24" t="n">
        <v>12</v>
      </c>
      <c r="E18" s="26" t="n">
        <v>13405</v>
      </c>
      <c r="F18" s="26" t="n">
        <v>1148</v>
      </c>
      <c r="G18" s="26" t="n">
        <v>3595</v>
      </c>
      <c r="H18" s="26" t="n">
        <v>19343</v>
      </c>
      <c r="I18" s="26" t="n">
        <v>538.844658921974</v>
      </c>
      <c r="J18" s="26" t="n">
        <v>2508.87710608481</v>
      </c>
      <c r="K18" s="26" t="n">
        <v>0</v>
      </c>
      <c r="L18" s="26" t="n">
        <v>0</v>
      </c>
      <c r="M18" s="26" t="n">
        <v>9906.8050624855</v>
      </c>
      <c r="N18" s="26" t="n">
        <v>39.4851800278496</v>
      </c>
      <c r="O18" s="26" t="n">
        <v>-56.7857080691001</v>
      </c>
      <c r="P18" s="26" t="n">
        <f aca="false">SUM(J18:O18)</f>
        <v>12398.3816405291</v>
      </c>
      <c r="Q18" s="27" t="n">
        <f aca="false">IF(E18=0,0,H18/E18)</f>
        <v>1.44296904140246</v>
      </c>
      <c r="R18" s="28" t="n">
        <f aca="false">IF(E18=0,0,F18/E18)</f>
        <v>0.0856396866840731</v>
      </c>
      <c r="S18" s="28" t="n">
        <f aca="false">IF(E18=0,0,G18/E18)</f>
        <v>0.268183513614323</v>
      </c>
      <c r="T18" s="28" t="n">
        <f aca="false">IF(E18=0,0,I18/E18)</f>
        <v>0.0401972889908224</v>
      </c>
    </row>
    <row r="19" customFormat="false" ht="11.25" hidden="false" customHeight="true" outlineLevel="0" collapsed="false">
      <c r="B19" s="19" t="s">
        <v>89</v>
      </c>
      <c r="C19" s="20" t="s">
        <v>90</v>
      </c>
      <c r="D19" s="19" t="n">
        <v>13</v>
      </c>
      <c r="E19" s="21" t="n">
        <v>40495</v>
      </c>
      <c r="F19" s="21" t="n">
        <v>8058</v>
      </c>
      <c r="G19" s="21" t="n">
        <v>10950</v>
      </c>
      <c r="H19" s="21" t="n">
        <v>623594</v>
      </c>
      <c r="I19" s="21" t="n">
        <v>3216.29162627909</v>
      </c>
      <c r="J19" s="21" t="n">
        <v>1188.49993158899</v>
      </c>
      <c r="K19" s="21" t="n">
        <v>2.8702369454288</v>
      </c>
      <c r="L19" s="21" t="n">
        <v>0</v>
      </c>
      <c r="M19" s="21" t="n">
        <v>14077.1489419894</v>
      </c>
      <c r="N19" s="21" t="n">
        <v>90.9111614713624</v>
      </c>
      <c r="O19" s="21" t="n">
        <v>966.846307802073</v>
      </c>
      <c r="P19" s="21" t="n">
        <f aca="false">SUM(J19:O19)</f>
        <v>16326.2765797972</v>
      </c>
      <c r="Q19" s="22" t="n">
        <f aca="false">IF(E19=0,0,H19/E19)</f>
        <v>15.3992838622052</v>
      </c>
      <c r="R19" s="23" t="n">
        <f aca="false">IF(E19=0,0,F19/E19)</f>
        <v>0.198987529324608</v>
      </c>
      <c r="S19" s="23" t="n">
        <f aca="false">IF(E19=0,0,G19/E19)</f>
        <v>0.270403753549821</v>
      </c>
      <c r="T19" s="23" t="n">
        <f aca="false">IF(E19=0,0,I19/E19)</f>
        <v>0.0794244135394269</v>
      </c>
    </row>
    <row r="20" customFormat="false" ht="11.25" hidden="false" customHeight="true" outlineLevel="0" collapsed="false">
      <c r="B20" s="24" t="s">
        <v>91</v>
      </c>
      <c r="C20" s="25" t="s">
        <v>92</v>
      </c>
      <c r="D20" s="24" t="n">
        <v>14</v>
      </c>
      <c r="E20" s="26" t="n">
        <v>48493</v>
      </c>
      <c r="F20" s="26" t="n">
        <v>12199</v>
      </c>
      <c r="G20" s="26" t="n">
        <v>22027</v>
      </c>
      <c r="H20" s="26" t="n">
        <v>1748306</v>
      </c>
      <c r="I20" s="26" t="n">
        <v>2598.69909902799</v>
      </c>
      <c r="J20" s="26" t="n">
        <v>621.594432342289</v>
      </c>
      <c r="K20" s="26" t="n">
        <v>4.0412769763516</v>
      </c>
      <c r="L20" s="26" t="n">
        <v>0</v>
      </c>
      <c r="M20" s="26" t="n">
        <v>42598.0618394512</v>
      </c>
      <c r="N20" s="26" t="n">
        <v>84.7939488954903</v>
      </c>
      <c r="O20" s="26" t="n">
        <v>78.5156896558369</v>
      </c>
      <c r="P20" s="26" t="n">
        <f aca="false">SUM(J20:O20)</f>
        <v>43387.0071873211</v>
      </c>
      <c r="Q20" s="27" t="n">
        <f aca="false">IF(E20=0,0,H20/E20)</f>
        <v>36.0527498814262</v>
      </c>
      <c r="R20" s="28" t="n">
        <f aca="false">IF(E20=0,0,F20/E20)</f>
        <v>0.251562081125111</v>
      </c>
      <c r="S20" s="28" t="n">
        <f aca="false">IF(E20=0,0,G20/E20)</f>
        <v>0.454230507495927</v>
      </c>
      <c r="T20" s="28" t="n">
        <f aca="false">IF(E20=0,0,I20/E20)</f>
        <v>0.053589159240055</v>
      </c>
    </row>
    <row r="21" customFormat="false" ht="11.25" hidden="false" customHeight="true" outlineLevel="0" collapsed="false">
      <c r="B21" s="19" t="s">
        <v>93</v>
      </c>
      <c r="C21" s="20" t="s">
        <v>94</v>
      </c>
      <c r="D21" s="19" t="n">
        <v>15</v>
      </c>
      <c r="E21" s="21" t="n">
        <v>29273</v>
      </c>
      <c r="F21" s="21" t="n">
        <v>7847</v>
      </c>
      <c r="G21" s="21" t="n">
        <v>10553</v>
      </c>
      <c r="H21" s="21" t="n">
        <v>586106</v>
      </c>
      <c r="I21" s="21" t="n">
        <v>1319.3530061699</v>
      </c>
      <c r="J21" s="21" t="n">
        <v>3577.90547491517</v>
      </c>
      <c r="K21" s="21" t="n">
        <v>0.0433294107970086</v>
      </c>
      <c r="L21" s="21" t="n">
        <v>0</v>
      </c>
      <c r="M21" s="21" t="n">
        <v>21615.2773733524</v>
      </c>
      <c r="N21" s="21" t="n">
        <v>117.194655318926</v>
      </c>
      <c r="O21" s="21" t="n">
        <v>-61.0291698401289</v>
      </c>
      <c r="P21" s="21" t="n">
        <f aca="false">SUM(J21:O21)</f>
        <v>25249.3916631572</v>
      </c>
      <c r="Q21" s="22" t="n">
        <f aca="false">IF(E21=0,0,H21/E21)</f>
        <v>20.0220681173778</v>
      </c>
      <c r="R21" s="23" t="n">
        <f aca="false">IF(E21=0,0,F21/E21)</f>
        <v>0.268062719912548</v>
      </c>
      <c r="S21" s="23" t="n">
        <f aca="false">IF(E21=0,0,G21/E21)</f>
        <v>0.360502852457897</v>
      </c>
      <c r="T21" s="23" t="n">
        <f aca="false">IF(E21=0,0,I21/E21)</f>
        <v>0.0450706455153179</v>
      </c>
    </row>
    <row r="22" customFormat="false" ht="11.25" hidden="false" customHeight="true" outlineLevel="0" collapsed="false">
      <c r="B22" s="24" t="s">
        <v>95</v>
      </c>
      <c r="C22" s="25" t="s">
        <v>96</v>
      </c>
      <c r="D22" s="24" t="n">
        <v>16</v>
      </c>
      <c r="E22" s="26" t="n">
        <v>21017</v>
      </c>
      <c r="F22" s="26" t="n">
        <v>4658</v>
      </c>
      <c r="G22" s="26" t="n">
        <v>8536</v>
      </c>
      <c r="H22" s="26" t="n">
        <v>469599</v>
      </c>
      <c r="I22" s="26" t="n">
        <v>678.632811536831</v>
      </c>
      <c r="J22" s="26" t="n">
        <v>2453.52903976998</v>
      </c>
      <c r="K22" s="26" t="n">
        <v>0</v>
      </c>
      <c r="L22" s="26" t="n">
        <v>0</v>
      </c>
      <c r="M22" s="26" t="n">
        <v>1491.07494900379</v>
      </c>
      <c r="N22" s="26" t="n">
        <v>120.291003539831</v>
      </c>
      <c r="O22" s="26" t="n">
        <v>741.601948856745</v>
      </c>
      <c r="P22" s="26" t="n">
        <f aca="false">SUM(J22:O22)</f>
        <v>4806.49694117034</v>
      </c>
      <c r="Q22" s="27" t="n">
        <f aca="false">IF(E22=0,0,H22/E22)</f>
        <v>22.3437693295903</v>
      </c>
      <c r="R22" s="28" t="n">
        <f aca="false">IF(E22=0,0,F22/E22)</f>
        <v>0.221630108959414</v>
      </c>
      <c r="S22" s="28" t="n">
        <f aca="false">IF(E22=0,0,G22/E22)</f>
        <v>0.406147404482086</v>
      </c>
      <c r="T22" s="28" t="n">
        <f aca="false">IF(E22=0,0,I22/E22)</f>
        <v>0.0322897088802793</v>
      </c>
    </row>
    <row r="23" customFormat="false" ht="11.25" hidden="false" customHeight="true" outlineLevel="0" collapsed="false">
      <c r="B23" s="19" t="s">
        <v>97</v>
      </c>
      <c r="C23" s="20" t="s">
        <v>98</v>
      </c>
      <c r="D23" s="19" t="n">
        <v>17</v>
      </c>
      <c r="E23" s="21" t="n">
        <v>56231</v>
      </c>
      <c r="F23" s="21" t="n">
        <v>7965</v>
      </c>
      <c r="G23" s="21" t="n">
        <v>15334</v>
      </c>
      <c r="H23" s="21" t="n">
        <v>198663</v>
      </c>
      <c r="I23" s="21" t="n">
        <v>3382.8902717236</v>
      </c>
      <c r="J23" s="21" t="n">
        <v>9515.10588118045</v>
      </c>
      <c r="K23" s="21" t="n">
        <v>0.0756388588025987</v>
      </c>
      <c r="L23" s="21" t="n">
        <v>0</v>
      </c>
      <c r="M23" s="21" t="n">
        <v>7657.85139544249</v>
      </c>
      <c r="N23" s="21" t="n">
        <v>258.117792815386</v>
      </c>
      <c r="O23" s="21" t="n">
        <v>-395.045059784508</v>
      </c>
      <c r="P23" s="21" t="n">
        <f aca="false">SUM(J23:O23)</f>
        <v>17036.1056485126</v>
      </c>
      <c r="Q23" s="22" t="n">
        <f aca="false">IF(E23=0,0,H23/E23)</f>
        <v>3.53298002880973</v>
      </c>
      <c r="R23" s="23" t="n">
        <f aca="false">IF(E23=0,0,F23/E23)</f>
        <v>0.141647845494478</v>
      </c>
      <c r="S23" s="23" t="n">
        <f aca="false">IF(E23=0,0,G23/E23)</f>
        <v>0.272696555280895</v>
      </c>
      <c r="T23" s="23" t="n">
        <f aca="false">IF(E23=0,0,I23/E23)</f>
        <v>0.060160592408522</v>
      </c>
    </row>
    <row r="24" customFormat="false" ht="11.25" hidden="false" customHeight="true" outlineLevel="0" collapsed="false">
      <c r="B24" s="24" t="s">
        <v>99</v>
      </c>
      <c r="C24" s="25" t="s">
        <v>100</v>
      </c>
      <c r="D24" s="24" t="n">
        <v>18</v>
      </c>
      <c r="E24" s="26" t="n">
        <v>17323</v>
      </c>
      <c r="F24" s="26" t="n">
        <v>4217</v>
      </c>
      <c r="G24" s="26" t="n">
        <v>7518</v>
      </c>
      <c r="H24" s="26" t="n">
        <v>211376</v>
      </c>
      <c r="I24" s="26" t="n">
        <v>826.135865950025</v>
      </c>
      <c r="J24" s="26" t="n">
        <v>74.6015670547313</v>
      </c>
      <c r="K24" s="26" t="n">
        <v>8.38759055976683E-005</v>
      </c>
      <c r="L24" s="26" t="n">
        <v>0</v>
      </c>
      <c r="M24" s="26" t="n">
        <v>684.927572735804</v>
      </c>
      <c r="N24" s="26" t="n">
        <v>40.3046273893796</v>
      </c>
      <c r="O24" s="26" t="n">
        <v>54.2930086351196</v>
      </c>
      <c r="P24" s="26" t="n">
        <f aca="false">SUM(J24:O24)</f>
        <v>854.12685969094</v>
      </c>
      <c r="Q24" s="27" t="n">
        <f aca="false">IF(E24=0,0,H24/E24)</f>
        <v>12.2020435259482</v>
      </c>
      <c r="R24" s="28" t="n">
        <f aca="false">IF(E24=0,0,F24/E24)</f>
        <v>0.243433585406685</v>
      </c>
      <c r="S24" s="28" t="n">
        <f aca="false">IF(E24=0,0,G24/E24)</f>
        <v>0.433989493736651</v>
      </c>
      <c r="T24" s="28" t="n">
        <f aca="false">IF(E24=0,0,I24/E24)</f>
        <v>0.0476901152196516</v>
      </c>
    </row>
    <row r="25" customFormat="false" ht="11.25" hidden="false" customHeight="true" outlineLevel="0" collapsed="false">
      <c r="B25" s="19" t="s">
        <v>101</v>
      </c>
      <c r="C25" s="20" t="s">
        <v>102</v>
      </c>
      <c r="D25" s="19" t="n">
        <v>19</v>
      </c>
      <c r="E25" s="21" t="n">
        <v>226943</v>
      </c>
      <c r="F25" s="21" t="n">
        <v>4075</v>
      </c>
      <c r="G25" s="21" t="n">
        <v>16329</v>
      </c>
      <c r="H25" s="21" t="n">
        <v>23984</v>
      </c>
      <c r="I25" s="21" t="n">
        <v>26819.7991945705</v>
      </c>
      <c r="J25" s="21" t="n">
        <v>8038.74447625707</v>
      </c>
      <c r="K25" s="21" t="n">
        <v>0</v>
      </c>
      <c r="L25" s="21" t="n">
        <v>0</v>
      </c>
      <c r="M25" s="21" t="n">
        <v>53815.1073068194</v>
      </c>
      <c r="N25" s="21" t="n">
        <v>12.2079600098233</v>
      </c>
      <c r="O25" s="21" t="n">
        <v>2032.4730153278</v>
      </c>
      <c r="P25" s="21" t="n">
        <f aca="false">SUM(J25:O25)</f>
        <v>63898.5327584141</v>
      </c>
      <c r="Q25" s="22" t="n">
        <f aca="false">IF(E25=0,0,H25/E25)</f>
        <v>0.105682924787281</v>
      </c>
      <c r="R25" s="23" t="n">
        <f aca="false">IF(E25=0,0,F25/E25)</f>
        <v>0.017956050638266</v>
      </c>
      <c r="S25" s="23" t="n">
        <f aca="false">IF(E25=0,0,G25/E25)</f>
        <v>0.0719519879441093</v>
      </c>
      <c r="T25" s="23" t="n">
        <f aca="false">IF(E25=0,0,I25/E25)</f>
        <v>0.118178569925358</v>
      </c>
    </row>
    <row r="26" customFormat="false" ht="11.25" hidden="false" customHeight="true" outlineLevel="0" collapsed="false">
      <c r="B26" s="24" t="s">
        <v>103</v>
      </c>
      <c r="C26" s="25" t="s">
        <v>104</v>
      </c>
      <c r="D26" s="24" t="n">
        <v>20</v>
      </c>
      <c r="E26" s="26" t="n">
        <v>24324</v>
      </c>
      <c r="F26" s="26" t="n">
        <v>2609</v>
      </c>
      <c r="G26" s="26" t="n">
        <v>5370</v>
      </c>
      <c r="H26" s="26" t="n">
        <v>88492</v>
      </c>
      <c r="I26" s="26" t="n">
        <v>397.268011700355</v>
      </c>
      <c r="J26" s="26" t="n">
        <v>3152.97795167053</v>
      </c>
      <c r="K26" s="26" t="n">
        <v>0.347273854997532</v>
      </c>
      <c r="L26" s="26" t="n">
        <v>0</v>
      </c>
      <c r="M26" s="26" t="n">
        <v>11597.0531452109</v>
      </c>
      <c r="N26" s="26" t="n">
        <v>30.7852904595543</v>
      </c>
      <c r="O26" s="26" t="n">
        <v>350.624988710209</v>
      </c>
      <c r="P26" s="26" t="n">
        <f aca="false">SUM(J26:O26)</f>
        <v>15131.7886499062</v>
      </c>
      <c r="Q26" s="27" t="n">
        <f aca="false">IF(E26=0,0,H26/E26)</f>
        <v>3.63805295181714</v>
      </c>
      <c r="R26" s="28" t="n">
        <f aca="false">IF(E26=0,0,F26/E26)</f>
        <v>0.107260319026476</v>
      </c>
      <c r="S26" s="28" t="n">
        <f aca="false">IF(E26=0,0,G26/E26)</f>
        <v>0.22076961026147</v>
      </c>
      <c r="T26" s="28" t="n">
        <f aca="false">IF(E26=0,0,I26/E26)</f>
        <v>0.016332347134532</v>
      </c>
    </row>
    <row r="27" customFormat="false" ht="11.25" hidden="false" customHeight="true" outlineLevel="0" collapsed="false">
      <c r="B27" s="19" t="s">
        <v>105</v>
      </c>
      <c r="C27" s="20" t="s">
        <v>106</v>
      </c>
      <c r="D27" s="19" t="n">
        <v>21</v>
      </c>
      <c r="E27" s="21" t="n">
        <v>88947</v>
      </c>
      <c r="F27" s="21" t="n">
        <v>6738</v>
      </c>
      <c r="G27" s="21" t="n">
        <v>14430</v>
      </c>
      <c r="H27" s="21" t="n">
        <v>86072</v>
      </c>
      <c r="I27" s="21" t="n">
        <v>17501.5545233008</v>
      </c>
      <c r="J27" s="21" t="n">
        <v>6359.10954136208</v>
      </c>
      <c r="K27" s="21" t="n">
        <v>5.75101224909361</v>
      </c>
      <c r="L27" s="21" t="n">
        <v>0</v>
      </c>
      <c r="M27" s="21" t="n">
        <v>1567.93042438624</v>
      </c>
      <c r="N27" s="21" t="n">
        <v>564.659957805756</v>
      </c>
      <c r="O27" s="21" t="n">
        <v>3283.23003025201</v>
      </c>
      <c r="P27" s="21" t="n">
        <f aca="false">SUM(J27:O27)</f>
        <v>11780.6809660552</v>
      </c>
      <c r="Q27" s="22" t="n">
        <f aca="false">IF(E27=0,0,H27/E27)</f>
        <v>0.967677380912229</v>
      </c>
      <c r="R27" s="23" t="n">
        <f aca="false">IF(E27=0,0,F27/E27)</f>
        <v>0.0757529764916186</v>
      </c>
      <c r="S27" s="23" t="n">
        <f aca="false">IF(E27=0,0,G27/E27)</f>
        <v>0.162231441195319</v>
      </c>
      <c r="T27" s="23" t="n">
        <f aca="false">IF(E27=0,0,I27/E27)</f>
        <v>0.19676385401757</v>
      </c>
    </row>
    <row r="28" customFormat="false" ht="11.25" hidden="false" customHeight="true" outlineLevel="0" collapsed="false">
      <c r="B28" s="24" t="s">
        <v>107</v>
      </c>
      <c r="C28" s="25" t="s">
        <v>108</v>
      </c>
      <c r="D28" s="24" t="n">
        <v>22</v>
      </c>
      <c r="E28" s="26" t="n">
        <v>47079</v>
      </c>
      <c r="F28" s="26" t="n">
        <v>5842</v>
      </c>
      <c r="G28" s="26" t="n">
        <v>9028</v>
      </c>
      <c r="H28" s="26" t="n">
        <v>92165</v>
      </c>
      <c r="I28" s="26" t="n">
        <v>6585.92494353679</v>
      </c>
      <c r="J28" s="26" t="n">
        <v>3011.31012547408</v>
      </c>
      <c r="K28" s="26" t="n">
        <v>3.40873658933764</v>
      </c>
      <c r="L28" s="26" t="n">
        <v>0</v>
      </c>
      <c r="M28" s="26" t="n">
        <v>1250.90606782871</v>
      </c>
      <c r="N28" s="26" t="n">
        <v>697.863950883124</v>
      </c>
      <c r="O28" s="26" t="n">
        <v>1316.80251161838</v>
      </c>
      <c r="P28" s="26" t="n">
        <f aca="false">SUM(J28:O28)</f>
        <v>6280.29139239364</v>
      </c>
      <c r="Q28" s="27" t="n">
        <f aca="false">IF(E28=0,0,H28/E28)</f>
        <v>1.95766690031649</v>
      </c>
      <c r="R28" s="28" t="n">
        <f aca="false">IF(E28=0,0,F28/E28)</f>
        <v>0.124089296714034</v>
      </c>
      <c r="S28" s="28" t="n">
        <f aca="false">IF(E28=0,0,G28/E28)</f>
        <v>0.191762781707343</v>
      </c>
      <c r="T28" s="28" t="n">
        <f aca="false">IF(E28=0,0,I28/E28)</f>
        <v>0.139890926815285</v>
      </c>
    </row>
    <row r="29" customFormat="false" ht="11.25" hidden="false" customHeight="true" outlineLevel="0" collapsed="false">
      <c r="B29" s="19" t="s">
        <v>109</v>
      </c>
      <c r="C29" s="20" t="s">
        <v>110</v>
      </c>
      <c r="D29" s="19" t="n">
        <v>23</v>
      </c>
      <c r="E29" s="21" t="n">
        <v>26590</v>
      </c>
      <c r="F29" s="21" t="n">
        <v>3568</v>
      </c>
      <c r="G29" s="21" t="n">
        <v>7136</v>
      </c>
      <c r="H29" s="21" t="n">
        <v>186165</v>
      </c>
      <c r="I29" s="21" t="n">
        <v>2247.16906644105</v>
      </c>
      <c r="J29" s="21" t="n">
        <v>990.124309647076</v>
      </c>
      <c r="K29" s="21" t="n">
        <v>27.436473876681</v>
      </c>
      <c r="L29" s="21" t="n">
        <v>0</v>
      </c>
      <c r="M29" s="21" t="n">
        <v>18419.2433959782</v>
      </c>
      <c r="N29" s="21" t="n">
        <v>742.846441721871</v>
      </c>
      <c r="O29" s="21" t="n">
        <v>-77.4429227843831</v>
      </c>
      <c r="P29" s="21" t="n">
        <f aca="false">SUM(J29:O29)</f>
        <v>20102.2076984395</v>
      </c>
      <c r="Q29" s="22" t="n">
        <f aca="false">IF(E29=0,0,H29/E29)</f>
        <v>7.00131628431741</v>
      </c>
      <c r="R29" s="23" t="n">
        <f aca="false">IF(E29=0,0,F29/E29)</f>
        <v>0.134185784129372</v>
      </c>
      <c r="S29" s="23" t="n">
        <f aca="false">IF(E29=0,0,G29/E29)</f>
        <v>0.268371568258744</v>
      </c>
      <c r="T29" s="23" t="n">
        <f aca="false">IF(E29=0,0,I29/E29)</f>
        <v>0.0845118114494566</v>
      </c>
    </row>
    <row r="30" customFormat="false" ht="11.25" hidden="false" customHeight="true" outlineLevel="0" collapsed="false">
      <c r="B30" s="24" t="s">
        <v>111</v>
      </c>
      <c r="C30" s="25" t="s">
        <v>112</v>
      </c>
      <c r="D30" s="24" t="n">
        <v>24</v>
      </c>
      <c r="E30" s="26" t="n">
        <v>40773</v>
      </c>
      <c r="F30" s="26" t="n">
        <v>6320</v>
      </c>
      <c r="G30" s="26" t="n">
        <v>19526</v>
      </c>
      <c r="H30" s="26" t="n">
        <v>98575</v>
      </c>
      <c r="I30" s="26" t="n">
        <v>1907.49613832762</v>
      </c>
      <c r="J30" s="26" t="n">
        <v>1046.27077850904</v>
      </c>
      <c r="K30" s="26" t="n">
        <v>2845.72495609441</v>
      </c>
      <c r="L30" s="26" t="n">
        <v>0</v>
      </c>
      <c r="M30" s="26" t="n">
        <v>25226.7911982428</v>
      </c>
      <c r="N30" s="26" t="n">
        <v>833.635621250355</v>
      </c>
      <c r="O30" s="26" t="n">
        <v>-442.655642236541</v>
      </c>
      <c r="P30" s="26" t="n">
        <f aca="false">SUM(J30:O30)</f>
        <v>29509.7669118601</v>
      </c>
      <c r="Q30" s="27" t="n">
        <f aca="false">IF(E30=0,0,H30/E30)</f>
        <v>2.41765383955068</v>
      </c>
      <c r="R30" s="28" t="n">
        <f aca="false">IF(E30=0,0,F30/E30)</f>
        <v>0.155004537316361</v>
      </c>
      <c r="S30" s="28" t="n">
        <f aca="false">IF(E30=0,0,G30/E30)</f>
        <v>0.478895347411277</v>
      </c>
      <c r="T30" s="28" t="n">
        <f aca="false">IF(E30=0,0,I30/E30)</f>
        <v>0.046783315878832</v>
      </c>
    </row>
    <row r="31" customFormat="false" ht="11.25" hidden="false" customHeight="true" outlineLevel="0" collapsed="false">
      <c r="B31" s="19" t="s">
        <v>113</v>
      </c>
      <c r="C31" s="20" t="s">
        <v>114</v>
      </c>
      <c r="D31" s="19" t="n">
        <v>25</v>
      </c>
      <c r="E31" s="21" t="n">
        <v>72642</v>
      </c>
      <c r="F31" s="21" t="n">
        <v>13312</v>
      </c>
      <c r="G31" s="21" t="n">
        <v>21322</v>
      </c>
      <c r="H31" s="21" t="n">
        <v>464784</v>
      </c>
      <c r="I31" s="21" t="n">
        <v>6509.63482523014</v>
      </c>
      <c r="J31" s="21" t="n">
        <v>3560.35255415961</v>
      </c>
      <c r="K31" s="21" t="n">
        <v>1.87775099724543</v>
      </c>
      <c r="L31" s="21" t="n">
        <v>0</v>
      </c>
      <c r="M31" s="21" t="n">
        <v>8574.31266588338</v>
      </c>
      <c r="N31" s="21" t="n">
        <v>656.848466026216</v>
      </c>
      <c r="O31" s="21" t="n">
        <v>2532.63819268232</v>
      </c>
      <c r="P31" s="21" t="n">
        <f aca="false">SUM(J31:O31)</f>
        <v>15326.0296297488</v>
      </c>
      <c r="Q31" s="22" t="n">
        <f aca="false">IF(E31=0,0,H31/E31)</f>
        <v>6.39828198562815</v>
      </c>
      <c r="R31" s="23" t="n">
        <f aca="false">IF(E31=0,0,F31/E31)</f>
        <v>0.183254866330773</v>
      </c>
      <c r="S31" s="23" t="n">
        <f aca="false">IF(E31=0,0,G31/E31)</f>
        <v>0.293521654139479</v>
      </c>
      <c r="T31" s="23" t="n">
        <f aca="false">IF(E31=0,0,I31/E31)</f>
        <v>0.089612549561275</v>
      </c>
    </row>
    <row r="32" customFormat="false" ht="11.25" hidden="false" customHeight="true" outlineLevel="0" collapsed="false">
      <c r="B32" s="24" t="s">
        <v>115</v>
      </c>
      <c r="C32" s="25" t="s">
        <v>116</v>
      </c>
      <c r="D32" s="24" t="n">
        <v>26</v>
      </c>
      <c r="E32" s="26" t="n">
        <v>64127</v>
      </c>
      <c r="F32" s="26" t="n">
        <v>11954</v>
      </c>
      <c r="G32" s="26" t="n">
        <v>22348</v>
      </c>
      <c r="H32" s="26" t="n">
        <v>628604</v>
      </c>
      <c r="I32" s="26" t="n">
        <v>2849.4352578821</v>
      </c>
      <c r="J32" s="26" t="n">
        <v>2477.14207936096</v>
      </c>
      <c r="K32" s="26" t="n">
        <v>12.3811096785193</v>
      </c>
      <c r="L32" s="26" t="n">
        <v>0</v>
      </c>
      <c r="M32" s="26" t="n">
        <v>1869.26657392045</v>
      </c>
      <c r="N32" s="26" t="n">
        <v>152.322674670592</v>
      </c>
      <c r="O32" s="26" t="n">
        <v>1635.6687348703</v>
      </c>
      <c r="P32" s="26" t="n">
        <f aca="false">SUM(J32:O32)</f>
        <v>6146.78117250081</v>
      </c>
      <c r="Q32" s="27" t="n">
        <f aca="false">IF(E32=0,0,H32/E32)</f>
        <v>9.80248569245404</v>
      </c>
      <c r="R32" s="28" t="n">
        <f aca="false">IF(E32=0,0,F32/E32)</f>
        <v>0.186411339997193</v>
      </c>
      <c r="S32" s="28" t="n">
        <f aca="false">IF(E32=0,0,G32/E32)</f>
        <v>0.348495953342586</v>
      </c>
      <c r="T32" s="28" t="n">
        <f aca="false">IF(E32=0,0,I32/E32)</f>
        <v>0.044434251686218</v>
      </c>
    </row>
    <row r="33" customFormat="false" ht="11.25" hidden="false" customHeight="true" outlineLevel="0" collapsed="false">
      <c r="B33" s="19" t="s">
        <v>117</v>
      </c>
      <c r="C33" s="20" t="s">
        <v>118</v>
      </c>
      <c r="D33" s="19" t="n">
        <v>27</v>
      </c>
      <c r="E33" s="21" t="n">
        <v>91530</v>
      </c>
      <c r="F33" s="21" t="n">
        <v>8817</v>
      </c>
      <c r="G33" s="21" t="n">
        <v>16931</v>
      </c>
      <c r="H33" s="21" t="n">
        <v>134030</v>
      </c>
      <c r="I33" s="21" t="n">
        <v>9074.90179018794</v>
      </c>
      <c r="J33" s="21" t="n">
        <v>13386.7389926625</v>
      </c>
      <c r="K33" s="21" t="n">
        <v>0</v>
      </c>
      <c r="L33" s="21" t="n">
        <v>0</v>
      </c>
      <c r="M33" s="21" t="n">
        <v>782.166013540515</v>
      </c>
      <c r="N33" s="21" t="n">
        <v>830.772029887405</v>
      </c>
      <c r="O33" s="21" t="n">
        <v>195.932005452149</v>
      </c>
      <c r="P33" s="21" t="n">
        <f aca="false">SUM(J33:O33)</f>
        <v>15195.6090415426</v>
      </c>
      <c r="Q33" s="22" t="n">
        <f aca="false">IF(E33=0,0,H33/E33)</f>
        <v>1.46432863542008</v>
      </c>
      <c r="R33" s="23" t="n">
        <f aca="false">IF(E33=0,0,F33/E33)</f>
        <v>0.0963290724352671</v>
      </c>
      <c r="S33" s="23" t="n">
        <f aca="false">IF(E33=0,0,G33/E33)</f>
        <v>0.184977602971703</v>
      </c>
      <c r="T33" s="23" t="n">
        <f aca="false">IF(E33=0,0,I33/E33)</f>
        <v>0.0991467474072756</v>
      </c>
    </row>
    <row r="34" customFormat="false" ht="11.25" hidden="false" customHeight="true" outlineLevel="0" collapsed="false">
      <c r="B34" s="24" t="s">
        <v>119</v>
      </c>
      <c r="C34" s="25" t="s">
        <v>120</v>
      </c>
      <c r="D34" s="24" t="n">
        <v>28</v>
      </c>
      <c r="E34" s="26" t="n">
        <v>37782</v>
      </c>
      <c r="F34" s="26" t="n">
        <v>4579</v>
      </c>
      <c r="G34" s="26" t="n">
        <v>7269</v>
      </c>
      <c r="H34" s="26" t="n">
        <v>116225</v>
      </c>
      <c r="I34" s="26" t="n">
        <v>3764.96736694885</v>
      </c>
      <c r="J34" s="26" t="n">
        <v>7523.4411237636</v>
      </c>
      <c r="K34" s="26" t="n">
        <v>0</v>
      </c>
      <c r="L34" s="26" t="n">
        <v>0</v>
      </c>
      <c r="M34" s="26" t="n">
        <v>881.350880843217</v>
      </c>
      <c r="N34" s="26" t="n">
        <v>468.632909084922</v>
      </c>
      <c r="O34" s="26" t="n">
        <v>814.9742720901</v>
      </c>
      <c r="P34" s="26" t="n">
        <f aca="false">SUM(J34:O34)</f>
        <v>9688.39918578184</v>
      </c>
      <c r="Q34" s="27" t="n">
        <f aca="false">IF(E34=0,0,H34/E34)</f>
        <v>3.07620030702451</v>
      </c>
      <c r="R34" s="28" t="n">
        <f aca="false">IF(E34=0,0,F34/E34)</f>
        <v>0.121195278174792</v>
      </c>
      <c r="S34" s="28" t="n">
        <f aca="false">IF(E34=0,0,G34/E34)</f>
        <v>0.192393203112593</v>
      </c>
      <c r="T34" s="28" t="n">
        <f aca="false">IF(E34=0,0,I34/E34)</f>
        <v>0.0996497635633065</v>
      </c>
    </row>
    <row r="35" customFormat="false" ht="11.25" hidden="false" customHeight="true" outlineLevel="0" collapsed="false">
      <c r="B35" s="19" t="s">
        <v>121</v>
      </c>
      <c r="C35" s="20" t="s">
        <v>122</v>
      </c>
      <c r="D35" s="19" t="n">
        <v>29</v>
      </c>
      <c r="E35" s="21" t="n">
        <v>75909</v>
      </c>
      <c r="F35" s="21" t="n">
        <v>16938</v>
      </c>
      <c r="G35" s="21" t="n">
        <v>29401</v>
      </c>
      <c r="H35" s="21" t="n">
        <v>775627</v>
      </c>
      <c r="I35" s="21" t="n">
        <v>4310.16135572566</v>
      </c>
      <c r="J35" s="21" t="n">
        <v>2921.52293084834</v>
      </c>
      <c r="K35" s="21" t="n">
        <v>0</v>
      </c>
      <c r="L35" s="21" t="n">
        <v>0</v>
      </c>
      <c r="M35" s="21" t="n">
        <v>9588.98718707706</v>
      </c>
      <c r="N35" s="21" t="n">
        <v>6825.19104678296</v>
      </c>
      <c r="O35" s="21" t="n">
        <v>1755.96942501714</v>
      </c>
      <c r="P35" s="21" t="n">
        <f aca="false">SUM(J35:O35)</f>
        <v>21091.6705897255</v>
      </c>
      <c r="Q35" s="22" t="n">
        <f aca="false">IF(E35=0,0,H35/E35)</f>
        <v>10.2178529555125</v>
      </c>
      <c r="R35" s="23" t="n">
        <f aca="false">IF(E35=0,0,F35/E35)</f>
        <v>0.223135596569577</v>
      </c>
      <c r="S35" s="23" t="n">
        <f aca="false">IF(E35=0,0,G35/E35)</f>
        <v>0.387319026729373</v>
      </c>
      <c r="T35" s="23" t="n">
        <f aca="false">IF(E35=0,0,I35/E35)</f>
        <v>0.0567806367588252</v>
      </c>
    </row>
    <row r="36" customFormat="false" ht="11.25" hidden="false" customHeight="true" outlineLevel="0" collapsed="false">
      <c r="B36" s="24" t="s">
        <v>123</v>
      </c>
      <c r="C36" s="25" t="s">
        <v>124</v>
      </c>
      <c r="D36" s="24" t="n">
        <v>30</v>
      </c>
      <c r="E36" s="26" t="n">
        <v>64420</v>
      </c>
      <c r="F36" s="26" t="n">
        <v>8232</v>
      </c>
      <c r="G36" s="26" t="n">
        <v>13958</v>
      </c>
      <c r="H36" s="26" t="n">
        <v>173868</v>
      </c>
      <c r="I36" s="26" t="n">
        <v>14762.9232849375</v>
      </c>
      <c r="J36" s="26" t="n">
        <v>2120.71753591401</v>
      </c>
      <c r="K36" s="26" t="n">
        <v>0</v>
      </c>
      <c r="L36" s="26" t="n">
        <v>0</v>
      </c>
      <c r="M36" s="26" t="n">
        <v>23714.5795214381</v>
      </c>
      <c r="N36" s="26" t="n">
        <v>18934.4942980627</v>
      </c>
      <c r="O36" s="26" t="n">
        <v>112.248533385711</v>
      </c>
      <c r="P36" s="26" t="n">
        <f aca="false">SUM(J36:O36)</f>
        <v>44882.0398888005</v>
      </c>
      <c r="Q36" s="27" t="n">
        <f aca="false">IF(E36=0,0,H36/E36)</f>
        <v>2.69897547345545</v>
      </c>
      <c r="R36" s="28" t="n">
        <f aca="false">IF(E36=0,0,F36/E36)</f>
        <v>0.127786401738591</v>
      </c>
      <c r="S36" s="28" t="n">
        <f aca="false">IF(E36=0,0,G36/E36)</f>
        <v>0.216671841043154</v>
      </c>
      <c r="T36" s="28" t="n">
        <f aca="false">IF(E36=0,0,I36/E36)</f>
        <v>0.229166769402942</v>
      </c>
    </row>
    <row r="37" customFormat="false" ht="11.25" hidden="false" customHeight="true" outlineLevel="0" collapsed="false">
      <c r="B37" s="19" t="s">
        <v>125</v>
      </c>
      <c r="C37" s="20" t="s">
        <v>126</v>
      </c>
      <c r="D37" s="19" t="n">
        <v>31</v>
      </c>
      <c r="E37" s="21" t="n">
        <v>58616</v>
      </c>
      <c r="F37" s="21" t="n">
        <v>10457</v>
      </c>
      <c r="G37" s="21" t="n">
        <v>14641</v>
      </c>
      <c r="H37" s="21" t="n">
        <v>243986</v>
      </c>
      <c r="I37" s="21" t="n">
        <v>5710.7023275611</v>
      </c>
      <c r="J37" s="21" t="n">
        <v>3266.80787391983</v>
      </c>
      <c r="K37" s="21" t="n">
        <v>0.000251627716793005</v>
      </c>
      <c r="L37" s="21" t="n">
        <v>0</v>
      </c>
      <c r="M37" s="21" t="n">
        <v>17328.0973426775</v>
      </c>
      <c r="N37" s="21" t="n">
        <v>10217.0189098741</v>
      </c>
      <c r="O37" s="21" t="n">
        <v>656.109338614857</v>
      </c>
      <c r="P37" s="21" t="n">
        <f aca="false">SUM(J37:O37)</f>
        <v>31468.0337167139</v>
      </c>
      <c r="Q37" s="22" t="n">
        <f aca="false">IF(E37=0,0,H37/E37)</f>
        <v>4.16244711341613</v>
      </c>
      <c r="R37" s="23" t="n">
        <f aca="false">IF(E37=0,0,F37/E37)</f>
        <v>0.17839838951822</v>
      </c>
      <c r="S37" s="23" t="n">
        <f aca="false">IF(E37=0,0,G37/E37)</f>
        <v>0.249778217551522</v>
      </c>
      <c r="T37" s="23" t="n">
        <f aca="false">IF(E37=0,0,I37/E37)</f>
        <v>0.0974256572874487</v>
      </c>
    </row>
    <row r="38" customFormat="false" ht="11.25" hidden="false" customHeight="true" outlineLevel="0" collapsed="false">
      <c r="B38" s="24" t="s">
        <v>127</v>
      </c>
      <c r="C38" s="25" t="s">
        <v>128</v>
      </c>
      <c r="D38" s="24" t="n">
        <v>32</v>
      </c>
      <c r="E38" s="26" t="n">
        <v>98091</v>
      </c>
      <c r="F38" s="26" t="n">
        <v>18897</v>
      </c>
      <c r="G38" s="26" t="n">
        <v>30905</v>
      </c>
      <c r="H38" s="26" t="n">
        <v>443313</v>
      </c>
      <c r="I38" s="26" t="n">
        <v>9635.28521929667</v>
      </c>
      <c r="J38" s="26" t="n">
        <v>7796.47984788789</v>
      </c>
      <c r="K38" s="26" t="n">
        <v>0.00221397441786069</v>
      </c>
      <c r="L38" s="26" t="n">
        <v>0</v>
      </c>
      <c r="M38" s="26" t="n">
        <v>3243.63172732509</v>
      </c>
      <c r="N38" s="26" t="n">
        <v>54042.1056121785</v>
      </c>
      <c r="O38" s="26" t="n">
        <v>156.328194503076</v>
      </c>
      <c r="P38" s="26" t="n">
        <f aca="false">SUM(J38:O38)</f>
        <v>65238.547595869</v>
      </c>
      <c r="Q38" s="27" t="n">
        <f aca="false">IF(E38=0,0,H38/E38)</f>
        <v>4.51940545004129</v>
      </c>
      <c r="R38" s="28" t="n">
        <f aca="false">IF(E38=0,0,F38/E38)</f>
        <v>0.192647643514696</v>
      </c>
      <c r="S38" s="28" t="n">
        <f aca="false">IF(E38=0,0,G38/E38)</f>
        <v>0.315064582887319</v>
      </c>
      <c r="T38" s="28" t="n">
        <f aca="false">IF(E38=0,0,I38/E38)</f>
        <v>0.0982280251939187</v>
      </c>
    </row>
    <row r="39" customFormat="false" ht="11.25" hidden="false" customHeight="true" outlineLevel="0" collapsed="false">
      <c r="B39" s="19" t="s">
        <v>129</v>
      </c>
      <c r="C39" s="20" t="s">
        <v>130</v>
      </c>
      <c r="D39" s="19" t="n">
        <v>33</v>
      </c>
      <c r="E39" s="21" t="n">
        <v>156859</v>
      </c>
      <c r="F39" s="21" t="n">
        <v>14987</v>
      </c>
      <c r="G39" s="21" t="n">
        <v>38191</v>
      </c>
      <c r="H39" s="21" t="n">
        <v>187083</v>
      </c>
      <c r="I39" s="21" t="n">
        <v>12510.2817874357</v>
      </c>
      <c r="J39" s="21" t="n">
        <v>10114.5280246767</v>
      </c>
      <c r="K39" s="21" t="n">
        <v>0</v>
      </c>
      <c r="L39" s="21" t="n">
        <v>0</v>
      </c>
      <c r="M39" s="21" t="n">
        <v>66245.9826780775</v>
      </c>
      <c r="N39" s="21" t="n">
        <v>69354.5874849123</v>
      </c>
      <c r="O39" s="21" t="n">
        <v>3813.83792276977</v>
      </c>
      <c r="P39" s="21" t="n">
        <f aca="false">SUM(J39:O39)</f>
        <v>149528.936110436</v>
      </c>
      <c r="Q39" s="22" t="n">
        <f aca="false">IF(E39=0,0,H39/E39)</f>
        <v>1.19268260029708</v>
      </c>
      <c r="R39" s="23" t="n">
        <f aca="false">IF(E39=0,0,F39/E39)</f>
        <v>0.0955444061226962</v>
      </c>
      <c r="S39" s="23" t="n">
        <f aca="false">IF(E39=0,0,G39/E39)</f>
        <v>0.243473437928331</v>
      </c>
      <c r="T39" s="23" t="n">
        <f aca="false">IF(E39=0,0,I39/E39)</f>
        <v>0.079754950544347</v>
      </c>
    </row>
    <row r="40" customFormat="false" ht="11.25" hidden="false" customHeight="true" outlineLevel="0" collapsed="false">
      <c r="B40" s="24" t="s">
        <v>131</v>
      </c>
      <c r="C40" s="25" t="s">
        <v>132</v>
      </c>
      <c r="D40" s="24" t="n">
        <v>34</v>
      </c>
      <c r="E40" s="26" t="n">
        <v>80869</v>
      </c>
      <c r="F40" s="26" t="n">
        <v>15509</v>
      </c>
      <c r="G40" s="26" t="n">
        <v>23875</v>
      </c>
      <c r="H40" s="26" t="n">
        <v>369056</v>
      </c>
      <c r="I40" s="26" t="n">
        <v>6048.38174915632</v>
      </c>
      <c r="J40" s="26" t="n">
        <v>8195.7862022673</v>
      </c>
      <c r="K40" s="26" t="n">
        <v>8.38759055976683E-005</v>
      </c>
      <c r="L40" s="26" t="n">
        <v>0</v>
      </c>
      <c r="M40" s="26" t="n">
        <v>2298.3438122372</v>
      </c>
      <c r="N40" s="26" t="n">
        <v>3380.2786867659</v>
      </c>
      <c r="O40" s="26" t="n">
        <v>3482.12009484593</v>
      </c>
      <c r="P40" s="26" t="n">
        <f aca="false">SUM(J40:O40)</f>
        <v>17356.5288799922</v>
      </c>
      <c r="Q40" s="27" t="n">
        <f aca="false">IF(E40=0,0,H40/E40)</f>
        <v>4.56362759524663</v>
      </c>
      <c r="R40" s="28" t="n">
        <f aca="false">IF(E40=0,0,F40/E40)</f>
        <v>0.191779297382186</v>
      </c>
      <c r="S40" s="28" t="n">
        <f aca="false">IF(E40=0,0,G40/E40)</f>
        <v>0.29523055806304</v>
      </c>
      <c r="T40" s="28" t="n">
        <f aca="false">IF(E40=0,0,I40/E40)</f>
        <v>0.0747923400704389</v>
      </c>
    </row>
    <row r="41" customFormat="false" ht="11.25" hidden="false" customHeight="true" outlineLevel="0" collapsed="false">
      <c r="B41" s="19" t="s">
        <v>133</v>
      </c>
      <c r="C41" s="20" t="s">
        <v>134</v>
      </c>
      <c r="D41" s="19" t="n">
        <v>35</v>
      </c>
      <c r="E41" s="21" t="n">
        <v>32916</v>
      </c>
      <c r="F41" s="21" t="n">
        <v>6121</v>
      </c>
      <c r="G41" s="21" t="n">
        <v>9449</v>
      </c>
      <c r="H41" s="21" t="n">
        <v>108211</v>
      </c>
      <c r="I41" s="21" t="n">
        <v>3549.60017408344</v>
      </c>
      <c r="J41" s="21" t="n">
        <v>5512.07116774054</v>
      </c>
      <c r="K41" s="21" t="n">
        <v>0.00117292225201072</v>
      </c>
      <c r="L41" s="21" t="n">
        <v>0</v>
      </c>
      <c r="M41" s="21" t="n">
        <v>9261.28861863073</v>
      </c>
      <c r="N41" s="21" t="n">
        <v>8296.44675202622</v>
      </c>
      <c r="O41" s="21" t="n">
        <v>1319.06831436611</v>
      </c>
      <c r="P41" s="21" t="n">
        <f aca="false">SUM(J41:O41)</f>
        <v>24388.8760256859</v>
      </c>
      <c r="Q41" s="22" t="n">
        <f aca="false">IF(E41=0,0,H41/E41)</f>
        <v>3.28748936687325</v>
      </c>
      <c r="R41" s="23" t="n">
        <f aca="false">IF(E41=0,0,F41/E41)</f>
        <v>0.185958196621704</v>
      </c>
      <c r="S41" s="23" t="n">
        <f aca="false">IF(E41=0,0,G41/E41)</f>
        <v>0.287064041803378</v>
      </c>
      <c r="T41" s="23" t="n">
        <f aca="false">IF(E41=0,0,I41/E41)</f>
        <v>0.107838138719269</v>
      </c>
    </row>
    <row r="42" customFormat="false" ht="11.25" hidden="false" customHeight="true" outlineLevel="0" collapsed="false">
      <c r="B42" s="24" t="s">
        <v>135</v>
      </c>
      <c r="C42" s="25" t="s">
        <v>136</v>
      </c>
      <c r="D42" s="24" t="n">
        <v>36</v>
      </c>
      <c r="E42" s="26" t="n">
        <v>50603</v>
      </c>
      <c r="F42" s="26" t="n">
        <v>9652</v>
      </c>
      <c r="G42" s="26" t="n">
        <v>23502</v>
      </c>
      <c r="H42" s="26" t="n">
        <v>857311</v>
      </c>
      <c r="I42" s="26" t="n">
        <v>1991.73754714844</v>
      </c>
      <c r="J42" s="26" t="n">
        <v>1401.62485483031</v>
      </c>
      <c r="K42" s="26" t="n">
        <v>5.63338732351411</v>
      </c>
      <c r="L42" s="26" t="n">
        <v>0</v>
      </c>
      <c r="M42" s="26" t="n">
        <v>27534.3239936441</v>
      </c>
      <c r="N42" s="26" t="n">
        <v>7971.21051638787</v>
      </c>
      <c r="O42" s="26" t="n">
        <v>1020.86655068796</v>
      </c>
      <c r="P42" s="26" t="n">
        <f aca="false">SUM(J42:O42)</f>
        <v>37933.6593028738</v>
      </c>
      <c r="Q42" s="27" t="n">
        <f aca="false">IF(E42=0,0,H42/E42)</f>
        <v>16.9419006778254</v>
      </c>
      <c r="R42" s="28" t="n">
        <f aca="false">IF(E42=0,0,F42/E42)</f>
        <v>0.190739679465644</v>
      </c>
      <c r="S42" s="28" t="n">
        <f aca="false">IF(E42=0,0,G42/E42)</f>
        <v>0.464438867260834</v>
      </c>
      <c r="T42" s="28" t="n">
        <f aca="false">IF(E42=0,0,I42/E42)</f>
        <v>0.0393600685166578</v>
      </c>
    </row>
    <row r="43" customFormat="false" ht="11.25" hidden="false" customHeight="true" outlineLevel="0" collapsed="false">
      <c r="B43" s="19" t="s">
        <v>137</v>
      </c>
      <c r="C43" s="20" t="s">
        <v>138</v>
      </c>
      <c r="D43" s="19" t="n">
        <v>37</v>
      </c>
      <c r="E43" s="21" t="n">
        <v>42258</v>
      </c>
      <c r="F43" s="21" t="n">
        <v>7491</v>
      </c>
      <c r="G43" s="21" t="n">
        <v>17125</v>
      </c>
      <c r="H43" s="21" t="n">
        <v>526387</v>
      </c>
      <c r="I43" s="21" t="n">
        <v>4362.10834059007</v>
      </c>
      <c r="J43" s="21" t="n">
        <v>1124.80941711884</v>
      </c>
      <c r="K43" s="21" t="n">
        <v>8.38759055976683E-005</v>
      </c>
      <c r="L43" s="21" t="n">
        <v>0</v>
      </c>
      <c r="M43" s="21" t="n">
        <v>269.308988544199</v>
      </c>
      <c r="N43" s="21" t="n">
        <v>5079.63489812511</v>
      </c>
      <c r="O43" s="21" t="n">
        <v>17.5840334606504</v>
      </c>
      <c r="P43" s="21" t="n">
        <f aca="false">SUM(J43:O43)</f>
        <v>6491.3374211247</v>
      </c>
      <c r="Q43" s="22" t="n">
        <f aca="false">IF(E43=0,0,H43/E43)</f>
        <v>12.4565052771073</v>
      </c>
      <c r="R43" s="23" t="n">
        <f aca="false">IF(E43=0,0,F43/E43)</f>
        <v>0.177268209569786</v>
      </c>
      <c r="S43" s="23" t="n">
        <f aca="false">IF(E43=0,0,G43/E43)</f>
        <v>0.405248710303375</v>
      </c>
      <c r="T43" s="23" t="n">
        <f aca="false">IF(E43=0,0,I43/E43)</f>
        <v>0.103225622144684</v>
      </c>
    </row>
    <row r="44" customFormat="false" ht="11.25" hidden="false" customHeight="true" outlineLevel="0" collapsed="false">
      <c r="B44" s="24" t="s">
        <v>139</v>
      </c>
      <c r="C44" s="25" t="s">
        <v>140</v>
      </c>
      <c r="D44" s="24" t="n">
        <v>38</v>
      </c>
      <c r="E44" s="26" t="n">
        <v>152676</v>
      </c>
      <c r="F44" s="26" t="n">
        <v>12131</v>
      </c>
      <c r="G44" s="26" t="n">
        <v>68868</v>
      </c>
      <c r="H44" s="26" t="n">
        <v>142142</v>
      </c>
      <c r="I44" s="26" t="n">
        <v>4907.67431762186</v>
      </c>
      <c r="J44" s="26" t="n">
        <v>486.539334448474</v>
      </c>
      <c r="K44" s="26" t="n">
        <v>0</v>
      </c>
      <c r="L44" s="26" t="n">
        <v>0</v>
      </c>
      <c r="M44" s="26" t="n">
        <v>49604.1849684115</v>
      </c>
      <c r="N44" s="26" t="n">
        <v>244.432066839069</v>
      </c>
      <c r="O44" s="26" t="n">
        <v>0</v>
      </c>
      <c r="P44" s="26" t="n">
        <f aca="false">SUM(J44:O44)</f>
        <v>50335.156369699</v>
      </c>
      <c r="Q44" s="27" t="n">
        <f aca="false">IF(E44=0,0,H44/E44)</f>
        <v>0.931004218082737</v>
      </c>
      <c r="R44" s="28" t="n">
        <f aca="false">IF(E44=0,0,F44/E44)</f>
        <v>0.0794558411276167</v>
      </c>
      <c r="S44" s="28" t="n">
        <f aca="false">IF(E44=0,0,G44/E44)</f>
        <v>0.451072860174487</v>
      </c>
      <c r="T44" s="28" t="n">
        <f aca="false">IF(E44=0,0,I44/E44)</f>
        <v>0.0321443731668491</v>
      </c>
    </row>
    <row r="45" customFormat="false" ht="11.25" hidden="false" customHeight="true" outlineLevel="0" collapsed="false">
      <c r="B45" s="19" t="s">
        <v>141</v>
      </c>
      <c r="C45" s="20" t="s">
        <v>142</v>
      </c>
      <c r="D45" s="19" t="n">
        <v>39</v>
      </c>
      <c r="E45" s="21" t="n">
        <v>43036</v>
      </c>
      <c r="F45" s="21" t="n">
        <v>8106</v>
      </c>
      <c r="G45" s="21" t="n">
        <v>24046</v>
      </c>
      <c r="H45" s="21" t="n">
        <v>556819</v>
      </c>
      <c r="I45" s="21" t="n">
        <v>1504.23690734044</v>
      </c>
      <c r="J45" s="21" t="n">
        <v>4.71869955946757</v>
      </c>
      <c r="K45" s="21" t="n">
        <v>0</v>
      </c>
      <c r="L45" s="21" t="n">
        <v>0</v>
      </c>
      <c r="M45" s="21" t="n">
        <v>16850.6528715992</v>
      </c>
      <c r="N45" s="21" t="n">
        <v>12.2216033419535</v>
      </c>
      <c r="O45" s="21" t="n">
        <v>0</v>
      </c>
      <c r="P45" s="21" t="n">
        <f aca="false">SUM(J45:O45)</f>
        <v>16867.5931745006</v>
      </c>
      <c r="Q45" s="22" t="n">
        <f aca="false">IF(E45=0,0,H45/E45)</f>
        <v>12.9384468816805</v>
      </c>
      <c r="R45" s="23" t="n">
        <f aca="false">IF(E45=0,0,F45/E45)</f>
        <v>0.188353936239427</v>
      </c>
      <c r="S45" s="23" t="n">
        <f aca="false">IF(E45=0,0,G45/E45)</f>
        <v>0.558741518728506</v>
      </c>
      <c r="T45" s="23" t="n">
        <f aca="false">IF(E45=0,0,I45/E45)</f>
        <v>0.0349529906901301</v>
      </c>
    </row>
    <row r="46" customFormat="false" ht="11.25" hidden="false" customHeight="true" outlineLevel="0" collapsed="false">
      <c r="B46" s="24" t="s">
        <v>143</v>
      </c>
      <c r="C46" s="25" t="s">
        <v>144</v>
      </c>
      <c r="D46" s="24" t="n">
        <v>40</v>
      </c>
      <c r="E46" s="26" t="n">
        <v>447138</v>
      </c>
      <c r="F46" s="26" t="n">
        <v>81713</v>
      </c>
      <c r="G46" s="26" t="n">
        <v>206927</v>
      </c>
      <c r="H46" s="26" t="n">
        <v>7844451</v>
      </c>
      <c r="I46" s="26" t="n">
        <v>15447.390522748</v>
      </c>
      <c r="J46" s="26" t="n">
        <v>2060.47482997598</v>
      </c>
      <c r="K46" s="26" t="n">
        <v>0</v>
      </c>
      <c r="L46" s="26" t="n">
        <v>0</v>
      </c>
      <c r="M46" s="26" t="n">
        <v>771.319919602499</v>
      </c>
      <c r="N46" s="26" t="n">
        <v>368436.767604081</v>
      </c>
      <c r="O46" s="26" t="n">
        <v>-0.268862376071249</v>
      </c>
      <c r="P46" s="26" t="n">
        <f aca="false">SUM(J46:O46)</f>
        <v>371268.293491284</v>
      </c>
      <c r="Q46" s="27" t="n">
        <f aca="false">IF(E46=0,0,H46/E46)</f>
        <v>17.5436912094253</v>
      </c>
      <c r="R46" s="28" t="n">
        <f aca="false">IF(E46=0,0,F46/E46)</f>
        <v>0.182746713542575</v>
      </c>
      <c r="S46" s="28" t="n">
        <f aca="false">IF(E46=0,0,G46/E46)</f>
        <v>0.462781065353426</v>
      </c>
      <c r="T46" s="28" t="n">
        <f aca="false">IF(E46=0,0,I46/E46)</f>
        <v>0.0345472550370311</v>
      </c>
    </row>
    <row r="47" customFormat="false" ht="11.25" hidden="false" customHeight="true" outlineLevel="0" collapsed="false">
      <c r="B47" s="19" t="s">
        <v>145</v>
      </c>
      <c r="C47" s="20" t="s">
        <v>146</v>
      </c>
      <c r="D47" s="19" t="n">
        <v>41</v>
      </c>
      <c r="E47" s="21" t="n">
        <v>107309</v>
      </c>
      <c r="F47" s="21" t="n">
        <v>28094</v>
      </c>
      <c r="G47" s="21" t="n">
        <v>65757</v>
      </c>
      <c r="H47" s="21" t="n">
        <v>2757824</v>
      </c>
      <c r="I47" s="21" t="n">
        <v>3212.67626842855</v>
      </c>
      <c r="J47" s="21" t="n">
        <v>51.28840168565</v>
      </c>
      <c r="K47" s="21" t="n">
        <v>0</v>
      </c>
      <c r="L47" s="21" t="n">
        <v>0</v>
      </c>
      <c r="M47" s="21" t="n">
        <v>72183.043421362</v>
      </c>
      <c r="N47" s="21" t="n">
        <v>3.47036943679914</v>
      </c>
      <c r="O47" s="21" t="n">
        <v>9.3380940556373</v>
      </c>
      <c r="P47" s="21" t="n">
        <f aca="false">SUM(J47:O47)</f>
        <v>72247.1402865401</v>
      </c>
      <c r="Q47" s="22" t="n">
        <f aca="false">IF(E47=0,0,H47/E47)</f>
        <v>25.6998387833267</v>
      </c>
      <c r="R47" s="23" t="n">
        <f aca="false">IF(E47=0,0,F47/E47)</f>
        <v>0.261804694853181</v>
      </c>
      <c r="S47" s="23" t="n">
        <f aca="false">IF(E47=0,0,G47/E47)</f>
        <v>0.612781779720247</v>
      </c>
      <c r="T47" s="23" t="n">
        <f aca="false">IF(E47=0,0,I47/E47)</f>
        <v>0.029938553787926</v>
      </c>
    </row>
    <row r="48" customFormat="false" ht="11.25" hidden="false" customHeight="true" outlineLevel="0" collapsed="false">
      <c r="B48" s="24" t="s">
        <v>147</v>
      </c>
      <c r="C48" s="25" t="s">
        <v>148</v>
      </c>
      <c r="D48" s="24" t="n">
        <v>42</v>
      </c>
      <c r="E48" s="26" t="n">
        <v>539367</v>
      </c>
      <c r="F48" s="26" t="n">
        <v>162106</v>
      </c>
      <c r="G48" s="26" t="n">
        <v>350472</v>
      </c>
      <c r="H48" s="26" t="n">
        <v>15054175</v>
      </c>
      <c r="I48" s="26" t="n">
        <v>8315.05426701302</v>
      </c>
      <c r="J48" s="26" t="n">
        <v>36624.4377088861</v>
      </c>
      <c r="K48" s="26" t="n">
        <v>222.277383506777</v>
      </c>
      <c r="L48" s="26" t="n">
        <v>0.213788083601955</v>
      </c>
      <c r="M48" s="26" t="n">
        <v>21302.7716643465</v>
      </c>
      <c r="N48" s="26" t="n">
        <v>1478.97606069935</v>
      </c>
      <c r="O48" s="26" t="n">
        <v>360.354415046005</v>
      </c>
      <c r="P48" s="26" t="n">
        <f aca="false">SUM(J48:O48)</f>
        <v>59989.0310205683</v>
      </c>
      <c r="Q48" s="27" t="n">
        <f aca="false">IF(E48=0,0,H48/E48)</f>
        <v>27.9108195347509</v>
      </c>
      <c r="R48" s="28" t="n">
        <f aca="false">IF(E48=0,0,F48/E48)</f>
        <v>0.300548606051167</v>
      </c>
      <c r="S48" s="28" t="n">
        <f aca="false">IF(E48=0,0,G48/E48)</f>
        <v>0.649783913365111</v>
      </c>
      <c r="T48" s="28" t="n">
        <f aca="false">IF(E48=0,0,I48/E48)</f>
        <v>0.0154163199955003</v>
      </c>
    </row>
    <row r="49" customFormat="false" ht="11.25" hidden="false" customHeight="true" outlineLevel="0" collapsed="false">
      <c r="B49" s="19" t="s">
        <v>149</v>
      </c>
      <c r="C49" s="20" t="s">
        <v>150</v>
      </c>
      <c r="D49" s="19" t="n">
        <v>43</v>
      </c>
      <c r="E49" s="21" t="n">
        <v>212091</v>
      </c>
      <c r="F49" s="21" t="n">
        <v>43846</v>
      </c>
      <c r="G49" s="21" t="n">
        <v>93150</v>
      </c>
      <c r="H49" s="21" t="n">
        <v>3355494</v>
      </c>
      <c r="I49" s="21" t="n">
        <v>5321.32383577333</v>
      </c>
      <c r="J49" s="21" t="n">
        <v>2467.36522785674</v>
      </c>
      <c r="K49" s="21" t="n">
        <v>0</v>
      </c>
      <c r="L49" s="21" t="n">
        <v>0</v>
      </c>
      <c r="M49" s="21" t="n">
        <v>53516.2543645377</v>
      </c>
      <c r="N49" s="21" t="n">
        <v>3.78400752587018</v>
      </c>
      <c r="O49" s="21" t="n">
        <v>0.714076657237263</v>
      </c>
      <c r="P49" s="21" t="n">
        <f aca="false">SUM(J49:O49)</f>
        <v>55988.1176765776</v>
      </c>
      <c r="Q49" s="22" t="n">
        <f aca="false">IF(E49=0,0,H49/E49)</f>
        <v>15.8210107925372</v>
      </c>
      <c r="R49" s="23" t="n">
        <f aca="false">IF(E49=0,0,F49/E49)</f>
        <v>0.206732015974275</v>
      </c>
      <c r="S49" s="23" t="n">
        <f aca="false">IF(E49=0,0,G49/E49)</f>
        <v>0.439198268667695</v>
      </c>
      <c r="T49" s="23" t="n">
        <f aca="false">IF(E49=0,0,I49/E49)</f>
        <v>0.0250898144465033</v>
      </c>
    </row>
    <row r="50" customFormat="false" ht="11.25" hidden="false" customHeight="true" outlineLevel="0" collapsed="false">
      <c r="B50" s="24" t="s">
        <v>151</v>
      </c>
      <c r="C50" s="25" t="s">
        <v>152</v>
      </c>
      <c r="D50" s="24" t="n">
        <v>44</v>
      </c>
      <c r="E50" s="26" t="n">
        <v>10689</v>
      </c>
      <c r="F50" s="26" t="n">
        <v>2414</v>
      </c>
      <c r="G50" s="26" t="n">
        <v>3505</v>
      </c>
      <c r="H50" s="26" t="n">
        <v>58524</v>
      </c>
      <c r="I50" s="26" t="n">
        <v>778.272899628323</v>
      </c>
      <c r="J50" s="26" t="n">
        <v>3699.05744385712</v>
      </c>
      <c r="K50" s="26" t="n">
        <v>0</v>
      </c>
      <c r="L50" s="26" t="n">
        <v>0</v>
      </c>
      <c r="M50" s="26" t="n">
        <v>616.939902797878</v>
      </c>
      <c r="N50" s="26" t="n">
        <v>12.6554426393759</v>
      </c>
      <c r="O50" s="26" t="n">
        <v>2.21702569240678</v>
      </c>
      <c r="P50" s="26" t="n">
        <f aca="false">SUM(J50:O50)</f>
        <v>4330.86981498678</v>
      </c>
      <c r="Q50" s="27" t="n">
        <f aca="false">IF(E50=0,0,H50/E50)</f>
        <v>5.47516138085883</v>
      </c>
      <c r="R50" s="28" t="n">
        <f aca="false">IF(E50=0,0,F50/E50)</f>
        <v>0.225839648236505</v>
      </c>
      <c r="S50" s="28" t="n">
        <f aca="false">IF(E50=0,0,G50/E50)</f>
        <v>0.327907194311909</v>
      </c>
      <c r="T50" s="28" t="n">
        <f aca="false">IF(E50=0,0,I50/E50)</f>
        <v>0.0728106370687925</v>
      </c>
    </row>
    <row r="51" customFormat="false" ht="11.25" hidden="false" customHeight="true" outlineLevel="0" collapsed="false">
      <c r="B51" s="19" t="s">
        <v>153</v>
      </c>
      <c r="C51" s="20" t="s">
        <v>154</v>
      </c>
      <c r="D51" s="19" t="n">
        <v>45</v>
      </c>
      <c r="E51" s="21" t="n">
        <v>24950</v>
      </c>
      <c r="F51" s="21" t="n">
        <v>5052</v>
      </c>
      <c r="G51" s="21" t="n">
        <v>6257</v>
      </c>
      <c r="H51" s="21" t="n">
        <v>62509</v>
      </c>
      <c r="I51" s="21" t="n">
        <v>4023.72732571409</v>
      </c>
      <c r="J51" s="21" t="n">
        <v>2822.12243964931</v>
      </c>
      <c r="K51" s="21" t="n">
        <v>0</v>
      </c>
      <c r="L51" s="21" t="n">
        <v>0</v>
      </c>
      <c r="M51" s="21" t="n">
        <v>4681.78080303471</v>
      </c>
      <c r="N51" s="21" t="n">
        <v>0</v>
      </c>
      <c r="O51" s="21" t="n">
        <v>0</v>
      </c>
      <c r="P51" s="21" t="n">
        <f aca="false">SUM(J51:O51)</f>
        <v>7503.90324268402</v>
      </c>
      <c r="Q51" s="22" t="n">
        <f aca="false">IF(E51=0,0,H51/E51)</f>
        <v>2.50537074148297</v>
      </c>
      <c r="R51" s="23" t="n">
        <f aca="false">IF(E51=0,0,F51/E51)</f>
        <v>0.20248496993988</v>
      </c>
      <c r="S51" s="23" t="n">
        <f aca="false">IF(E51=0,0,G51/E51)</f>
        <v>0.250781563126253</v>
      </c>
      <c r="T51" s="23" t="n">
        <f aca="false">IF(E51=0,0,I51/E51)</f>
        <v>0.161271636301166</v>
      </c>
    </row>
    <row r="52" customFormat="false" ht="11.25" hidden="false" customHeight="true" outlineLevel="0" collapsed="false">
      <c r="B52" s="24" t="s">
        <v>155</v>
      </c>
      <c r="C52" s="25" t="s">
        <v>156</v>
      </c>
      <c r="D52" s="24" t="n">
        <v>46</v>
      </c>
      <c r="E52" s="26" t="n">
        <v>67559</v>
      </c>
      <c r="F52" s="26" t="n">
        <v>22690</v>
      </c>
      <c r="G52" s="26" t="n">
        <v>38748</v>
      </c>
      <c r="H52" s="26" t="n">
        <v>712116</v>
      </c>
      <c r="I52" s="26" t="n">
        <v>2013.26563778282</v>
      </c>
      <c r="J52" s="26" t="n">
        <v>4670.68410045406</v>
      </c>
      <c r="K52" s="26" t="n">
        <v>0</v>
      </c>
      <c r="L52" s="26" t="n">
        <v>0</v>
      </c>
      <c r="M52" s="26" t="n">
        <v>13130.4052704811</v>
      </c>
      <c r="N52" s="26" t="n">
        <v>19.4531559581093</v>
      </c>
      <c r="O52" s="26" t="n">
        <v>0</v>
      </c>
      <c r="P52" s="26" t="n">
        <f aca="false">SUM(J52:O52)</f>
        <v>17820.5425268933</v>
      </c>
      <c r="Q52" s="27" t="n">
        <f aca="false">IF(E52=0,0,H52/E52)</f>
        <v>10.5406533548454</v>
      </c>
      <c r="R52" s="28" t="n">
        <f aca="false">IF(E52=0,0,F52/E52)</f>
        <v>0.335854586361551</v>
      </c>
      <c r="S52" s="28" t="n">
        <f aca="false">IF(E52=0,0,G52/E52)</f>
        <v>0.573543125268284</v>
      </c>
      <c r="T52" s="28" t="n">
        <f aca="false">IF(E52=0,0,I52/E52)</f>
        <v>0.0298001100931455</v>
      </c>
    </row>
    <row r="53" customFormat="false" ht="11.25" hidden="false" customHeight="true" outlineLevel="0" collapsed="false">
      <c r="B53" s="19" t="s">
        <v>157</v>
      </c>
      <c r="C53" s="20" t="s">
        <v>158</v>
      </c>
      <c r="D53" s="19" t="n">
        <v>47</v>
      </c>
      <c r="E53" s="21" t="n">
        <v>15069</v>
      </c>
      <c r="F53" s="21" t="n">
        <v>5259</v>
      </c>
      <c r="G53" s="21" t="n">
        <v>8519</v>
      </c>
      <c r="H53" s="21" t="n">
        <v>378206</v>
      </c>
      <c r="I53" s="21" t="n">
        <v>235.351144577923</v>
      </c>
      <c r="J53" s="21" t="n">
        <v>1653.53758793635</v>
      </c>
      <c r="K53" s="21" t="n">
        <v>0</v>
      </c>
      <c r="L53" s="21" t="n">
        <v>0</v>
      </c>
      <c r="M53" s="21" t="n">
        <v>3054.70493492577</v>
      </c>
      <c r="N53" s="21" t="n">
        <v>0</v>
      </c>
      <c r="O53" s="21" t="n">
        <v>0</v>
      </c>
      <c r="P53" s="21" t="n">
        <f aca="false">SUM(J53:O53)</f>
        <v>4708.24252286212</v>
      </c>
      <c r="Q53" s="22" t="n">
        <f aca="false">IF(E53=0,0,H53/E53)</f>
        <v>25.098281239631</v>
      </c>
      <c r="R53" s="23" t="n">
        <f aca="false">IF(E53=0,0,F53/E53)</f>
        <v>0.348994624726259</v>
      </c>
      <c r="S53" s="23" t="n">
        <f aca="false">IF(E53=0,0,G53/E53)</f>
        <v>0.5653328024421</v>
      </c>
      <c r="T53" s="23" t="n">
        <f aca="false">IF(E53=0,0,I53/E53)</f>
        <v>0.0156182324359893</v>
      </c>
    </row>
    <row r="54" customFormat="false" ht="11.25" hidden="false" customHeight="true" outlineLevel="0" collapsed="false">
      <c r="B54" s="24" t="s">
        <v>159</v>
      </c>
      <c r="C54" s="25" t="s">
        <v>160</v>
      </c>
      <c r="D54" s="24" t="n">
        <v>48</v>
      </c>
      <c r="E54" s="26" t="n">
        <v>125593</v>
      </c>
      <c r="F54" s="26" t="n">
        <v>25316</v>
      </c>
      <c r="G54" s="26" t="n">
        <v>61685</v>
      </c>
      <c r="H54" s="26" t="n">
        <v>4313306</v>
      </c>
      <c r="I54" s="26" t="n">
        <v>2590.80263464318</v>
      </c>
      <c r="J54" s="26" t="n">
        <v>1708.12272528911</v>
      </c>
      <c r="K54" s="26" t="n">
        <v>0</v>
      </c>
      <c r="L54" s="26" t="n">
        <v>0</v>
      </c>
      <c r="M54" s="26" t="n">
        <v>100436.552936273</v>
      </c>
      <c r="N54" s="26" t="n">
        <v>0</v>
      </c>
      <c r="O54" s="26" t="n">
        <v>0</v>
      </c>
      <c r="P54" s="26" t="n">
        <f aca="false">SUM(J54:O54)</f>
        <v>102144.675661562</v>
      </c>
      <c r="Q54" s="27" t="n">
        <f aca="false">IF(E54=0,0,H54/E54)</f>
        <v>34.3435223300662</v>
      </c>
      <c r="R54" s="28" t="n">
        <f aca="false">IF(E54=0,0,F54/E54)</f>
        <v>0.201571743648133</v>
      </c>
      <c r="S54" s="28" t="n">
        <f aca="false">IF(E54=0,0,G54/E54)</f>
        <v>0.491149984473657</v>
      </c>
      <c r="T54" s="28" t="n">
        <f aca="false">IF(E54=0,0,I54/E54)</f>
        <v>0.020628559192337</v>
      </c>
    </row>
    <row r="55" customFormat="false" ht="11.25" hidden="false" customHeight="true" outlineLevel="0" collapsed="false">
      <c r="B55" s="19" t="s">
        <v>161</v>
      </c>
      <c r="C55" s="20" t="s">
        <v>162</v>
      </c>
      <c r="D55" s="19" t="n">
        <v>49</v>
      </c>
      <c r="E55" s="21" t="n">
        <v>22843</v>
      </c>
      <c r="F55" s="21" t="n">
        <v>5693</v>
      </c>
      <c r="G55" s="21" t="n">
        <v>10549</v>
      </c>
      <c r="H55" s="21" t="n">
        <v>170294</v>
      </c>
      <c r="I55" s="21" t="n">
        <v>702.564699769456</v>
      </c>
      <c r="J55" s="21" t="n">
        <v>410.234226783578</v>
      </c>
      <c r="K55" s="21" t="n">
        <v>0</v>
      </c>
      <c r="L55" s="21" t="n">
        <v>0</v>
      </c>
      <c r="M55" s="21" t="n">
        <v>12661.1842955712</v>
      </c>
      <c r="N55" s="21" t="n">
        <v>19.7425900139248</v>
      </c>
      <c r="O55" s="21" t="n">
        <v>3.68970690053081</v>
      </c>
      <c r="P55" s="21" t="n">
        <f aca="false">SUM(J55:O55)</f>
        <v>13094.8508192692</v>
      </c>
      <c r="Q55" s="22" t="n">
        <f aca="false">IF(E55=0,0,H55/E55)</f>
        <v>7.4549752659458</v>
      </c>
      <c r="R55" s="23" t="n">
        <f aca="false">IF(E55=0,0,F55/E55)</f>
        <v>0.249222956704461</v>
      </c>
      <c r="S55" s="23" t="n">
        <f aca="false">IF(E55=0,0,G55/E55)</f>
        <v>0.461804491529134</v>
      </c>
      <c r="T55" s="23" t="n">
        <f aca="false">IF(E55=0,0,I55/E55)</f>
        <v>0.0307562360359609</v>
      </c>
    </row>
    <row r="56" customFormat="false" ht="11.25" hidden="false" customHeight="true" outlineLevel="0" collapsed="false">
      <c r="B56" s="24" t="s">
        <v>163</v>
      </c>
      <c r="C56" s="25" t="s">
        <v>164</v>
      </c>
      <c r="D56" s="24" t="n">
        <v>50</v>
      </c>
      <c r="E56" s="26" t="n">
        <v>28175</v>
      </c>
      <c r="F56" s="26" t="n">
        <v>6812</v>
      </c>
      <c r="G56" s="26" t="n">
        <v>12302</v>
      </c>
      <c r="H56" s="26" t="n">
        <v>162924</v>
      </c>
      <c r="I56" s="26" t="n">
        <v>1058.68249610858</v>
      </c>
      <c r="J56" s="26" t="n">
        <v>77.7364093090379</v>
      </c>
      <c r="K56" s="26" t="n">
        <v>0</v>
      </c>
      <c r="L56" s="26" t="n">
        <v>0</v>
      </c>
      <c r="M56" s="26" t="n">
        <v>1310.71687952894</v>
      </c>
      <c r="N56" s="26" t="n">
        <v>0</v>
      </c>
      <c r="O56" s="26" t="n">
        <v>0</v>
      </c>
      <c r="P56" s="26" t="n">
        <f aca="false">SUM(J56:O56)</f>
        <v>1388.45328883798</v>
      </c>
      <c r="Q56" s="27" t="n">
        <f aca="false">IF(E56=0,0,H56/E56)</f>
        <v>5.78257320319432</v>
      </c>
      <c r="R56" s="28" t="n">
        <f aca="false">IF(E56=0,0,F56/E56)</f>
        <v>0.241774622892635</v>
      </c>
      <c r="S56" s="28" t="n">
        <f aca="false">IF(E56=0,0,G56/E56)</f>
        <v>0.436628216503993</v>
      </c>
      <c r="T56" s="28" t="n">
        <f aca="false">IF(E56=0,0,I56/E56)</f>
        <v>0.0375752438725316</v>
      </c>
    </row>
    <row r="57" customFormat="false" ht="11.25" hidden="false" customHeight="true" outlineLevel="0" collapsed="false">
      <c r="B57" s="19" t="s">
        <v>165</v>
      </c>
      <c r="C57" s="20" t="s">
        <v>166</v>
      </c>
      <c r="D57" s="19" t="n">
        <v>51</v>
      </c>
      <c r="E57" s="21" t="n">
        <v>132637</v>
      </c>
      <c r="F57" s="21" t="n">
        <v>11169</v>
      </c>
      <c r="G57" s="21" t="n">
        <v>58171</v>
      </c>
      <c r="H57" s="21" t="n">
        <v>200805</v>
      </c>
      <c r="I57" s="21" t="n">
        <v>3457.24232351412</v>
      </c>
      <c r="J57" s="21" t="n">
        <v>586.27687710034</v>
      </c>
      <c r="K57" s="21" t="n">
        <v>0</v>
      </c>
      <c r="L57" s="21" t="n">
        <v>0</v>
      </c>
      <c r="M57" s="21" t="n">
        <v>69527.881549578</v>
      </c>
      <c r="N57" s="21" t="n">
        <v>726.715337179232</v>
      </c>
      <c r="O57" s="21" t="n">
        <v>0</v>
      </c>
      <c r="P57" s="21" t="n">
        <f aca="false">SUM(J57:O57)</f>
        <v>70840.8737638576</v>
      </c>
      <c r="Q57" s="22" t="n">
        <f aca="false">IF(E57=0,0,H57/E57)</f>
        <v>1.51394407292083</v>
      </c>
      <c r="R57" s="23" t="n">
        <f aca="false">IF(E57=0,0,F57/E57)</f>
        <v>0.0842072724805296</v>
      </c>
      <c r="S57" s="23" t="n">
        <f aca="false">IF(E57=0,0,G57/E57)</f>
        <v>0.43857294721684</v>
      </c>
      <c r="T57" s="23" t="n">
        <f aca="false">IF(E57=0,0,I57/E57)</f>
        <v>0.026065444208736</v>
      </c>
    </row>
    <row r="58" customFormat="false" ht="11.25" hidden="false" customHeight="true" outlineLevel="0" collapsed="false">
      <c r="B58" s="24" t="s">
        <v>167</v>
      </c>
      <c r="C58" s="25" t="s">
        <v>168</v>
      </c>
      <c r="D58" s="24" t="n">
        <v>52</v>
      </c>
      <c r="E58" s="26" t="n">
        <v>67574</v>
      </c>
      <c r="F58" s="26" t="n">
        <v>24954</v>
      </c>
      <c r="G58" s="26" t="n">
        <v>45520</v>
      </c>
      <c r="H58" s="26" t="n">
        <v>618627</v>
      </c>
      <c r="I58" s="26" t="n">
        <v>2058.66884904484</v>
      </c>
      <c r="J58" s="26" t="n">
        <v>314.430987420558</v>
      </c>
      <c r="K58" s="26" t="n">
        <v>0</v>
      </c>
      <c r="L58" s="26" t="n">
        <v>0</v>
      </c>
      <c r="M58" s="26" t="n">
        <v>269.271668970191</v>
      </c>
      <c r="N58" s="26" t="n">
        <v>30341.5674992741</v>
      </c>
      <c r="O58" s="26" t="n">
        <v>0</v>
      </c>
      <c r="P58" s="26" t="n">
        <f aca="false">SUM(J58:O58)</f>
        <v>30925.2701556648</v>
      </c>
      <c r="Q58" s="27" t="n">
        <f aca="false">IF(E58=0,0,H58/E58)</f>
        <v>9.15480806227247</v>
      </c>
      <c r="R58" s="28" t="n">
        <f aca="false">IF(E58=0,0,F58/E58)</f>
        <v>0.369284044158996</v>
      </c>
      <c r="S58" s="28" t="n">
        <f aca="false">IF(E58=0,0,G58/E58)</f>
        <v>0.673631870245953</v>
      </c>
      <c r="T58" s="28" t="n">
        <f aca="false">IF(E58=0,0,I58/E58)</f>
        <v>0.0304653986599111</v>
      </c>
    </row>
    <row r="59" customFormat="false" ht="11.25" hidden="false" customHeight="true" outlineLevel="0" collapsed="false">
      <c r="B59" s="19" t="s">
        <v>169</v>
      </c>
      <c r="C59" s="20" t="s">
        <v>170</v>
      </c>
      <c r="D59" s="19" t="n">
        <v>53</v>
      </c>
      <c r="E59" s="21" t="n">
        <v>362692</v>
      </c>
      <c r="F59" s="21" t="n">
        <v>90290</v>
      </c>
      <c r="G59" s="21" t="n">
        <v>224561</v>
      </c>
      <c r="H59" s="21" t="n">
        <v>1081093</v>
      </c>
      <c r="I59" s="21" t="n">
        <v>4713.66558258944</v>
      </c>
      <c r="J59" s="21" t="n">
        <v>5356.16452725093</v>
      </c>
      <c r="K59" s="21" t="n">
        <v>1785.95453624852</v>
      </c>
      <c r="L59" s="21" t="n">
        <v>184.712904232089</v>
      </c>
      <c r="M59" s="21" t="n">
        <v>160210.999841815</v>
      </c>
      <c r="N59" s="21" t="n">
        <v>22.5629600159141</v>
      </c>
      <c r="O59" s="21" t="n">
        <v>0</v>
      </c>
      <c r="P59" s="21" t="n">
        <f aca="false">SUM(J59:O59)</f>
        <v>167560.394769562</v>
      </c>
      <c r="Q59" s="22" t="n">
        <f aca="false">IF(E59=0,0,H59/E59)</f>
        <v>2.98074674930795</v>
      </c>
      <c r="R59" s="23" t="n">
        <f aca="false">IF(E59=0,0,F59/E59)</f>
        <v>0.248944007587705</v>
      </c>
      <c r="S59" s="23" t="n">
        <f aca="false">IF(E59=0,0,G59/E59)</f>
        <v>0.619150684327198</v>
      </c>
      <c r="T59" s="23" t="n">
        <f aca="false">IF(E59=0,0,I59/E59)</f>
        <v>0.0129963318258728</v>
      </c>
    </row>
    <row r="60" customFormat="false" ht="11.25" hidden="false" customHeight="true" outlineLevel="0" collapsed="false">
      <c r="B60" s="24" t="s">
        <v>171</v>
      </c>
      <c r="C60" s="25" t="s">
        <v>172</v>
      </c>
      <c r="D60" s="24" t="n">
        <v>54</v>
      </c>
      <c r="E60" s="26" t="n">
        <v>296205</v>
      </c>
      <c r="F60" s="26" t="n">
        <v>3898</v>
      </c>
      <c r="G60" s="26" t="n">
        <v>274420</v>
      </c>
      <c r="H60" s="26" t="n">
        <v>344380</v>
      </c>
      <c r="I60" s="26" t="n">
        <v>715.424715276631</v>
      </c>
      <c r="J60" s="26" t="n">
        <v>2210.00243410893</v>
      </c>
      <c r="K60" s="26" t="n">
        <v>0</v>
      </c>
      <c r="L60" s="26" t="n">
        <v>0</v>
      </c>
      <c r="M60" s="26" t="n">
        <v>249447.097416704</v>
      </c>
      <c r="N60" s="26" t="n">
        <v>0</v>
      </c>
      <c r="O60" s="26" t="n">
        <v>0</v>
      </c>
      <c r="P60" s="26" t="n">
        <f aca="false">SUM(J60:O60)</f>
        <v>251657.099850813</v>
      </c>
      <c r="Q60" s="27" t="n">
        <f aca="false">IF(E60=0,0,H60/E60)</f>
        <v>1.16264073867761</v>
      </c>
      <c r="R60" s="28" t="n">
        <f aca="false">IF(E60=0,0,F60/E60)</f>
        <v>0.013159804864874</v>
      </c>
      <c r="S60" s="28" t="n">
        <f aca="false">IF(E60=0,0,G60/E60)</f>
        <v>0.926452963319323</v>
      </c>
      <c r="T60" s="28" t="n">
        <f aca="false">IF(E60=0,0,I60/E60)</f>
        <v>0.00241530262918124</v>
      </c>
    </row>
    <row r="61" customFormat="false" ht="11.25" hidden="false" customHeight="true" outlineLevel="0" collapsed="false">
      <c r="B61" s="19" t="s">
        <v>173</v>
      </c>
      <c r="C61" s="20" t="s">
        <v>174</v>
      </c>
      <c r="D61" s="19" t="n">
        <v>55</v>
      </c>
      <c r="E61" s="21" t="n">
        <v>114052</v>
      </c>
      <c r="F61" s="21" t="n">
        <v>30867</v>
      </c>
      <c r="G61" s="21" t="n">
        <v>77760</v>
      </c>
      <c r="H61" s="21" t="n">
        <v>1504892</v>
      </c>
      <c r="I61" s="21" t="n">
        <v>1380.93506458559</v>
      </c>
      <c r="J61" s="21" t="n">
        <v>6252.5400231002</v>
      </c>
      <c r="K61" s="21" t="n">
        <v>0</v>
      </c>
      <c r="L61" s="21" t="n">
        <v>0</v>
      </c>
      <c r="M61" s="21" t="n">
        <v>7480.0982657198</v>
      </c>
      <c r="N61" s="21" t="n">
        <v>0</v>
      </c>
      <c r="O61" s="21" t="n">
        <v>0</v>
      </c>
      <c r="P61" s="21" t="n">
        <f aca="false">SUM(J61:O61)</f>
        <v>13732.63828882</v>
      </c>
      <c r="Q61" s="22" t="n">
        <f aca="false">IF(E61=0,0,H61/E61)</f>
        <v>13.1947883421597</v>
      </c>
      <c r="R61" s="23" t="n">
        <f aca="false">IF(E61=0,0,F61/E61)</f>
        <v>0.270639708203276</v>
      </c>
      <c r="S61" s="23" t="n">
        <f aca="false">IF(E61=0,0,G61/E61)</f>
        <v>0.681794269280679</v>
      </c>
      <c r="T61" s="23" t="n">
        <f aca="false">IF(E61=0,0,I61/E61)</f>
        <v>0.0121079425576543</v>
      </c>
    </row>
    <row r="62" customFormat="false" ht="11.25" hidden="false" customHeight="true" outlineLevel="0" collapsed="false">
      <c r="B62" s="24" t="s">
        <v>175</v>
      </c>
      <c r="C62" s="25" t="s">
        <v>176</v>
      </c>
      <c r="D62" s="24" t="n">
        <v>56</v>
      </c>
      <c r="E62" s="26" t="n">
        <v>46863</v>
      </c>
      <c r="F62" s="26" t="n">
        <v>13928</v>
      </c>
      <c r="G62" s="26" t="n">
        <v>30003</v>
      </c>
      <c r="H62" s="26" t="n">
        <v>529259</v>
      </c>
      <c r="I62" s="26" t="n">
        <v>1811.07021686423</v>
      </c>
      <c r="J62" s="26" t="n">
        <v>6975.68068720474</v>
      </c>
      <c r="K62" s="26" t="n">
        <v>0</v>
      </c>
      <c r="L62" s="26" t="n">
        <v>0</v>
      </c>
      <c r="M62" s="26" t="n">
        <v>527.713973903506</v>
      </c>
      <c r="N62" s="26" t="n">
        <v>5175.13340605032</v>
      </c>
      <c r="O62" s="26" t="n">
        <v>2.58332030692279</v>
      </c>
      <c r="P62" s="26" t="n">
        <f aca="false">SUM(J62:O62)</f>
        <v>12681.1113874655</v>
      </c>
      <c r="Q62" s="27" t="n">
        <f aca="false">IF(E62=0,0,H62/E62)</f>
        <v>11.2937498666325</v>
      </c>
      <c r="R62" s="28" t="n">
        <f aca="false">IF(E62=0,0,F62/E62)</f>
        <v>0.297206751595075</v>
      </c>
      <c r="S62" s="28" t="n">
        <f aca="false">IF(E62=0,0,G62/E62)</f>
        <v>0.640227898341976</v>
      </c>
      <c r="T62" s="28" t="n">
        <f aca="false">IF(E62=0,0,I62/E62)</f>
        <v>0.0386460580172893</v>
      </c>
    </row>
    <row r="63" customFormat="false" ht="11.25" hidden="false" customHeight="true" outlineLevel="0" collapsed="false">
      <c r="B63" s="19" t="s">
        <v>177</v>
      </c>
      <c r="C63" s="20" t="s">
        <v>178</v>
      </c>
      <c r="D63" s="19" t="n">
        <v>57</v>
      </c>
      <c r="E63" s="21" t="n">
        <v>58081</v>
      </c>
      <c r="F63" s="21" t="n">
        <v>6735</v>
      </c>
      <c r="G63" s="21" t="n">
        <v>19285</v>
      </c>
      <c r="H63" s="21" t="n">
        <v>412661</v>
      </c>
      <c r="I63" s="21" t="n">
        <v>1985.53009668653</v>
      </c>
      <c r="J63" s="21" t="n">
        <v>637.96239394727</v>
      </c>
      <c r="K63" s="21" t="n">
        <v>0</v>
      </c>
      <c r="L63" s="21" t="n">
        <v>0</v>
      </c>
      <c r="M63" s="21" t="n">
        <v>686.983548317498</v>
      </c>
      <c r="N63" s="21" t="n">
        <v>0</v>
      </c>
      <c r="O63" s="21" t="n">
        <v>0</v>
      </c>
      <c r="P63" s="21" t="n">
        <f aca="false">SUM(J63:O63)</f>
        <v>1324.94594226477</v>
      </c>
      <c r="Q63" s="22" t="n">
        <f aca="false">IF(E63=0,0,H63/E63)</f>
        <v>7.10492243590847</v>
      </c>
      <c r="R63" s="23" t="n">
        <f aca="false">IF(E63=0,0,F63/E63)</f>
        <v>0.115958747266748</v>
      </c>
      <c r="S63" s="23" t="n">
        <f aca="false">IF(E63=0,0,G63/E63)</f>
        <v>0.332036294140941</v>
      </c>
      <c r="T63" s="23" t="n">
        <f aca="false">IF(E63=0,0,I63/E63)</f>
        <v>0.0341855356603112</v>
      </c>
    </row>
    <row r="64" customFormat="false" ht="11.25" hidden="false" customHeight="true" outlineLevel="0" collapsed="false">
      <c r="B64" s="24" t="s">
        <v>179</v>
      </c>
      <c r="C64" s="25" t="s">
        <v>180</v>
      </c>
      <c r="D64" s="24" t="n">
        <v>58</v>
      </c>
      <c r="E64" s="26" t="n">
        <v>25264</v>
      </c>
      <c r="F64" s="26" t="n">
        <v>5787</v>
      </c>
      <c r="G64" s="26" t="n">
        <v>16106</v>
      </c>
      <c r="H64" s="26" t="n">
        <v>287433</v>
      </c>
      <c r="I64" s="26" t="n">
        <v>900.759737470648</v>
      </c>
      <c r="J64" s="26" t="n">
        <v>684.950475493523</v>
      </c>
      <c r="K64" s="26" t="n">
        <v>0</v>
      </c>
      <c r="L64" s="26" t="n">
        <v>0</v>
      </c>
      <c r="M64" s="26" t="n">
        <v>1196.74026538694</v>
      </c>
      <c r="N64" s="26" t="n">
        <v>271.542283533657</v>
      </c>
      <c r="O64" s="26" t="n">
        <v>2.13265269590083</v>
      </c>
      <c r="P64" s="26" t="n">
        <f aca="false">SUM(J64:O64)</f>
        <v>2155.36567711003</v>
      </c>
      <c r="Q64" s="27" t="n">
        <f aca="false">IF(E64=0,0,H64/E64)</f>
        <v>11.3771770107663</v>
      </c>
      <c r="R64" s="28" t="n">
        <f aca="false">IF(E64=0,0,F64/E64)</f>
        <v>0.229061114629512</v>
      </c>
      <c r="S64" s="28" t="n">
        <f aca="false">IF(E64=0,0,G64/E64)</f>
        <v>0.637507916402787</v>
      </c>
      <c r="T64" s="28" t="n">
        <f aca="false">IF(E64=0,0,I64/E64)</f>
        <v>0.0356538844787305</v>
      </c>
    </row>
    <row r="65" customFormat="false" ht="11.25" hidden="false" customHeight="true" outlineLevel="0" collapsed="false">
      <c r="B65" s="19" t="s">
        <v>181</v>
      </c>
      <c r="C65" s="20" t="s">
        <v>182</v>
      </c>
      <c r="D65" s="19" t="n">
        <v>59</v>
      </c>
      <c r="E65" s="21" t="n">
        <v>124594</v>
      </c>
      <c r="F65" s="21" t="n">
        <v>54570</v>
      </c>
      <c r="G65" s="21" t="n">
        <v>85574</v>
      </c>
      <c r="H65" s="21" t="n">
        <v>3519835</v>
      </c>
      <c r="I65" s="21" t="n">
        <v>2245.64315842807</v>
      </c>
      <c r="J65" s="21" t="n">
        <v>4530.8716841291</v>
      </c>
      <c r="K65" s="21" t="n">
        <v>0</v>
      </c>
      <c r="L65" s="21" t="n">
        <v>14561.1484923962</v>
      </c>
      <c r="M65" s="21" t="n">
        <v>6298.64690134463</v>
      </c>
      <c r="N65" s="21" t="n">
        <v>32.6059453599524</v>
      </c>
      <c r="O65" s="21" t="n">
        <v>0.080025191677718</v>
      </c>
      <c r="P65" s="21" t="n">
        <f aca="false">SUM(J65:O65)</f>
        <v>25423.3530484215</v>
      </c>
      <c r="Q65" s="22" t="n">
        <f aca="false">IF(E65=0,0,H65/E65)</f>
        <v>28.2504374207426</v>
      </c>
      <c r="R65" s="23" t="n">
        <f aca="false">IF(E65=0,0,F65/E65)</f>
        <v>0.437982567378847</v>
      </c>
      <c r="S65" s="23" t="n">
        <f aca="false">IF(E65=0,0,G65/E65)</f>
        <v>0.686822800455881</v>
      </c>
      <c r="T65" s="23" t="n">
        <f aca="false">IF(E65=0,0,I65/E65)</f>
        <v>0.0180236862002028</v>
      </c>
    </row>
    <row r="66" customFormat="false" ht="11.25" hidden="false" customHeight="true" outlineLevel="0" collapsed="false">
      <c r="B66" s="24" t="s">
        <v>183</v>
      </c>
      <c r="C66" s="25" t="s">
        <v>184</v>
      </c>
      <c r="D66" s="24" t="n">
        <v>60</v>
      </c>
      <c r="E66" s="26" t="n">
        <v>20741</v>
      </c>
      <c r="F66" s="26" t="n">
        <v>14576</v>
      </c>
      <c r="G66" s="26" t="n">
        <v>16990</v>
      </c>
      <c r="H66" s="26" t="n">
        <v>718939</v>
      </c>
      <c r="I66" s="26" t="n">
        <v>236.225906845817</v>
      </c>
      <c r="J66" s="26" t="n">
        <v>7.3252673890212</v>
      </c>
      <c r="K66" s="26" t="n">
        <v>0</v>
      </c>
      <c r="L66" s="26" t="n">
        <v>0</v>
      </c>
      <c r="M66" s="26" t="n">
        <v>208.333896847829</v>
      </c>
      <c r="N66" s="26" t="n">
        <v>0</v>
      </c>
      <c r="O66" s="26" t="n">
        <v>0</v>
      </c>
      <c r="P66" s="26" t="n">
        <f aca="false">SUM(J66:O66)</f>
        <v>215.65916423685</v>
      </c>
      <c r="Q66" s="27" t="n">
        <f aca="false">IF(E66=0,0,H66/E66)</f>
        <v>34.6626970734294</v>
      </c>
      <c r="R66" s="28" t="n">
        <f aca="false">IF(E66=0,0,F66/E66)</f>
        <v>0.702762644038378</v>
      </c>
      <c r="S66" s="28" t="n">
        <f aca="false">IF(E66=0,0,G66/E66)</f>
        <v>0.819150474904778</v>
      </c>
      <c r="T66" s="28" t="n">
        <f aca="false">IF(E66=0,0,I66/E66)</f>
        <v>0.011389320999268</v>
      </c>
    </row>
    <row r="67" customFormat="false" ht="11.25" hidden="false" customHeight="true" outlineLevel="0" collapsed="false">
      <c r="B67" s="19" t="s">
        <v>185</v>
      </c>
      <c r="C67" s="20" t="s">
        <v>186</v>
      </c>
      <c r="D67" s="19" t="n">
        <v>61</v>
      </c>
      <c r="E67" s="21" t="n">
        <v>484385</v>
      </c>
      <c r="F67" s="21" t="n">
        <v>302164</v>
      </c>
      <c r="G67" s="21" t="n">
        <v>343319</v>
      </c>
      <c r="H67" s="21" t="n">
        <v>5158576</v>
      </c>
      <c r="I67" s="21" t="n">
        <v>6699.64055521276</v>
      </c>
      <c r="J67" s="21" t="n">
        <v>844.859102127213</v>
      </c>
      <c r="K67" s="21" t="n">
        <v>455465.236168693</v>
      </c>
      <c r="L67" s="21" t="n">
        <v>108.901099753115</v>
      </c>
      <c r="M67" s="21" t="n">
        <v>6372.82983834358</v>
      </c>
      <c r="N67" s="21" t="n">
        <v>6472.77139654239</v>
      </c>
      <c r="O67" s="21" t="n">
        <v>4.13025714518536</v>
      </c>
      <c r="P67" s="21" t="n">
        <f aca="false">SUM(J67:O67)</f>
        <v>469268.727862604</v>
      </c>
      <c r="Q67" s="22" t="n">
        <f aca="false">IF(E67=0,0,H67/E67)</f>
        <v>10.6497434891667</v>
      </c>
      <c r="R67" s="23" t="n">
        <f aca="false">IF(E67=0,0,F67/E67)</f>
        <v>0.623809572963655</v>
      </c>
      <c r="S67" s="23" t="n">
        <f aca="false">IF(E67=0,0,G67/E67)</f>
        <v>0.708772980170732</v>
      </c>
      <c r="T67" s="23" t="n">
        <f aca="false">IF(E67=0,0,I67/E67)</f>
        <v>0.0138312304369722</v>
      </c>
    </row>
    <row r="68" customFormat="false" ht="11.25" hidden="false" customHeight="true" outlineLevel="0" collapsed="false">
      <c r="B68" s="24" t="s">
        <v>187</v>
      </c>
      <c r="C68" s="25" t="s">
        <v>188</v>
      </c>
      <c r="D68" s="24" t="n">
        <v>62</v>
      </c>
      <c r="E68" s="26" t="n">
        <v>159171</v>
      </c>
      <c r="F68" s="26" t="n">
        <v>120980</v>
      </c>
      <c r="G68" s="26" t="n">
        <v>127157</v>
      </c>
      <c r="H68" s="26" t="n">
        <v>3803182</v>
      </c>
      <c r="I68" s="26" t="n">
        <v>1996.78648573654</v>
      </c>
      <c r="J68" s="26" t="n">
        <v>37.5998731349711</v>
      </c>
      <c r="K68" s="26" t="n">
        <v>147171.307281156</v>
      </c>
      <c r="L68" s="26" t="n">
        <v>2.01106855295918</v>
      </c>
      <c r="M68" s="26" t="n">
        <v>586.579203242949</v>
      </c>
      <c r="N68" s="26" t="n">
        <v>10131.6303197283</v>
      </c>
      <c r="O68" s="26" t="n">
        <v>0.0981385923979893</v>
      </c>
      <c r="P68" s="26" t="n">
        <f aca="false">SUM(J68:O68)</f>
        <v>157929.225884407</v>
      </c>
      <c r="Q68" s="27" t="n">
        <f aca="false">IF(E68=0,0,H68/E68)</f>
        <v>23.893686664028</v>
      </c>
      <c r="R68" s="28" t="n">
        <f aca="false">IF(E68=0,0,F68/E68)</f>
        <v>0.760063076816757</v>
      </c>
      <c r="S68" s="28" t="n">
        <f aca="false">IF(E68=0,0,G68/E68)</f>
        <v>0.798870397245729</v>
      </c>
      <c r="T68" s="28" t="n">
        <f aca="false">IF(E68=0,0,I68/E68)</f>
        <v>0.0125449138708467</v>
      </c>
    </row>
    <row r="69" customFormat="false" ht="11.25" hidden="false" customHeight="true" outlineLevel="0" collapsed="false">
      <c r="B69" s="19" t="s">
        <v>189</v>
      </c>
      <c r="C69" s="20" t="s">
        <v>190</v>
      </c>
      <c r="D69" s="19" t="n">
        <v>63</v>
      </c>
      <c r="E69" s="21" t="n">
        <v>57025</v>
      </c>
      <c r="F69" s="21" t="n">
        <v>32515</v>
      </c>
      <c r="G69" s="21" t="n">
        <v>36830</v>
      </c>
      <c r="H69" s="21" t="n">
        <v>1815902</v>
      </c>
      <c r="I69" s="21" t="n">
        <v>1293.63673967993</v>
      </c>
      <c r="J69" s="21" t="n">
        <v>42.7870036787942</v>
      </c>
      <c r="K69" s="21" t="n">
        <v>0</v>
      </c>
      <c r="L69" s="21" t="n">
        <v>0</v>
      </c>
      <c r="M69" s="21" t="n">
        <v>48927.1368817787</v>
      </c>
      <c r="N69" s="21" t="n">
        <v>837.64989059081</v>
      </c>
      <c r="O69" s="21" t="n">
        <v>0</v>
      </c>
      <c r="P69" s="21" t="n">
        <f aca="false">SUM(J69:O69)</f>
        <v>49807.5737760483</v>
      </c>
      <c r="Q69" s="22" t="n">
        <f aca="false">IF(E69=0,0,H69/E69)</f>
        <v>31.8439631740465</v>
      </c>
      <c r="R69" s="23" t="n">
        <f aca="false">IF(E69=0,0,F69/E69)</f>
        <v>0.570188513809733</v>
      </c>
      <c r="S69" s="23" t="n">
        <f aca="false">IF(E69=0,0,G69/E69)</f>
        <v>0.64585708022797</v>
      </c>
      <c r="T69" s="23" t="n">
        <f aca="false">IF(E69=0,0,I69/E69)</f>
        <v>0.022685431647171</v>
      </c>
    </row>
    <row r="70" customFormat="false" ht="11.25" hidden="false" customHeight="true" outlineLevel="0" collapsed="false">
      <c r="B70" s="24" t="s">
        <v>191</v>
      </c>
      <c r="C70" s="25" t="s">
        <v>192</v>
      </c>
      <c r="D70" s="24" t="n">
        <v>64</v>
      </c>
      <c r="E70" s="26" t="n">
        <v>103352</v>
      </c>
      <c r="F70" s="26" t="n">
        <v>64022</v>
      </c>
      <c r="G70" s="26" t="n">
        <v>67369</v>
      </c>
      <c r="H70" s="26" t="n">
        <v>1562737</v>
      </c>
      <c r="I70" s="26" t="n">
        <v>2871.76474609922</v>
      </c>
      <c r="J70" s="26" t="n">
        <v>1.32305340844099</v>
      </c>
      <c r="K70" s="26" t="n">
        <v>100414.603495107</v>
      </c>
      <c r="L70" s="26" t="n">
        <v>87.5275588576969</v>
      </c>
      <c r="M70" s="26" t="n">
        <v>1549.13364282702</v>
      </c>
      <c r="N70" s="26" t="n">
        <v>984.439813582496</v>
      </c>
      <c r="O70" s="26" t="n">
        <v>0</v>
      </c>
      <c r="P70" s="26" t="n">
        <f aca="false">SUM(J70:O70)</f>
        <v>103037.027563782</v>
      </c>
      <c r="Q70" s="27" t="n">
        <f aca="false">IF(E70=0,0,H70/E70)</f>
        <v>15.1205298397709</v>
      </c>
      <c r="R70" s="28" t="n">
        <f aca="false">IF(E70=0,0,F70/E70)</f>
        <v>0.619455840235312</v>
      </c>
      <c r="S70" s="28" t="n">
        <f aca="false">IF(E70=0,0,G70/E70)</f>
        <v>0.651840312717703</v>
      </c>
      <c r="T70" s="28" t="n">
        <f aca="false">IF(E70=0,0,I70/E70)</f>
        <v>0.0277862522844185</v>
      </c>
    </row>
    <row r="71" customFormat="false" ht="11.25" hidden="false" customHeight="true" outlineLevel="0" collapsed="false">
      <c r="B71" s="19" t="s">
        <v>193</v>
      </c>
      <c r="C71" s="20" t="s">
        <v>194</v>
      </c>
      <c r="D71" s="19" t="n">
        <v>65</v>
      </c>
      <c r="E71" s="21" t="n">
        <v>114420</v>
      </c>
      <c r="F71" s="21" t="n">
        <v>36420</v>
      </c>
      <c r="G71" s="21" t="n">
        <v>62184</v>
      </c>
      <c r="H71" s="21" t="n">
        <v>2198528</v>
      </c>
      <c r="I71" s="21" t="n">
        <v>3579.27172413961</v>
      </c>
      <c r="J71" s="21" t="n">
        <v>58.9465589559891</v>
      </c>
      <c r="K71" s="21" t="n">
        <v>25664.228126332</v>
      </c>
      <c r="L71" s="21" t="n">
        <v>4079.75477422213</v>
      </c>
      <c r="M71" s="21" t="n">
        <v>72567.9428674106</v>
      </c>
      <c r="N71" s="21" t="n">
        <v>27.2635766858962</v>
      </c>
      <c r="O71" s="21" t="n">
        <v>0</v>
      </c>
      <c r="P71" s="21" t="n">
        <f aca="false">SUM(J71:O71)</f>
        <v>102398.135903607</v>
      </c>
      <c r="Q71" s="22" t="n">
        <f aca="false">IF(E71=0,0,H71/E71)</f>
        <v>19.2145429120783</v>
      </c>
      <c r="R71" s="23" t="n">
        <f aca="false">IF(E71=0,0,F71/E71)</f>
        <v>0.318300996329313</v>
      </c>
      <c r="S71" s="23" t="n">
        <f aca="false">IF(E71=0,0,G71/E71)</f>
        <v>0.543471421080231</v>
      </c>
      <c r="T71" s="23" t="n">
        <f aca="false">IF(E71=0,0,I71/E71)</f>
        <v>0.0312818713873415</v>
      </c>
    </row>
    <row r="72" customFormat="false" ht="11.25" hidden="false" customHeight="true" outlineLevel="0" collapsed="false">
      <c r="B72" s="24" t="s">
        <v>195</v>
      </c>
      <c r="C72" s="25" t="s">
        <v>196</v>
      </c>
      <c r="D72" s="24" t="n">
        <v>66</v>
      </c>
      <c r="E72" s="26" t="n">
        <v>23299</v>
      </c>
      <c r="F72" s="26" t="n">
        <v>6990</v>
      </c>
      <c r="G72" s="26" t="n">
        <v>14312</v>
      </c>
      <c r="H72" s="26" t="n">
        <v>926849</v>
      </c>
      <c r="I72" s="26" t="n">
        <v>496.612573596209</v>
      </c>
      <c r="J72" s="26" t="n">
        <v>822.570589512437</v>
      </c>
      <c r="K72" s="26" t="n">
        <v>0</v>
      </c>
      <c r="L72" s="26" t="n">
        <v>4676.18675262556</v>
      </c>
      <c r="M72" s="26" t="n">
        <v>13242.0570506637</v>
      </c>
      <c r="N72" s="26" t="n">
        <v>0</v>
      </c>
      <c r="O72" s="26" t="n">
        <v>0</v>
      </c>
      <c r="P72" s="26" t="n">
        <f aca="false">SUM(J72:O72)</f>
        <v>18740.8143928017</v>
      </c>
      <c r="Q72" s="27" t="n">
        <f aca="false">IF(E72=0,0,H72/E72)</f>
        <v>39.7806343619898</v>
      </c>
      <c r="R72" s="28" t="n">
        <f aca="false">IF(E72=0,0,F72/E72)</f>
        <v>0.300012876089103</v>
      </c>
      <c r="S72" s="28" t="n">
        <f aca="false">IF(E72=0,0,G72/E72)</f>
        <v>0.614275290785012</v>
      </c>
      <c r="T72" s="28" t="n">
        <f aca="false">IF(E72=0,0,I72/E72)</f>
        <v>0.0213147591568827</v>
      </c>
    </row>
    <row r="73" customFormat="false" ht="11.25" hidden="false" customHeight="true" outlineLevel="0" collapsed="false">
      <c r="B73" s="19" t="s">
        <v>197</v>
      </c>
      <c r="C73" s="20" t="s">
        <v>198</v>
      </c>
      <c r="D73" s="19" t="n">
        <v>67</v>
      </c>
      <c r="E73" s="21" t="n">
        <v>104279</v>
      </c>
      <c r="F73" s="21" t="n">
        <v>28122</v>
      </c>
      <c r="G73" s="21" t="n">
        <v>47911</v>
      </c>
      <c r="H73" s="21" t="n">
        <v>3730870</v>
      </c>
      <c r="I73" s="21" t="n">
        <v>5593.59147894853</v>
      </c>
      <c r="J73" s="21" t="n">
        <v>41.8295636346718</v>
      </c>
      <c r="K73" s="21" t="n">
        <v>0</v>
      </c>
      <c r="L73" s="21" t="n">
        <v>35967</v>
      </c>
      <c r="M73" s="21" t="n">
        <v>53448.3045259476</v>
      </c>
      <c r="N73" s="21" t="n">
        <v>0</v>
      </c>
      <c r="O73" s="21" t="n">
        <v>0</v>
      </c>
      <c r="P73" s="21" t="n">
        <f aca="false">SUM(J73:O73)</f>
        <v>89457.1340895823</v>
      </c>
      <c r="Q73" s="22" t="n">
        <f aca="false">IF(E73=0,0,H73/E73)</f>
        <v>35.7777692536369</v>
      </c>
      <c r="R73" s="23" t="n">
        <f aca="false">IF(E73=0,0,F73/E73)</f>
        <v>0.269680376681786</v>
      </c>
      <c r="S73" s="23" t="n">
        <f aca="false">IF(E73=0,0,G73/E73)</f>
        <v>0.459450128980907</v>
      </c>
      <c r="T73" s="23" t="n">
        <f aca="false">IF(E73=0,0,I73/E73)</f>
        <v>0.0536406321402059</v>
      </c>
    </row>
    <row r="74" customFormat="false" ht="11.25" hidden="false" customHeight="true" outlineLevel="0" collapsed="false">
      <c r="B74" s="24" t="s">
        <v>199</v>
      </c>
      <c r="C74" s="25" t="s">
        <v>200</v>
      </c>
      <c r="D74" s="24" t="n">
        <v>68</v>
      </c>
      <c r="E74" s="26" t="n">
        <v>40334</v>
      </c>
      <c r="F74" s="26" t="n">
        <v>40334</v>
      </c>
      <c r="G74" s="26" t="n">
        <v>40334</v>
      </c>
      <c r="H74" s="26" t="n">
        <v>6780014</v>
      </c>
      <c r="I74" s="26" t="n">
        <v>0</v>
      </c>
      <c r="J74" s="26" t="n">
        <v>0</v>
      </c>
      <c r="K74" s="26" t="n">
        <v>0</v>
      </c>
      <c r="L74" s="26" t="n">
        <v>0</v>
      </c>
      <c r="M74" s="26" t="n">
        <v>40334</v>
      </c>
      <c r="N74" s="26" t="n">
        <v>0</v>
      </c>
      <c r="O74" s="26" t="n">
        <v>0</v>
      </c>
      <c r="P74" s="26" t="n">
        <f aca="false">SUM(J74:O74)</f>
        <v>40334</v>
      </c>
      <c r="Q74" s="27" t="n">
        <f aca="false">IF(E74=0,0,H74/E74)</f>
        <v>168.096742202608</v>
      </c>
      <c r="R74" s="28" t="n">
        <f aca="false">IF(E74=0,0,F74/E74)</f>
        <v>1</v>
      </c>
      <c r="S74" s="28" t="n">
        <f aca="false">IF(E74=0,0,G74/E74)</f>
        <v>1</v>
      </c>
      <c r="T74" s="28" t="n">
        <f aca="false">IF(E74=0,0,I74/E74)</f>
        <v>0</v>
      </c>
    </row>
    <row r="75" customFormat="false" ht="15" hidden="false" customHeight="false" outlineLevel="0" collapsed="false">
      <c r="B75" s="29"/>
      <c r="C75" s="30" t="s">
        <v>219</v>
      </c>
      <c r="D75" s="29"/>
      <c r="E75" s="31" t="n">
        <f aca="false">SUM(E7:E74)</f>
        <v>6599149</v>
      </c>
      <c r="F75" s="31" t="n">
        <f aca="false">SUM(F7:F74)</f>
        <v>1618190</v>
      </c>
      <c r="G75" s="31" t="n">
        <f aca="false">SUM(G7:G74)</f>
        <v>3302840</v>
      </c>
      <c r="H75" s="31" t="n">
        <f aca="false">SUM(H7:H74)</f>
        <v>98116218</v>
      </c>
      <c r="I75" s="31" t="n">
        <f aca="false">SUM(I7:I74)</f>
        <v>274871.079454294</v>
      </c>
      <c r="J75" s="31" t="n">
        <f aca="false">SUM(J7:J74)</f>
        <v>352943.885098298</v>
      </c>
      <c r="K75" s="31" t="n">
        <f aca="false">SUM(K7:K74)</f>
        <v>733881.931210524</v>
      </c>
      <c r="L75" s="31" t="n">
        <f aca="false">SUM(L7:L74)</f>
        <v>59667.4564387233</v>
      </c>
      <c r="M75" s="31" t="n">
        <f aca="false">SUM(M7:M74)</f>
        <v>1747922.30201092</v>
      </c>
      <c r="N75" s="31" t="n">
        <f aca="false">SUM(N7:N74)</f>
        <v>641724.214297456</v>
      </c>
      <c r="O75" s="31" t="n">
        <f aca="false">SUM(O7:O74)</f>
        <v>32057.27503975</v>
      </c>
      <c r="P75" s="31" t="n">
        <f aca="false">SUM(P7:P74)</f>
        <v>3568197.06409567</v>
      </c>
      <c r="Q75" s="29"/>
      <c r="R75" s="29"/>
      <c r="S75" s="29"/>
      <c r="T75" s="29"/>
    </row>
  </sheetData>
  <mergeCells count="1">
    <mergeCell ref="B3:V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8CE"/>
    <pageSetUpPr fitToPage="false"/>
  </sheetPr>
  <dimension ref="B1:BT7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52"/>
    <col collapsed="false" customWidth="true" hidden="false" outlineLevel="0" max="4" min="4" style="0" width="4.4"/>
    <col collapsed="false" customWidth="true" hidden="false" outlineLevel="0" max="72" min="5" style="0" width="10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221</v>
      </c>
    </row>
    <row r="3" customFormat="false" ht="12.75" hidden="false" customHeight="true" outlineLevel="0" collapsed="false">
      <c r="B3" s="15" t="s">
        <v>222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6" customFormat="false" ht="13.5" hidden="false" customHeight="true" outlineLevel="0" collapsed="false">
      <c r="B6" s="32" t="s">
        <v>62</v>
      </c>
      <c r="C6" s="32" t="s">
        <v>63</v>
      </c>
      <c r="D6" s="32"/>
      <c r="E6" s="32" t="n">
        <v>1</v>
      </c>
      <c r="F6" s="32" t="n">
        <v>2</v>
      </c>
      <c r="G6" s="32" t="n">
        <v>3</v>
      </c>
      <c r="H6" s="32" t="n">
        <v>4</v>
      </c>
      <c r="I6" s="32" t="n">
        <v>5</v>
      </c>
      <c r="J6" s="32" t="n">
        <v>6</v>
      </c>
      <c r="K6" s="32" t="n">
        <v>7</v>
      </c>
      <c r="L6" s="32" t="n">
        <v>8</v>
      </c>
      <c r="M6" s="32" t="n">
        <v>9</v>
      </c>
      <c r="N6" s="32" t="n">
        <v>10</v>
      </c>
      <c r="O6" s="32" t="n">
        <v>11</v>
      </c>
      <c r="P6" s="32" t="n">
        <v>12</v>
      </c>
      <c r="Q6" s="32" t="n">
        <v>13</v>
      </c>
      <c r="R6" s="32" t="n">
        <v>14</v>
      </c>
      <c r="S6" s="32" t="n">
        <v>15</v>
      </c>
      <c r="T6" s="32" t="n">
        <v>16</v>
      </c>
      <c r="U6" s="32" t="n">
        <v>17</v>
      </c>
      <c r="V6" s="32" t="n">
        <v>18</v>
      </c>
      <c r="W6" s="32" t="n">
        <v>19</v>
      </c>
      <c r="X6" s="32" t="n">
        <v>20</v>
      </c>
      <c r="Y6" s="32" t="n">
        <v>21</v>
      </c>
      <c r="Z6" s="32" t="n">
        <v>22</v>
      </c>
      <c r="AA6" s="32" t="n">
        <v>23</v>
      </c>
      <c r="AB6" s="32" t="n">
        <v>24</v>
      </c>
      <c r="AC6" s="32" t="n">
        <v>25</v>
      </c>
      <c r="AD6" s="32" t="n">
        <v>26</v>
      </c>
      <c r="AE6" s="32" t="n">
        <v>27</v>
      </c>
      <c r="AF6" s="32" t="n">
        <v>28</v>
      </c>
      <c r="AG6" s="32" t="n">
        <v>29</v>
      </c>
      <c r="AH6" s="32" t="n">
        <v>30</v>
      </c>
      <c r="AI6" s="32" t="n">
        <v>31</v>
      </c>
      <c r="AJ6" s="32" t="n">
        <v>32</v>
      </c>
      <c r="AK6" s="32" t="n">
        <v>33</v>
      </c>
      <c r="AL6" s="32" t="n">
        <v>34</v>
      </c>
      <c r="AM6" s="32" t="n">
        <v>35</v>
      </c>
      <c r="AN6" s="32" t="n">
        <v>36</v>
      </c>
      <c r="AO6" s="32" t="n">
        <v>37</v>
      </c>
      <c r="AP6" s="32" t="n">
        <v>38</v>
      </c>
      <c r="AQ6" s="32" t="n">
        <v>39</v>
      </c>
      <c r="AR6" s="32" t="n">
        <v>40</v>
      </c>
      <c r="AS6" s="32" t="n">
        <v>41</v>
      </c>
      <c r="AT6" s="32" t="n">
        <v>42</v>
      </c>
      <c r="AU6" s="32" t="n">
        <v>43</v>
      </c>
      <c r="AV6" s="32" t="n">
        <v>44</v>
      </c>
      <c r="AW6" s="32" t="n">
        <v>45</v>
      </c>
      <c r="AX6" s="32" t="n">
        <v>46</v>
      </c>
      <c r="AY6" s="32" t="n">
        <v>47</v>
      </c>
      <c r="AZ6" s="32" t="n">
        <v>48</v>
      </c>
      <c r="BA6" s="32" t="n">
        <v>49</v>
      </c>
      <c r="BB6" s="32" t="n">
        <v>50</v>
      </c>
      <c r="BC6" s="32" t="n">
        <v>51</v>
      </c>
      <c r="BD6" s="32" t="n">
        <v>52</v>
      </c>
      <c r="BE6" s="32" t="n">
        <v>53</v>
      </c>
      <c r="BF6" s="32" t="n">
        <v>54</v>
      </c>
      <c r="BG6" s="32" t="n">
        <v>55</v>
      </c>
      <c r="BH6" s="32" t="n">
        <v>56</v>
      </c>
      <c r="BI6" s="32" t="n">
        <v>57</v>
      </c>
      <c r="BJ6" s="32" t="n">
        <v>58</v>
      </c>
      <c r="BK6" s="32" t="n">
        <v>59</v>
      </c>
      <c r="BL6" s="32" t="n">
        <v>60</v>
      </c>
      <c r="BM6" s="32" t="n">
        <v>61</v>
      </c>
      <c r="BN6" s="32" t="n">
        <v>62</v>
      </c>
      <c r="BO6" s="32" t="n">
        <v>63</v>
      </c>
      <c r="BP6" s="32" t="n">
        <v>64</v>
      </c>
      <c r="BQ6" s="32" t="n">
        <v>65</v>
      </c>
      <c r="BR6" s="32" t="n">
        <v>66</v>
      </c>
      <c r="BS6" s="32" t="n">
        <v>67</v>
      </c>
      <c r="BT6" s="32" t="n">
        <v>68</v>
      </c>
    </row>
    <row r="7" customFormat="false" ht="11.25" hidden="false" customHeight="true" outlineLevel="0" collapsed="false">
      <c r="B7" s="19" t="s">
        <v>65</v>
      </c>
      <c r="C7" s="20" t="s">
        <v>66</v>
      </c>
      <c r="D7" s="19" t="n">
        <v>1</v>
      </c>
      <c r="E7" s="33" t="n">
        <v>0.0217164042056304</v>
      </c>
      <c r="F7" s="33" t="n">
        <v>0.0426660482583322</v>
      </c>
      <c r="G7" s="33" t="n">
        <v>0.00455521593083189</v>
      </c>
      <c r="H7" s="33" t="n">
        <v>7.18460842554799E-005</v>
      </c>
      <c r="I7" s="33" t="n">
        <v>3.76363119088973E-005</v>
      </c>
      <c r="J7" s="33" t="n">
        <v>8.83664837055537E-005</v>
      </c>
      <c r="K7" s="33" t="n">
        <v>0.000116833516677274</v>
      </c>
      <c r="L7" s="33" t="n">
        <v>0.0258906947909573</v>
      </c>
      <c r="M7" s="33" t="n">
        <v>0.468122471967339</v>
      </c>
      <c r="N7" s="33" t="n">
        <v>0.276205314107775</v>
      </c>
      <c r="O7" s="33" t="n">
        <v>0.0301804973299656</v>
      </c>
      <c r="P7" s="33" t="n">
        <v>0.278527698669332</v>
      </c>
      <c r="Q7" s="33" t="n">
        <v>0.124316471619311</v>
      </c>
      <c r="R7" s="33" t="n">
        <v>0.0118852137496744</v>
      </c>
      <c r="S7" s="33" t="n">
        <v>0.000167574494057763</v>
      </c>
      <c r="T7" s="33" t="n">
        <v>0.00227900304194675</v>
      </c>
      <c r="U7" s="33" t="n">
        <v>0.0016318553644766</v>
      </c>
      <c r="V7" s="33" t="n">
        <v>1.15464332662862E-005</v>
      </c>
      <c r="W7" s="33" t="n">
        <v>2.31654745977968E-005</v>
      </c>
      <c r="X7" s="33" t="n">
        <v>0.378137784568712</v>
      </c>
      <c r="Y7" s="33" t="n">
        <v>8.88512487282598E-005</v>
      </c>
      <c r="Z7" s="33" t="n">
        <v>0.000150796887444007</v>
      </c>
      <c r="AA7" s="33" t="n">
        <v>4.16950444971911E-005</v>
      </c>
      <c r="AB7" s="33" t="n">
        <v>0.000226082552311459</v>
      </c>
      <c r="AC7" s="33" t="n">
        <v>0.000247277710207985</v>
      </c>
      <c r="AD7" s="33" t="n">
        <v>0.000162216471321657</v>
      </c>
      <c r="AE7" s="33" t="n">
        <v>0.000275286540733866</v>
      </c>
      <c r="AF7" s="33" t="n">
        <v>0.000358184196799405</v>
      </c>
      <c r="AG7" s="33" t="n">
        <v>3.10718341724677E-005</v>
      </c>
      <c r="AH7" s="33" t="n">
        <v>2.13278927613028E-006</v>
      </c>
      <c r="AI7" s="33" t="n">
        <v>3.09846637793445E-006</v>
      </c>
      <c r="AJ7" s="33" t="n">
        <v>5.10314972127276E-006</v>
      </c>
      <c r="AK7" s="33" t="n">
        <v>3.00175814559079E-006</v>
      </c>
      <c r="AL7" s="33" t="n">
        <v>3.40147651549431E-006</v>
      </c>
      <c r="AM7" s="33" t="n">
        <v>1.15628531408975E-005</v>
      </c>
      <c r="AN7" s="33" t="n">
        <v>0.000153486939647782</v>
      </c>
      <c r="AO7" s="33" t="n">
        <v>6.19189203247131E-007</v>
      </c>
      <c r="AP7" s="33" t="n">
        <v>1.38715821461779E-006</v>
      </c>
      <c r="AQ7" s="33" t="n">
        <v>0.000475402390763538</v>
      </c>
      <c r="AR7" s="33" t="n">
        <v>0.000697943477691217</v>
      </c>
      <c r="AS7" s="33" t="n">
        <v>1.54216032842184E-005</v>
      </c>
      <c r="AT7" s="33" t="n">
        <v>0.0118936901339571</v>
      </c>
      <c r="AU7" s="33" t="n">
        <v>2.55530732651389E-006</v>
      </c>
      <c r="AV7" s="33" t="n">
        <v>1.61033048433798E-006</v>
      </c>
      <c r="AW7" s="33" t="n">
        <v>6.59020059553093E-006</v>
      </c>
      <c r="AX7" s="33" t="n">
        <v>9.25732364287343E-005</v>
      </c>
      <c r="AY7" s="33" t="n">
        <v>0.0120276356023816</v>
      </c>
      <c r="AZ7" s="33" t="n">
        <v>0.0192452528294441</v>
      </c>
      <c r="BA7" s="33" t="n">
        <v>5.0271801052193E-006</v>
      </c>
      <c r="BB7" s="33" t="n">
        <v>1.33017325786447E-005</v>
      </c>
      <c r="BC7" s="33" t="n">
        <v>0.000234365174098209</v>
      </c>
      <c r="BD7" s="33" t="n">
        <v>1.29758646697687E-005</v>
      </c>
      <c r="BE7" s="33" t="n">
        <v>2.02999952658438E-005</v>
      </c>
      <c r="BF7" s="33" t="n">
        <v>2.98400034772303E-005</v>
      </c>
      <c r="BG7" s="33" t="n">
        <v>3.57497439760968E-005</v>
      </c>
      <c r="BH7" s="33" t="n">
        <v>0.000184064290486414</v>
      </c>
      <c r="BI7" s="33" t="n">
        <v>8.62428977165766E-006</v>
      </c>
      <c r="BJ7" s="33" t="n">
        <v>1.34165086464804E-005</v>
      </c>
      <c r="BK7" s="33" t="n">
        <v>0.000557418245786379</v>
      </c>
      <c r="BL7" s="33" t="n">
        <v>5.97685357219974E-006</v>
      </c>
      <c r="BM7" s="33" t="n">
        <v>0.00116807880883304</v>
      </c>
      <c r="BN7" s="33" t="n">
        <v>0.00102697684195364</v>
      </c>
      <c r="BO7" s="33" t="n">
        <v>0.000468191219939593</v>
      </c>
      <c r="BP7" s="33" t="n">
        <v>0.00207364356143335</v>
      </c>
      <c r="BQ7" s="33" t="n">
        <v>0.000648292475520752</v>
      </c>
      <c r="BR7" s="33" t="n">
        <v>7.59681116180996E-005</v>
      </c>
      <c r="BS7" s="33" t="n">
        <v>0.00196456270239395</v>
      </c>
      <c r="BT7" s="33" t="n">
        <v>0</v>
      </c>
    </row>
    <row r="8" customFormat="false" ht="11.25" hidden="false" customHeight="true" outlineLevel="0" collapsed="false">
      <c r="B8" s="24" t="s">
        <v>67</v>
      </c>
      <c r="C8" s="25" t="s">
        <v>68</v>
      </c>
      <c r="D8" s="24" t="n">
        <v>2</v>
      </c>
      <c r="E8" s="34" t="n">
        <v>0.00265178887709528</v>
      </c>
      <c r="F8" s="34" t="n">
        <v>0.0439244660576822</v>
      </c>
      <c r="G8" s="34" t="n">
        <v>0.005927302786353</v>
      </c>
      <c r="H8" s="34" t="n">
        <v>0.000165117962978561</v>
      </c>
      <c r="I8" s="34" t="n">
        <v>8.78579755389067E-005</v>
      </c>
      <c r="J8" s="34" t="n">
        <v>0.000154042969400387</v>
      </c>
      <c r="K8" s="34" t="n">
        <v>0.000205872292809355</v>
      </c>
      <c r="L8" s="34" t="n">
        <v>0.295130655475703</v>
      </c>
      <c r="M8" s="34" t="n">
        <v>0.00255051278609176</v>
      </c>
      <c r="N8" s="34" t="n">
        <v>0.0153125702836126</v>
      </c>
      <c r="O8" s="34" t="n">
        <v>0.00083791281347417</v>
      </c>
      <c r="P8" s="34" t="n">
        <v>0.0118010964994426</v>
      </c>
      <c r="Q8" s="34" t="n">
        <v>0.00676166182838137</v>
      </c>
      <c r="R8" s="34" t="n">
        <v>0.00470263345053235</v>
      </c>
      <c r="S8" s="34" t="n">
        <v>0.000153576491893009</v>
      </c>
      <c r="T8" s="34" t="n">
        <v>0.00433069583266562</v>
      </c>
      <c r="U8" s="34" t="n">
        <v>0.00274916947515254</v>
      </c>
      <c r="V8" s="34" t="n">
        <v>2.00201760902013E-005</v>
      </c>
      <c r="W8" s="34" t="n">
        <v>1.83559369263762E-006</v>
      </c>
      <c r="X8" s="34" t="n">
        <v>0.00332433147046666</v>
      </c>
      <c r="Y8" s="34" t="n">
        <v>0.000294960439017689</v>
      </c>
      <c r="Z8" s="34" t="n">
        <v>6.86814389169388E-005</v>
      </c>
      <c r="AA8" s="34" t="n">
        <v>9.93069808090057E-005</v>
      </c>
      <c r="AB8" s="34" t="n">
        <v>9.35895358216288E-005</v>
      </c>
      <c r="AC8" s="34" t="n">
        <v>0.000391246231563467</v>
      </c>
      <c r="AD8" s="34" t="n">
        <v>0.000707506449521437</v>
      </c>
      <c r="AE8" s="34" t="n">
        <v>0.000550866391281374</v>
      </c>
      <c r="AF8" s="34" t="n">
        <v>0.000655139152369482</v>
      </c>
      <c r="AG8" s="34" t="n">
        <v>2.58879114080581E-005</v>
      </c>
      <c r="AH8" s="34" t="n">
        <v>4.80885276433335E-006</v>
      </c>
      <c r="AI8" s="34" t="n">
        <v>9.8214090705166E-006</v>
      </c>
      <c r="AJ8" s="34" t="n">
        <v>1.03947532427419E-005</v>
      </c>
      <c r="AK8" s="34" t="n">
        <v>5.65246531270365E-006</v>
      </c>
      <c r="AL8" s="34" t="n">
        <v>8.00031700290275E-006</v>
      </c>
      <c r="AM8" s="34" t="n">
        <v>1.76353538877689E-005</v>
      </c>
      <c r="AN8" s="34" t="n">
        <v>9.32537243964616E-005</v>
      </c>
      <c r="AO8" s="34" t="n">
        <v>1.75392272203328E-006</v>
      </c>
      <c r="AP8" s="34" t="n">
        <v>2.14127932722193E-006</v>
      </c>
      <c r="AQ8" s="34" t="n">
        <v>7.9154275765935E-005</v>
      </c>
      <c r="AR8" s="34" t="n">
        <v>0.00130384339391281</v>
      </c>
      <c r="AS8" s="34" t="n">
        <v>1.82026710620361E-005</v>
      </c>
      <c r="AT8" s="34" t="n">
        <v>0.00034303257728472</v>
      </c>
      <c r="AU8" s="34" t="n">
        <v>2.37966214983233E-006</v>
      </c>
      <c r="AV8" s="34" t="n">
        <v>1.81246644173023E-006</v>
      </c>
      <c r="AW8" s="34" t="n">
        <v>6.67126506249183E-006</v>
      </c>
      <c r="AX8" s="34" t="n">
        <v>0.000157690035963049</v>
      </c>
      <c r="AY8" s="34" t="n">
        <v>0.0142252328727891</v>
      </c>
      <c r="AZ8" s="34" t="n">
        <v>0.0085150240884561</v>
      </c>
      <c r="BA8" s="34" t="n">
        <v>9.35070176249311E-006</v>
      </c>
      <c r="BB8" s="34" t="n">
        <v>2.28672857575518E-005</v>
      </c>
      <c r="BC8" s="34" t="n">
        <v>0.000408187548597316</v>
      </c>
      <c r="BD8" s="34" t="n">
        <v>2.33701854606744E-005</v>
      </c>
      <c r="BE8" s="34" t="n">
        <v>3.31896139969229E-005</v>
      </c>
      <c r="BF8" s="34" t="n">
        <v>5.49375307800314E-005</v>
      </c>
      <c r="BG8" s="34" t="n">
        <v>2.97510176627352E-005</v>
      </c>
      <c r="BH8" s="34" t="n">
        <v>0.000222807437214745</v>
      </c>
      <c r="BI8" s="34" t="n">
        <v>7.09185481560973E-005</v>
      </c>
      <c r="BJ8" s="34" t="n">
        <v>1.89076027963191E-005</v>
      </c>
      <c r="BK8" s="34" t="n">
        <v>0.00012171705869807</v>
      </c>
      <c r="BL8" s="34" t="n">
        <v>8.22646734035858E-006</v>
      </c>
      <c r="BM8" s="34" t="n">
        <v>0.000383418836479759</v>
      </c>
      <c r="BN8" s="34" t="n">
        <v>0.000346091166335804</v>
      </c>
      <c r="BO8" s="34" t="n">
        <v>0.000168610485395532</v>
      </c>
      <c r="BP8" s="34" t="n">
        <v>0.000626646714370567</v>
      </c>
      <c r="BQ8" s="34" t="n">
        <v>0.000325634042122306</v>
      </c>
      <c r="BR8" s="34" t="n">
        <v>8.05494553827874E-005</v>
      </c>
      <c r="BS8" s="34" t="n">
        <v>0.000267276413252066</v>
      </c>
      <c r="BT8" s="34" t="n">
        <v>0</v>
      </c>
    </row>
    <row r="9" customFormat="false" ht="11.25" hidden="false" customHeight="true" outlineLevel="0" collapsed="false">
      <c r="B9" s="19" t="s">
        <v>69</v>
      </c>
      <c r="C9" s="20" t="s">
        <v>70</v>
      </c>
      <c r="D9" s="19" t="n">
        <v>3</v>
      </c>
      <c r="E9" s="33" t="n">
        <v>0.00323429913008446</v>
      </c>
      <c r="F9" s="33" t="n">
        <v>0.00853968302756612</v>
      </c>
      <c r="G9" s="33" t="n">
        <v>0.0584145301895626</v>
      </c>
      <c r="H9" s="33" t="n">
        <v>7.76525874287916E-005</v>
      </c>
      <c r="I9" s="33" t="n">
        <v>6.74048547378533E-006</v>
      </c>
      <c r="J9" s="33" t="n">
        <v>1.11634260099641E-005</v>
      </c>
      <c r="K9" s="33" t="n">
        <v>1.46806669026706E-005</v>
      </c>
      <c r="L9" s="33" t="n">
        <v>0.00652250636610639</v>
      </c>
      <c r="M9" s="33" t="n">
        <v>9.17318721713693E-006</v>
      </c>
      <c r="N9" s="33" t="n">
        <v>0.000799756022028604</v>
      </c>
      <c r="O9" s="33" t="n">
        <v>0.000160954054983507</v>
      </c>
      <c r="P9" s="33" t="n">
        <v>0.000730053401666887</v>
      </c>
      <c r="Q9" s="33" t="n">
        <v>0.000590043600642028</v>
      </c>
      <c r="R9" s="33" t="n">
        <v>0.000153309688834031</v>
      </c>
      <c r="S9" s="33" t="n">
        <v>0.000150944317683773</v>
      </c>
      <c r="T9" s="33" t="n">
        <v>0.0518924053707434</v>
      </c>
      <c r="U9" s="33" t="n">
        <v>0.0322591093671655</v>
      </c>
      <c r="V9" s="33" t="n">
        <v>1.52755801113607E-006</v>
      </c>
      <c r="W9" s="33" t="n">
        <v>1.50159032660264E-007</v>
      </c>
      <c r="X9" s="33" t="n">
        <v>6.83921215464425E-005</v>
      </c>
      <c r="Y9" s="33" t="n">
        <v>0.00111040970279934</v>
      </c>
      <c r="Z9" s="33" t="n">
        <v>2.38900935526305E-005</v>
      </c>
      <c r="AA9" s="33" t="n">
        <v>1.45030912008384E-006</v>
      </c>
      <c r="AB9" s="33" t="n">
        <v>1.84336859209994E-006</v>
      </c>
      <c r="AC9" s="33" t="n">
        <v>0.00446519304620024</v>
      </c>
      <c r="AD9" s="33" t="n">
        <v>0.000783344341215065</v>
      </c>
      <c r="AE9" s="33" t="n">
        <v>0.00618133295830849</v>
      </c>
      <c r="AF9" s="33" t="n">
        <v>4.69406910131883E-005</v>
      </c>
      <c r="AG9" s="33" t="n">
        <v>5.60561064303777E-005</v>
      </c>
      <c r="AH9" s="33" t="n">
        <v>4.84424933475348E-007</v>
      </c>
      <c r="AI9" s="33" t="n">
        <v>9.04960997202032E-007</v>
      </c>
      <c r="AJ9" s="33" t="n">
        <v>1.12277042034883E-006</v>
      </c>
      <c r="AK9" s="33" t="n">
        <v>5.56534200529889E-007</v>
      </c>
      <c r="AL9" s="33" t="n">
        <v>7.81496269202119E-007</v>
      </c>
      <c r="AM9" s="33" t="n">
        <v>1.46298745363639E-006</v>
      </c>
      <c r="AN9" s="33" t="n">
        <v>3.46036807290735E-005</v>
      </c>
      <c r="AO9" s="33" t="n">
        <v>2.0472104622578E-007</v>
      </c>
      <c r="AP9" s="33" t="n">
        <v>3.58641940723775E-007</v>
      </c>
      <c r="AQ9" s="33" t="n">
        <v>5.63086978575448E-006</v>
      </c>
      <c r="AR9" s="33" t="n">
        <v>0.00130421727815084</v>
      </c>
      <c r="AS9" s="33" t="n">
        <v>1.92783859590736E-006</v>
      </c>
      <c r="AT9" s="33" t="n">
        <v>0.000168948877234353</v>
      </c>
      <c r="AU9" s="33" t="n">
        <v>3.08751362910024E-007</v>
      </c>
      <c r="AV9" s="33" t="n">
        <v>2.42845689295349E-007</v>
      </c>
      <c r="AW9" s="33" t="n">
        <v>5.62151577005592E-007</v>
      </c>
      <c r="AX9" s="33" t="n">
        <v>1.19477616826458E-005</v>
      </c>
      <c r="AY9" s="33" t="n">
        <v>0.00149221305800895</v>
      </c>
      <c r="AZ9" s="33" t="n">
        <v>0.00204040604860795</v>
      </c>
      <c r="BA9" s="33" t="n">
        <v>1.19788470952846E-006</v>
      </c>
      <c r="BB9" s="33" t="n">
        <v>2.39441983039874E-006</v>
      </c>
      <c r="BC9" s="33" t="n">
        <v>2.93165067352975E-005</v>
      </c>
      <c r="BD9" s="33" t="n">
        <v>2.18357913076474E-006</v>
      </c>
      <c r="BE9" s="33" t="n">
        <v>2.61441059935339E-006</v>
      </c>
      <c r="BF9" s="33" t="n">
        <v>4.10488426661048E-006</v>
      </c>
      <c r="BG9" s="33" t="n">
        <v>2.83275436988798E-006</v>
      </c>
      <c r="BH9" s="33" t="n">
        <v>5.39188994309912E-005</v>
      </c>
      <c r="BI9" s="33" t="n">
        <v>1.06765240953704E-006</v>
      </c>
      <c r="BJ9" s="33" t="n">
        <v>2.0639462943066E-006</v>
      </c>
      <c r="BK9" s="33" t="n">
        <v>8.49451082521657E-006</v>
      </c>
      <c r="BL9" s="33" t="n">
        <v>8.60731550279187E-007</v>
      </c>
      <c r="BM9" s="33" t="n">
        <v>0.000119917582825971</v>
      </c>
      <c r="BN9" s="33" t="n">
        <v>0.000198059915243145</v>
      </c>
      <c r="BO9" s="33" t="n">
        <v>7.58995346030651E-005</v>
      </c>
      <c r="BP9" s="33" t="n">
        <v>0.00038265428272397</v>
      </c>
      <c r="BQ9" s="33" t="n">
        <v>5.45359120605042E-005</v>
      </c>
      <c r="BR9" s="33" t="n">
        <v>8.45710761768497E-006</v>
      </c>
      <c r="BS9" s="33" t="n">
        <v>1.73260709445507E-005</v>
      </c>
      <c r="BT9" s="33" t="n">
        <v>0</v>
      </c>
    </row>
    <row r="10" customFormat="false" ht="11.25" hidden="false" customHeight="true" outlineLevel="0" collapsed="false">
      <c r="B10" s="24" t="s">
        <v>71</v>
      </c>
      <c r="C10" s="25" t="s">
        <v>72</v>
      </c>
      <c r="D10" s="24" t="n">
        <v>4</v>
      </c>
      <c r="E10" s="34" t="n">
        <v>0.000290861834006799</v>
      </c>
      <c r="F10" s="34" t="n">
        <v>0.00246912390048574</v>
      </c>
      <c r="G10" s="34" t="n">
        <v>0.000347784838849155</v>
      </c>
      <c r="H10" s="34" t="n">
        <v>0.0119134245527989</v>
      </c>
      <c r="I10" s="34" t="n">
        <v>0.00287478246625455</v>
      </c>
      <c r="J10" s="34" t="n">
        <v>6.2585455347075E-006</v>
      </c>
      <c r="K10" s="34" t="n">
        <v>0.000345138637399228</v>
      </c>
      <c r="L10" s="34" t="n">
        <v>0.000179493672252266</v>
      </c>
      <c r="M10" s="34" t="n">
        <v>0.000153982422936881</v>
      </c>
      <c r="N10" s="34" t="n">
        <v>0.000760757164939764</v>
      </c>
      <c r="O10" s="34" t="n">
        <v>0.000217878579955605</v>
      </c>
      <c r="P10" s="34" t="n">
        <v>8.48681867859952E-006</v>
      </c>
      <c r="Q10" s="34" t="n">
        <v>1.70409053009562E-005</v>
      </c>
      <c r="R10" s="34" t="n">
        <v>1.03399466433991E-005</v>
      </c>
      <c r="S10" s="34" t="n">
        <v>2.11197541028343E-005</v>
      </c>
      <c r="T10" s="34" t="n">
        <v>7.11330038742821E-006</v>
      </c>
      <c r="U10" s="34" t="n">
        <v>0.000117519795084597</v>
      </c>
      <c r="V10" s="34" t="n">
        <v>1.84692039111496E-005</v>
      </c>
      <c r="W10" s="34" t="n">
        <v>1.49795917603822E-005</v>
      </c>
      <c r="X10" s="34" t="n">
        <v>0.00269416471362849</v>
      </c>
      <c r="Y10" s="34" t="n">
        <v>0.0172888952098871</v>
      </c>
      <c r="Z10" s="34" t="n">
        <v>0.000732443387743836</v>
      </c>
      <c r="AA10" s="34" t="n">
        <v>0.000109814740858312</v>
      </c>
      <c r="AB10" s="34" t="n">
        <v>2.41140141902864E-005</v>
      </c>
      <c r="AC10" s="34" t="n">
        <v>4.84134465914126E-005</v>
      </c>
      <c r="AD10" s="34" t="n">
        <v>0.0539125929367694</v>
      </c>
      <c r="AE10" s="34" t="n">
        <v>0.00943535196864188</v>
      </c>
      <c r="AF10" s="34" t="n">
        <v>0.00481178512835397</v>
      </c>
      <c r="AG10" s="34" t="n">
        <v>6.22374383251895E-005</v>
      </c>
      <c r="AH10" s="34" t="n">
        <v>6.73614609605021E-006</v>
      </c>
      <c r="AI10" s="34" t="n">
        <v>0.000533039123952274</v>
      </c>
      <c r="AJ10" s="34" t="n">
        <v>4.81228928907929E-005</v>
      </c>
      <c r="AK10" s="34" t="n">
        <v>0.000102936025008354</v>
      </c>
      <c r="AL10" s="34" t="n">
        <v>0.000346340545552726</v>
      </c>
      <c r="AM10" s="34" t="n">
        <v>5.60604584877547E-005</v>
      </c>
      <c r="AN10" s="34" t="n">
        <v>0.000374548290697423</v>
      </c>
      <c r="AO10" s="34" t="n">
        <v>4.34632483792986E-005</v>
      </c>
      <c r="AP10" s="34" t="n">
        <v>0.000592433034766586</v>
      </c>
      <c r="AQ10" s="34" t="n">
        <v>0.00479019918375128</v>
      </c>
      <c r="AR10" s="34" t="n">
        <v>0.0101326758164083</v>
      </c>
      <c r="AS10" s="34" t="n">
        <v>2.44527965072925E-005</v>
      </c>
      <c r="AT10" s="34" t="n">
        <v>8.73192364972295E-005</v>
      </c>
      <c r="AU10" s="34" t="n">
        <v>2.1695768177647E-006</v>
      </c>
      <c r="AV10" s="34" t="n">
        <v>3.11914203777149E-006</v>
      </c>
      <c r="AW10" s="34" t="n">
        <v>1.76558439804996E-006</v>
      </c>
      <c r="AX10" s="34" t="n">
        <v>3.91243465562923E-005</v>
      </c>
      <c r="AY10" s="34" t="n">
        <v>9.63075221815726E-005</v>
      </c>
      <c r="AZ10" s="34" t="n">
        <v>5.2558834399125E-005</v>
      </c>
      <c r="BA10" s="34" t="n">
        <v>1.68706462279197E-005</v>
      </c>
      <c r="BB10" s="34" t="n">
        <v>1.36226282423883E-005</v>
      </c>
      <c r="BC10" s="34" t="n">
        <v>1.60017342071905E-005</v>
      </c>
      <c r="BD10" s="34" t="n">
        <v>8.62604547505497E-006</v>
      </c>
      <c r="BE10" s="34" t="n">
        <v>4.8427719807971E-006</v>
      </c>
      <c r="BF10" s="34" t="n">
        <v>0.000498755426808162</v>
      </c>
      <c r="BG10" s="34" t="n">
        <v>1.57367778204549E-005</v>
      </c>
      <c r="BH10" s="34" t="n">
        <v>2.57395594656333E-005</v>
      </c>
      <c r="BI10" s="34" t="n">
        <v>8.28564618068295E-006</v>
      </c>
      <c r="BJ10" s="34" t="n">
        <v>1.27405848398437E-005</v>
      </c>
      <c r="BK10" s="34" t="n">
        <v>1.26719046398733E-005</v>
      </c>
      <c r="BL10" s="34" t="n">
        <v>5.04888284528138E-006</v>
      </c>
      <c r="BM10" s="34" t="n">
        <v>8.34789081374368E-005</v>
      </c>
      <c r="BN10" s="34" t="n">
        <v>4.60952426345884E-005</v>
      </c>
      <c r="BO10" s="34" t="n">
        <v>2.53116863350728E-005</v>
      </c>
      <c r="BP10" s="34" t="n">
        <v>4.66953284234207E-005</v>
      </c>
      <c r="BQ10" s="34" t="n">
        <v>1.48090834361088E-005</v>
      </c>
      <c r="BR10" s="34" t="n">
        <v>6.10328378177937E-005</v>
      </c>
      <c r="BS10" s="34" t="n">
        <v>2.67731114843402E-005</v>
      </c>
      <c r="BT10" s="34" t="n">
        <v>0</v>
      </c>
    </row>
    <row r="11" customFormat="false" ht="11.25" hidden="false" customHeight="true" outlineLevel="0" collapsed="false">
      <c r="B11" s="19" t="s">
        <v>73</v>
      </c>
      <c r="C11" s="20" t="s">
        <v>74</v>
      </c>
      <c r="D11" s="19" t="n">
        <v>5</v>
      </c>
      <c r="E11" s="33" t="n">
        <v>4.63372793886623E-005</v>
      </c>
      <c r="F11" s="33" t="n">
        <v>8.28782068356691E-005</v>
      </c>
      <c r="G11" s="33" t="n">
        <v>2.28275391163062E-005</v>
      </c>
      <c r="H11" s="33" t="n">
        <v>0.000130306384111899</v>
      </c>
      <c r="I11" s="33" t="n">
        <v>0.0298837490818525</v>
      </c>
      <c r="J11" s="33" t="n">
        <v>0.00506178394779922</v>
      </c>
      <c r="K11" s="33" t="n">
        <v>0.00274179038785895</v>
      </c>
      <c r="L11" s="33" t="n">
        <v>0.000125021296058172</v>
      </c>
      <c r="M11" s="33" t="n">
        <v>7.38046076934314E-006</v>
      </c>
      <c r="N11" s="33" t="n">
        <v>0.00117435017651121</v>
      </c>
      <c r="O11" s="33" t="n">
        <v>0.000894225027459543</v>
      </c>
      <c r="P11" s="33" t="n">
        <v>8.99752958862559E-006</v>
      </c>
      <c r="Q11" s="33" t="n">
        <v>0.0011785302265537</v>
      </c>
      <c r="R11" s="33" t="n">
        <v>1.57177306973815E-005</v>
      </c>
      <c r="S11" s="33" t="n">
        <v>3.19154779490266E-005</v>
      </c>
      <c r="T11" s="33" t="n">
        <v>0.000803670517288646</v>
      </c>
      <c r="U11" s="33" t="n">
        <v>0.0035681680543213</v>
      </c>
      <c r="V11" s="33" t="n">
        <v>6.46344785149829E-006</v>
      </c>
      <c r="W11" s="33" t="n">
        <v>0.233947282613196</v>
      </c>
      <c r="X11" s="33" t="n">
        <v>6.51235293828391E-006</v>
      </c>
      <c r="Y11" s="33" t="n">
        <v>0.00530422229234093</v>
      </c>
      <c r="Z11" s="33" t="n">
        <v>0.000496730187404177</v>
      </c>
      <c r="AA11" s="33" t="n">
        <v>0.000312775667472294</v>
      </c>
      <c r="AB11" s="33" t="n">
        <v>0.000250571237677672</v>
      </c>
      <c r="AC11" s="33" t="n">
        <v>0.000436331890553104</v>
      </c>
      <c r="AD11" s="33" t="n">
        <v>0.00350411539261799</v>
      </c>
      <c r="AE11" s="33" t="n">
        <v>0.00149860189635901</v>
      </c>
      <c r="AF11" s="33" t="n">
        <v>0.00224853026541663</v>
      </c>
      <c r="AG11" s="33" t="n">
        <v>0.00174217695105994</v>
      </c>
      <c r="AH11" s="33" t="n">
        <v>4.47616727273128E-006</v>
      </c>
      <c r="AI11" s="33" t="n">
        <v>0.00021777373163457</v>
      </c>
      <c r="AJ11" s="33" t="n">
        <v>8.41578469465602E-005</v>
      </c>
      <c r="AK11" s="33" t="n">
        <v>0.000186778143340966</v>
      </c>
      <c r="AL11" s="33" t="n">
        <v>0.000761327680502946</v>
      </c>
      <c r="AM11" s="33" t="n">
        <v>7.9635343149931E-006</v>
      </c>
      <c r="AN11" s="33" t="n">
        <v>1.78672949504728E-005</v>
      </c>
      <c r="AO11" s="33" t="n">
        <v>3.61144014530605E-005</v>
      </c>
      <c r="AP11" s="33" t="n">
        <v>0.0256721889604299</v>
      </c>
      <c r="AQ11" s="33" t="n">
        <v>0.0132315832527523</v>
      </c>
      <c r="AR11" s="33" t="n">
        <v>0.00220164978677614</v>
      </c>
      <c r="AS11" s="33" t="n">
        <v>5.20019749030891E-005</v>
      </c>
      <c r="AT11" s="33" t="n">
        <v>0.000133276931104208</v>
      </c>
      <c r="AU11" s="33" t="n">
        <v>0.000272214877001618</v>
      </c>
      <c r="AV11" s="33" t="n">
        <v>3.93737743503591E-005</v>
      </c>
      <c r="AW11" s="33" t="n">
        <v>6.85462178066457E-006</v>
      </c>
      <c r="AX11" s="33" t="n">
        <v>0.000645839929043811</v>
      </c>
      <c r="AY11" s="33" t="n">
        <v>0.00011233300582161</v>
      </c>
      <c r="AZ11" s="33" t="n">
        <v>0.000163447657440544</v>
      </c>
      <c r="BA11" s="33" t="n">
        <v>2.51102831782651E-005</v>
      </c>
      <c r="BB11" s="33" t="n">
        <v>2.91707287786804E-005</v>
      </c>
      <c r="BC11" s="33" t="n">
        <v>0.000891457085206074</v>
      </c>
      <c r="BD11" s="33" t="n">
        <v>2.86322580590552E-005</v>
      </c>
      <c r="BE11" s="33" t="n">
        <v>1.86204854564626E-005</v>
      </c>
      <c r="BF11" s="33" t="n">
        <v>7.93384120335951E-006</v>
      </c>
      <c r="BG11" s="33" t="n">
        <v>5.72693599613512E-005</v>
      </c>
      <c r="BH11" s="33" t="n">
        <v>0.000901920131873718</v>
      </c>
      <c r="BI11" s="33" t="n">
        <v>3.04784780575076E-005</v>
      </c>
      <c r="BJ11" s="33" t="n">
        <v>9.68977469700006E-005</v>
      </c>
      <c r="BK11" s="33" t="n">
        <v>3.22310679320787E-005</v>
      </c>
      <c r="BL11" s="33" t="n">
        <v>1.70317889651218E-005</v>
      </c>
      <c r="BM11" s="33" t="n">
        <v>0.00269729836066825</v>
      </c>
      <c r="BN11" s="33" t="n">
        <v>6.44519325597209E-005</v>
      </c>
      <c r="BO11" s="33" t="n">
        <v>9.48988632274379E-005</v>
      </c>
      <c r="BP11" s="33" t="n">
        <v>6.90707836220104E-006</v>
      </c>
      <c r="BQ11" s="33" t="n">
        <v>2.24673264825223E-005</v>
      </c>
      <c r="BR11" s="33" t="n">
        <v>0.000235857800667855</v>
      </c>
      <c r="BS11" s="33" t="n">
        <v>0.000200745912389977</v>
      </c>
      <c r="BT11" s="33" t="n">
        <v>0</v>
      </c>
    </row>
    <row r="12" customFormat="false" ht="11.25" hidden="false" customHeight="true" outlineLevel="0" collapsed="false">
      <c r="B12" s="24" t="s">
        <v>75</v>
      </c>
      <c r="C12" s="25" t="s">
        <v>76</v>
      </c>
      <c r="D12" s="24" t="n">
        <v>6</v>
      </c>
      <c r="E12" s="34" t="n">
        <v>1.14371661071668E-006</v>
      </c>
      <c r="F12" s="34" t="n">
        <v>6.22449613797455E-006</v>
      </c>
      <c r="G12" s="34" t="n">
        <v>2.37186400081664E-006</v>
      </c>
      <c r="H12" s="34" t="n">
        <v>1.55371720098272E-005</v>
      </c>
      <c r="I12" s="34" t="n">
        <v>0.000237028600318123</v>
      </c>
      <c r="J12" s="34" t="n">
        <v>0.0245160733904758</v>
      </c>
      <c r="K12" s="34" t="n">
        <v>0.00418476647584051</v>
      </c>
      <c r="L12" s="34" t="n">
        <v>2.03334080879331E-006</v>
      </c>
      <c r="M12" s="34" t="n">
        <v>7.77186617168636E-007</v>
      </c>
      <c r="N12" s="34" t="n">
        <v>2.36848245467097E-006</v>
      </c>
      <c r="O12" s="34" t="n">
        <v>2.51437230687435E-006</v>
      </c>
      <c r="P12" s="34" t="n">
        <v>3.07892035560876E-006</v>
      </c>
      <c r="Q12" s="34" t="n">
        <v>2.84236986585544E-006</v>
      </c>
      <c r="R12" s="34" t="n">
        <v>7.22375449000909E-007</v>
      </c>
      <c r="S12" s="34" t="n">
        <v>1.28035492644197E-006</v>
      </c>
      <c r="T12" s="34" t="n">
        <v>1.94215547318583E-005</v>
      </c>
      <c r="U12" s="34" t="n">
        <v>4.58783346290647E-006</v>
      </c>
      <c r="V12" s="34" t="n">
        <v>2.14101834683892E-005</v>
      </c>
      <c r="W12" s="34" t="n">
        <v>4.32649156783924E-007</v>
      </c>
      <c r="X12" s="34" t="n">
        <v>7.40040106623172E-008</v>
      </c>
      <c r="Y12" s="34" t="n">
        <v>1.39330867217626E-006</v>
      </c>
      <c r="Z12" s="34" t="n">
        <v>3.07845719887383E-006</v>
      </c>
      <c r="AA12" s="34" t="n">
        <v>2.81907680577652E-006</v>
      </c>
      <c r="AB12" s="34" t="n">
        <v>7.24593318328591E-006</v>
      </c>
      <c r="AC12" s="34" t="n">
        <v>5.99298824870845E-006</v>
      </c>
      <c r="AD12" s="34" t="n">
        <v>0.00240708662557967</v>
      </c>
      <c r="AE12" s="34" t="n">
        <v>0.23271842674981</v>
      </c>
      <c r="AF12" s="34" t="n">
        <v>0.00122787836918978</v>
      </c>
      <c r="AG12" s="34" t="n">
        <v>3.54147410043237E-005</v>
      </c>
      <c r="AH12" s="34" t="n">
        <v>6.53766366432465E-006</v>
      </c>
      <c r="AI12" s="34" t="n">
        <v>0.000138523345777431</v>
      </c>
      <c r="AJ12" s="34" t="n">
        <v>0.000864517370674508</v>
      </c>
      <c r="AK12" s="34" t="n">
        <v>5.86183269183558E-005</v>
      </c>
      <c r="AL12" s="34" t="n">
        <v>4.18049158803618E-005</v>
      </c>
      <c r="AM12" s="34" t="n">
        <v>9.59405294790917E-005</v>
      </c>
      <c r="AN12" s="34" t="n">
        <v>3.45282402606575E-005</v>
      </c>
      <c r="AO12" s="34" t="n">
        <v>0.000806214493034327</v>
      </c>
      <c r="AP12" s="34" t="n">
        <v>1.03951865114203E-006</v>
      </c>
      <c r="AQ12" s="34" t="n">
        <v>0.0002318996515618</v>
      </c>
      <c r="AR12" s="34" t="n">
        <v>0.000329170428108373</v>
      </c>
      <c r="AS12" s="34" t="n">
        <v>1.32619494314982E-005</v>
      </c>
      <c r="AT12" s="34" t="n">
        <v>4.68902890321337E-006</v>
      </c>
      <c r="AU12" s="34" t="n">
        <v>3.49989263424404E-006</v>
      </c>
      <c r="AV12" s="34" t="n">
        <v>5.52618137309567E-005</v>
      </c>
      <c r="AW12" s="34" t="n">
        <v>7.78934293257337E-008</v>
      </c>
      <c r="AX12" s="34" t="n">
        <v>6.05730870194603E-005</v>
      </c>
      <c r="AY12" s="34" t="n">
        <v>1.15777914933914E-005</v>
      </c>
      <c r="AZ12" s="34" t="n">
        <v>1.13324084899129E-005</v>
      </c>
      <c r="BA12" s="34" t="n">
        <v>5.86916081216688E-007</v>
      </c>
      <c r="BB12" s="34" t="n">
        <v>3.20235295416179E-007</v>
      </c>
      <c r="BC12" s="34" t="n">
        <v>0.000123643241488642</v>
      </c>
      <c r="BD12" s="34" t="n">
        <v>1.86927964108688E-006</v>
      </c>
      <c r="BE12" s="34" t="n">
        <v>7.3982004305945E-006</v>
      </c>
      <c r="BF12" s="34" t="n">
        <v>1.21305372489912E-005</v>
      </c>
      <c r="BG12" s="34" t="n">
        <v>6.30001689310076E-006</v>
      </c>
      <c r="BH12" s="34" t="n">
        <v>0.000152282353251479</v>
      </c>
      <c r="BI12" s="34" t="n">
        <v>7.18164655342373E-007</v>
      </c>
      <c r="BJ12" s="34" t="n">
        <v>1.98529797783916E-006</v>
      </c>
      <c r="BK12" s="34" t="n">
        <v>6.36437456784797E-005</v>
      </c>
      <c r="BL12" s="34" t="n">
        <v>1.45903795851363E-006</v>
      </c>
      <c r="BM12" s="34" t="n">
        <v>5.96910235986095E-005</v>
      </c>
      <c r="BN12" s="34" t="n">
        <v>5.91164152568043E-006</v>
      </c>
      <c r="BO12" s="34" t="n">
        <v>1.09611185613628E-006</v>
      </c>
      <c r="BP12" s="34" t="n">
        <v>6.5897274809576E-005</v>
      </c>
      <c r="BQ12" s="34" t="n">
        <v>3.02096565152424E-007</v>
      </c>
      <c r="BR12" s="34" t="n">
        <v>1.75611088436584E-005</v>
      </c>
      <c r="BS12" s="34" t="n">
        <v>3.13069242475878E-006</v>
      </c>
      <c r="BT12" s="34" t="n">
        <v>0</v>
      </c>
    </row>
    <row r="13" customFormat="false" ht="11.25" hidden="false" customHeight="true" outlineLevel="0" collapsed="false">
      <c r="B13" s="19" t="s">
        <v>77</v>
      </c>
      <c r="C13" s="20" t="s">
        <v>78</v>
      </c>
      <c r="D13" s="19" t="n">
        <v>7</v>
      </c>
      <c r="E13" s="33" t="n">
        <v>8.26110657770316E-006</v>
      </c>
      <c r="F13" s="33" t="n">
        <v>1.23545547655762E-005</v>
      </c>
      <c r="G13" s="33" t="n">
        <v>1.96556123263368E-006</v>
      </c>
      <c r="H13" s="33" t="n">
        <v>6.9420941869717E-006</v>
      </c>
      <c r="I13" s="33" t="n">
        <v>0.000325624356686822</v>
      </c>
      <c r="J13" s="33" t="n">
        <v>0.000116631369794115</v>
      </c>
      <c r="K13" s="33" t="n">
        <v>0.0681880006026278</v>
      </c>
      <c r="L13" s="33" t="n">
        <v>2.30489912234775E-005</v>
      </c>
      <c r="M13" s="33" t="n">
        <v>2.48485709460137E-006</v>
      </c>
      <c r="N13" s="33" t="n">
        <v>4.17664911115452E-005</v>
      </c>
      <c r="O13" s="33" t="n">
        <v>2.31095769538586E-005</v>
      </c>
      <c r="P13" s="33" t="n">
        <v>2.11132325888295E-007</v>
      </c>
      <c r="Q13" s="33" t="n">
        <v>4.26957933854474E-007</v>
      </c>
      <c r="R13" s="33" t="n">
        <v>3.80036206212238E-008</v>
      </c>
      <c r="S13" s="33" t="n">
        <v>6.02628049703862E-007</v>
      </c>
      <c r="T13" s="33" t="n">
        <v>5.73000721694409E-008</v>
      </c>
      <c r="U13" s="33" t="n">
        <v>5.972148897603E-005</v>
      </c>
      <c r="V13" s="33" t="n">
        <v>0.000294678031339951</v>
      </c>
      <c r="W13" s="33" t="n">
        <v>0</v>
      </c>
      <c r="X13" s="33" t="n">
        <v>1.0499425565725E-006</v>
      </c>
      <c r="Y13" s="33" t="n">
        <v>3.15270273792408E-005</v>
      </c>
      <c r="Z13" s="33" t="n">
        <v>4.85541177587206E-005</v>
      </c>
      <c r="AA13" s="33" t="n">
        <v>9.65536400355347E-006</v>
      </c>
      <c r="AB13" s="33" t="n">
        <v>4.34336580670913E-006</v>
      </c>
      <c r="AC13" s="33" t="n">
        <v>1.81101234089568E-005</v>
      </c>
      <c r="AD13" s="33" t="n">
        <v>0.000604686336828481</v>
      </c>
      <c r="AE13" s="33" t="n">
        <v>0.0113750872612423</v>
      </c>
      <c r="AF13" s="33" t="n">
        <v>0.0963458063555951</v>
      </c>
      <c r="AG13" s="33" t="n">
        <v>0.000545701983606034</v>
      </c>
      <c r="AH13" s="33" t="n">
        <v>3.15262757614767E-005</v>
      </c>
      <c r="AI13" s="33" t="n">
        <v>0.00179362230958746</v>
      </c>
      <c r="AJ13" s="33" t="n">
        <v>0.000151234573810342</v>
      </c>
      <c r="AK13" s="33" t="n">
        <v>7.87816203871402E-005</v>
      </c>
      <c r="AL13" s="33" t="n">
        <v>0.000730795674411621</v>
      </c>
      <c r="AM13" s="33" t="n">
        <v>0.000445423837799014</v>
      </c>
      <c r="AN13" s="33" t="n">
        <v>0.000613839575600146</v>
      </c>
      <c r="AO13" s="33" t="n">
        <v>0.000109008884153122</v>
      </c>
      <c r="AP13" s="33" t="n">
        <v>3.03947230761077E-006</v>
      </c>
      <c r="AQ13" s="33" t="n">
        <v>3.45857394052525E-005</v>
      </c>
      <c r="AR13" s="33" t="n">
        <v>0.000149364445469814</v>
      </c>
      <c r="AS13" s="33" t="n">
        <v>1.18501192575734E-006</v>
      </c>
      <c r="AT13" s="33" t="n">
        <v>5.84204788532904E-007</v>
      </c>
      <c r="AU13" s="33" t="n">
        <v>7.01147370963058E-007</v>
      </c>
      <c r="AV13" s="33" t="n">
        <v>0</v>
      </c>
      <c r="AW13" s="33" t="n">
        <v>0</v>
      </c>
      <c r="AX13" s="33" t="n">
        <v>9.45420646838596E-009</v>
      </c>
      <c r="AY13" s="33" t="n">
        <v>6.76423984297418E-006</v>
      </c>
      <c r="AZ13" s="33" t="n">
        <v>2.5851402479158E-006</v>
      </c>
      <c r="BA13" s="33" t="n">
        <v>2.1076804899278E-008</v>
      </c>
      <c r="BB13" s="33" t="n">
        <v>0</v>
      </c>
      <c r="BC13" s="33" t="n">
        <v>5.27572195716043E-008</v>
      </c>
      <c r="BD13" s="33" t="n">
        <v>1.07903782671768E-007</v>
      </c>
      <c r="BE13" s="33" t="n">
        <v>1.48643613021518E-009</v>
      </c>
      <c r="BF13" s="33" t="n">
        <v>4.59243457930893E-006</v>
      </c>
      <c r="BG13" s="33" t="n">
        <v>0</v>
      </c>
      <c r="BH13" s="33" t="n">
        <v>1.20118536548019E-005</v>
      </c>
      <c r="BI13" s="33" t="n">
        <v>3.00317779336171E-009</v>
      </c>
      <c r="BJ13" s="33" t="n">
        <v>8.63180348622337E-008</v>
      </c>
      <c r="BK13" s="33" t="n">
        <v>3.20024859183427E-007</v>
      </c>
      <c r="BL13" s="33" t="n">
        <v>0</v>
      </c>
      <c r="BM13" s="33" t="n">
        <v>7.32129593383058E-007</v>
      </c>
      <c r="BN13" s="33" t="n">
        <v>5.34117196659202E-007</v>
      </c>
      <c r="BO13" s="33" t="n">
        <v>1.23814562696678E-009</v>
      </c>
      <c r="BP13" s="33" t="n">
        <v>1.1049086312797E-006</v>
      </c>
      <c r="BQ13" s="33" t="n">
        <v>4.98445521312086E-007</v>
      </c>
      <c r="BR13" s="33" t="n">
        <v>1.39662799751986E-008</v>
      </c>
      <c r="BS13" s="33" t="n">
        <v>6.86066419099361E-007</v>
      </c>
      <c r="BT13" s="33" t="n">
        <v>0</v>
      </c>
    </row>
    <row r="14" customFormat="false" ht="11.25" hidden="false" customHeight="true" outlineLevel="0" collapsed="false">
      <c r="B14" s="24" t="s">
        <v>79</v>
      </c>
      <c r="C14" s="25" t="s">
        <v>80</v>
      </c>
      <c r="D14" s="24" t="n">
        <v>8</v>
      </c>
      <c r="E14" s="34" t="n">
        <v>0.000150505693322253</v>
      </c>
      <c r="F14" s="34" t="n">
        <v>0.0155504483875068</v>
      </c>
      <c r="G14" s="34" t="n">
        <v>0.00111584112169634</v>
      </c>
      <c r="H14" s="34" t="n">
        <v>0.000483633695437305</v>
      </c>
      <c r="I14" s="34" t="n">
        <v>3.92056021951448E-005</v>
      </c>
      <c r="J14" s="34" t="n">
        <v>6.6926351716294E-005</v>
      </c>
      <c r="K14" s="34" t="n">
        <v>0.000154341403475731</v>
      </c>
      <c r="L14" s="34" t="n">
        <v>0.0903305654435044</v>
      </c>
      <c r="M14" s="34" t="n">
        <v>0.000223536407484687</v>
      </c>
      <c r="N14" s="34" t="n">
        <v>0.0097202196864412</v>
      </c>
      <c r="O14" s="34" t="n">
        <v>0.000419565198889732</v>
      </c>
      <c r="P14" s="34" t="n">
        <v>0.000459141050090964</v>
      </c>
      <c r="Q14" s="34" t="n">
        <v>0.000424517001132721</v>
      </c>
      <c r="R14" s="34" t="n">
        <v>0.000398183034221635</v>
      </c>
      <c r="S14" s="34" t="n">
        <v>0.034402186462942</v>
      </c>
      <c r="T14" s="34" t="n">
        <v>0.00168471870910413</v>
      </c>
      <c r="U14" s="34" t="n">
        <v>0.0008336136408861</v>
      </c>
      <c r="V14" s="34" t="n">
        <v>0.000142997119890537</v>
      </c>
      <c r="W14" s="34" t="n">
        <v>5.48434716658874E-005</v>
      </c>
      <c r="X14" s="34" t="n">
        <v>0.0170410843526816</v>
      </c>
      <c r="Y14" s="34" t="n">
        <v>0.000355165986749193</v>
      </c>
      <c r="Z14" s="34" t="n">
        <v>0.000918045198482998</v>
      </c>
      <c r="AA14" s="34" t="n">
        <v>0.0388330108197738</v>
      </c>
      <c r="AB14" s="34" t="n">
        <v>0.000752837464272851</v>
      </c>
      <c r="AC14" s="34" t="n">
        <v>0.000532161908757455</v>
      </c>
      <c r="AD14" s="34" t="n">
        <v>0.000496385248537318</v>
      </c>
      <c r="AE14" s="34" t="n">
        <v>0.000413739029180465</v>
      </c>
      <c r="AF14" s="34" t="n">
        <v>0.000242021214082751</v>
      </c>
      <c r="AG14" s="34" t="n">
        <v>0.00112592268977241</v>
      </c>
      <c r="AH14" s="34" t="n">
        <v>0.000251084349290386</v>
      </c>
      <c r="AI14" s="34" t="n">
        <v>0.000476417815139123</v>
      </c>
      <c r="AJ14" s="34" t="n">
        <v>0.000727848445121827</v>
      </c>
      <c r="AK14" s="34" t="n">
        <v>4.11958785047021E-005</v>
      </c>
      <c r="AL14" s="34" t="n">
        <v>2.68261678100152E-005</v>
      </c>
      <c r="AM14" s="34" t="n">
        <v>0.000151462429408567</v>
      </c>
      <c r="AN14" s="34" t="n">
        <v>0.00112054510858724</v>
      </c>
      <c r="AO14" s="34" t="n">
        <v>4.92430711897304E-005</v>
      </c>
      <c r="AP14" s="34" t="n">
        <v>1.21094179225128E-005</v>
      </c>
      <c r="AQ14" s="34" t="n">
        <v>2.34888151938552E-005</v>
      </c>
      <c r="AR14" s="34" t="n">
        <v>0.000114510879127856</v>
      </c>
      <c r="AS14" s="34" t="n">
        <v>9.29378741287887E-006</v>
      </c>
      <c r="AT14" s="34" t="n">
        <v>0.000615090782131633</v>
      </c>
      <c r="AU14" s="34" t="n">
        <v>1.5100400432534E-006</v>
      </c>
      <c r="AV14" s="34" t="n">
        <v>3.13592614545644E-006</v>
      </c>
      <c r="AW14" s="34" t="n">
        <v>1.2362581776544E-006</v>
      </c>
      <c r="AX14" s="34" t="n">
        <v>1.71252995439786E-005</v>
      </c>
      <c r="AY14" s="34" t="n">
        <v>0.0204286574575527</v>
      </c>
      <c r="AZ14" s="34" t="n">
        <v>0.081075113214492</v>
      </c>
      <c r="BA14" s="34" t="n">
        <v>0.000651857115701274</v>
      </c>
      <c r="BB14" s="34" t="n">
        <v>0.000427705683975689</v>
      </c>
      <c r="BC14" s="34" t="n">
        <v>0.000529934268462514</v>
      </c>
      <c r="BD14" s="34" t="n">
        <v>8.74204294844314E-005</v>
      </c>
      <c r="BE14" s="34" t="n">
        <v>5.8564523755824E-006</v>
      </c>
      <c r="BF14" s="34" t="n">
        <v>8.52871948007654E-006</v>
      </c>
      <c r="BG14" s="34" t="n">
        <v>6.72690170108003E-005</v>
      </c>
      <c r="BH14" s="34" t="n">
        <v>8.88374745896443E-005</v>
      </c>
      <c r="BI14" s="34" t="n">
        <v>8.25770761315573E-005</v>
      </c>
      <c r="BJ14" s="34" t="n">
        <v>9.44154132897914E-006</v>
      </c>
      <c r="BK14" s="34" t="n">
        <v>6.75448161383264E-005</v>
      </c>
      <c r="BL14" s="34" t="n">
        <v>4.41983249340498E-005</v>
      </c>
      <c r="BM14" s="34" t="n">
        <v>0.00315414841130187</v>
      </c>
      <c r="BN14" s="34" t="n">
        <v>0.00404637148149007</v>
      </c>
      <c r="BO14" s="34" t="n">
        <v>0.00210741199149071</v>
      </c>
      <c r="BP14" s="34" t="n">
        <v>0.00833717185255205</v>
      </c>
      <c r="BQ14" s="34" t="n">
        <v>0.00240813742423079</v>
      </c>
      <c r="BR14" s="34" t="n">
        <v>0.000185763381138198</v>
      </c>
      <c r="BS14" s="34" t="n">
        <v>0.00165899402468009</v>
      </c>
      <c r="BT14" s="34" t="n">
        <v>0</v>
      </c>
    </row>
    <row r="15" customFormat="false" ht="11.25" hidden="false" customHeight="true" outlineLevel="0" collapsed="false">
      <c r="B15" s="19" t="s">
        <v>81</v>
      </c>
      <c r="C15" s="20" t="s">
        <v>82</v>
      </c>
      <c r="D15" s="19" t="n">
        <v>9</v>
      </c>
      <c r="E15" s="33" t="n">
        <v>9.42364208806438E-005</v>
      </c>
      <c r="F15" s="33" t="n">
        <v>0.000568917892246061</v>
      </c>
      <c r="G15" s="33" t="n">
        <v>4.71953015105817E-005</v>
      </c>
      <c r="H15" s="33" t="n">
        <v>6.17107327918819E-005</v>
      </c>
      <c r="I15" s="33" t="n">
        <v>0.00128337407684521</v>
      </c>
      <c r="J15" s="33" t="n">
        <v>0.00011164288667298</v>
      </c>
      <c r="K15" s="33" t="n">
        <v>0.000166512558746708</v>
      </c>
      <c r="L15" s="33" t="n">
        <v>0.00140239344386512</v>
      </c>
      <c r="M15" s="33" t="n">
        <v>0.0200057537958298</v>
      </c>
      <c r="N15" s="33" t="n">
        <v>0.0128829315517981</v>
      </c>
      <c r="O15" s="33" t="n">
        <v>0.0121606668314908</v>
      </c>
      <c r="P15" s="33" t="n">
        <v>0.000118666259092689</v>
      </c>
      <c r="Q15" s="33" t="n">
        <v>0.00010604390874625</v>
      </c>
      <c r="R15" s="33" t="n">
        <v>0.000107563926015829</v>
      </c>
      <c r="S15" s="33" t="n">
        <v>0.0001811055367717</v>
      </c>
      <c r="T15" s="33" t="n">
        <v>0.000636113540442945</v>
      </c>
      <c r="U15" s="33" t="n">
        <v>0.000209020219367134</v>
      </c>
      <c r="V15" s="33" t="n">
        <v>2.66317086948899E-005</v>
      </c>
      <c r="W15" s="33" t="n">
        <v>0.0200218542693598</v>
      </c>
      <c r="X15" s="33" t="n">
        <v>0.0117139374825399</v>
      </c>
      <c r="Y15" s="33" t="n">
        <v>0.000674092355477084</v>
      </c>
      <c r="Z15" s="33" t="n">
        <v>0.00511996067032718</v>
      </c>
      <c r="AA15" s="33" t="n">
        <v>0.0103230437172178</v>
      </c>
      <c r="AB15" s="33" t="n">
        <v>0.00415348228259127</v>
      </c>
      <c r="AC15" s="33" t="n">
        <v>0.000124098853917851</v>
      </c>
      <c r="AD15" s="33" t="n">
        <v>0.000126510834057317</v>
      </c>
      <c r="AE15" s="33" t="n">
        <v>0.000104275493764773</v>
      </c>
      <c r="AF15" s="33" t="n">
        <v>6.23983043254391E-005</v>
      </c>
      <c r="AG15" s="33" t="n">
        <v>0.000252819081010503</v>
      </c>
      <c r="AH15" s="33" t="n">
        <v>6.72465313178975E-005</v>
      </c>
      <c r="AI15" s="33" t="n">
        <v>0.000145171582746928</v>
      </c>
      <c r="AJ15" s="33" t="n">
        <v>0.000494706357665026</v>
      </c>
      <c r="AK15" s="33" t="n">
        <v>5.92193788118865E-005</v>
      </c>
      <c r="AL15" s="33" t="n">
        <v>1.55235847130992E-005</v>
      </c>
      <c r="AM15" s="33" t="n">
        <v>6.39260008933824E-005</v>
      </c>
      <c r="AN15" s="33" t="n">
        <v>9.72297775093512E-005</v>
      </c>
      <c r="AO15" s="33" t="n">
        <v>0.000311223752018422</v>
      </c>
      <c r="AP15" s="33" t="n">
        <v>1.34641694927026E-005</v>
      </c>
      <c r="AQ15" s="33" t="n">
        <v>0.000196759309933823</v>
      </c>
      <c r="AR15" s="33" t="n">
        <v>0.000297547841697224</v>
      </c>
      <c r="AS15" s="33" t="n">
        <v>0.000954794149685376</v>
      </c>
      <c r="AT15" s="33" t="n">
        <v>0.000333920819975356</v>
      </c>
      <c r="AU15" s="33" t="n">
        <v>0.000895863651854281</v>
      </c>
      <c r="AV15" s="33" t="n">
        <v>0.000167758103779173</v>
      </c>
      <c r="AW15" s="33" t="n">
        <v>0.000350102884809917</v>
      </c>
      <c r="AX15" s="33" t="n">
        <v>0.000201894419396999</v>
      </c>
      <c r="AY15" s="33" t="n">
        <v>0.000383620236152386</v>
      </c>
      <c r="AZ15" s="33" t="n">
        <v>0.0037763354883347</v>
      </c>
      <c r="BA15" s="33" t="n">
        <v>0.000334870786654324</v>
      </c>
      <c r="BB15" s="33" t="n">
        <v>0.000244425174577861</v>
      </c>
      <c r="BC15" s="33" t="n">
        <v>0.00021719058856389</v>
      </c>
      <c r="BD15" s="33" t="n">
        <v>0.000161676205245899</v>
      </c>
      <c r="BE15" s="33" t="n">
        <v>9.08244083977586E-005</v>
      </c>
      <c r="BF15" s="33" t="n">
        <v>1.92236225861876E-005</v>
      </c>
      <c r="BG15" s="33" t="n">
        <v>0.000289529993488816</v>
      </c>
      <c r="BH15" s="33" t="n">
        <v>0.000982545580271838</v>
      </c>
      <c r="BI15" s="33" t="n">
        <v>0.000212933702367199</v>
      </c>
      <c r="BJ15" s="33" t="n">
        <v>0.00113922934885409</v>
      </c>
      <c r="BK15" s="33" t="n">
        <v>0.000320949693352315</v>
      </c>
      <c r="BL15" s="33" t="n">
        <v>0.000813486163033725</v>
      </c>
      <c r="BM15" s="33" t="n">
        <v>0.000418754017828566</v>
      </c>
      <c r="BN15" s="33" t="n">
        <v>0.000285363794116684</v>
      </c>
      <c r="BO15" s="33" t="n">
        <v>0.000101770974245908</v>
      </c>
      <c r="BP15" s="33" t="n">
        <v>0.000484286730712103</v>
      </c>
      <c r="BQ15" s="33" t="n">
        <v>0.000200110433782033</v>
      </c>
      <c r="BR15" s="33" t="n">
        <v>0.000381138827528251</v>
      </c>
      <c r="BS15" s="33" t="n">
        <v>0.000512001460228572</v>
      </c>
      <c r="BT15" s="33" t="n">
        <v>0</v>
      </c>
    </row>
    <row r="16" customFormat="false" ht="11.25" hidden="false" customHeight="true" outlineLevel="0" collapsed="false">
      <c r="B16" s="24" t="s">
        <v>83</v>
      </c>
      <c r="C16" s="25" t="s">
        <v>84</v>
      </c>
      <c r="D16" s="24" t="n">
        <v>10</v>
      </c>
      <c r="E16" s="34" t="n">
        <v>0.004287927505948</v>
      </c>
      <c r="F16" s="34" t="n">
        <v>0.0876759229571733</v>
      </c>
      <c r="G16" s="34" t="n">
        <v>0.0306463198583016</v>
      </c>
      <c r="H16" s="34" t="n">
        <v>0.00806965089962014</v>
      </c>
      <c r="I16" s="34" t="n">
        <v>0.000811018899706828</v>
      </c>
      <c r="J16" s="34" t="n">
        <v>0.000499278762696862</v>
      </c>
      <c r="K16" s="34" t="n">
        <v>0.00118726523313202</v>
      </c>
      <c r="L16" s="34" t="n">
        <v>0.0859962414492768</v>
      </c>
      <c r="M16" s="34" t="n">
        <v>0.00126714934631858</v>
      </c>
      <c r="N16" s="34" t="n">
        <v>0.0953954178377921</v>
      </c>
      <c r="O16" s="34" t="n">
        <v>0.028791409738628</v>
      </c>
      <c r="P16" s="34" t="n">
        <v>0.00180859870503135</v>
      </c>
      <c r="Q16" s="34" t="n">
        <v>0.00214050490791201</v>
      </c>
      <c r="R16" s="34" t="n">
        <v>0.00163952201863202</v>
      </c>
      <c r="S16" s="34" t="n">
        <v>0.00343418930529035</v>
      </c>
      <c r="T16" s="34" t="n">
        <v>0.00380779216309733</v>
      </c>
      <c r="U16" s="34" t="n">
        <v>0.00996598018244786</v>
      </c>
      <c r="V16" s="34" t="n">
        <v>0.00111267954179341</v>
      </c>
      <c r="W16" s="34" t="n">
        <v>0.00666442201485398</v>
      </c>
      <c r="X16" s="34" t="n">
        <v>0.0754722567324145</v>
      </c>
      <c r="Y16" s="34" t="n">
        <v>0.00359018715969088</v>
      </c>
      <c r="Z16" s="34" t="n">
        <v>0.0111881114116181</v>
      </c>
      <c r="AA16" s="34" t="n">
        <v>0.0218153860170901</v>
      </c>
      <c r="AB16" s="34" t="n">
        <v>0.00536243631179615</v>
      </c>
      <c r="AC16" s="34" t="n">
        <v>0.00282659607180321</v>
      </c>
      <c r="AD16" s="34" t="n">
        <v>0.00238543750390944</v>
      </c>
      <c r="AE16" s="34" t="n">
        <v>0.00186730426026523</v>
      </c>
      <c r="AF16" s="34" t="n">
        <v>0.00106057453846655</v>
      </c>
      <c r="AG16" s="34" t="n">
        <v>0.00216442820376447</v>
      </c>
      <c r="AH16" s="34" t="n">
        <v>0.00102095381097572</v>
      </c>
      <c r="AI16" s="34" t="n">
        <v>0.00195275462070493</v>
      </c>
      <c r="AJ16" s="34" t="n">
        <v>0.00281704275886538</v>
      </c>
      <c r="AK16" s="34" t="n">
        <v>0.000146464616277338</v>
      </c>
      <c r="AL16" s="34" t="n">
        <v>9.30262392742774E-005</v>
      </c>
      <c r="AM16" s="34" t="n">
        <v>0.000559276359065583</v>
      </c>
      <c r="AN16" s="34" t="n">
        <v>0.00230456554215259</v>
      </c>
      <c r="AO16" s="34" t="n">
        <v>0.000344748676582872</v>
      </c>
      <c r="AP16" s="34" t="n">
        <v>3.04764438777246E-005</v>
      </c>
      <c r="AQ16" s="34" t="n">
        <v>0.00036982635284856</v>
      </c>
      <c r="AR16" s="34" t="n">
        <v>0.000285452064062604</v>
      </c>
      <c r="AS16" s="34" t="n">
        <v>0.0007311016074121</v>
      </c>
      <c r="AT16" s="34" t="n">
        <v>0.00424391452188225</v>
      </c>
      <c r="AU16" s="34" t="n">
        <v>0.000315821729547131</v>
      </c>
      <c r="AV16" s="34" t="n">
        <v>7.35462588077709E-005</v>
      </c>
      <c r="AW16" s="34" t="n">
        <v>0.000572430534470798</v>
      </c>
      <c r="AX16" s="34" t="n">
        <v>0.000294535516958082</v>
      </c>
      <c r="AY16" s="34" t="n">
        <v>0.00830950186176188</v>
      </c>
      <c r="AZ16" s="34" t="n">
        <v>0.0476051096073862</v>
      </c>
      <c r="BA16" s="34" t="n">
        <v>0.00265364780517453</v>
      </c>
      <c r="BB16" s="34" t="n">
        <v>0.00169369251972494</v>
      </c>
      <c r="BC16" s="34" t="n">
        <v>0.00220073476151403</v>
      </c>
      <c r="BD16" s="34" t="n">
        <v>0.000445339810655781</v>
      </c>
      <c r="BE16" s="34" t="n">
        <v>0.000209996276004419</v>
      </c>
      <c r="BF16" s="34" t="n">
        <v>4.79036555607622E-005</v>
      </c>
      <c r="BG16" s="34" t="n">
        <v>0.00052344071005017</v>
      </c>
      <c r="BH16" s="34" t="n">
        <v>0.000616809679904991</v>
      </c>
      <c r="BI16" s="34" t="n">
        <v>0.000731106832129476</v>
      </c>
      <c r="BJ16" s="34" t="n">
        <v>0.000480600762372815</v>
      </c>
      <c r="BK16" s="34" t="n">
        <v>0.000430396661696047</v>
      </c>
      <c r="BL16" s="34" t="n">
        <v>0.000458042389613926</v>
      </c>
      <c r="BM16" s="34" t="n">
        <v>0.00206115439126262</v>
      </c>
      <c r="BN16" s="34" t="n">
        <v>0.00339128874617798</v>
      </c>
      <c r="BO16" s="34" t="n">
        <v>0.00141408190484972</v>
      </c>
      <c r="BP16" s="34" t="n">
        <v>0.0107057398325072</v>
      </c>
      <c r="BQ16" s="34" t="n">
        <v>0.00171376997775979</v>
      </c>
      <c r="BR16" s="34" t="n">
        <v>0.00145384887877841</v>
      </c>
      <c r="BS16" s="34" t="n">
        <v>0.00527515229005366</v>
      </c>
      <c r="BT16" s="34" t="n">
        <v>0</v>
      </c>
    </row>
    <row r="17" customFormat="false" ht="11.25" hidden="false" customHeight="true" outlineLevel="0" collapsed="false">
      <c r="B17" s="19" t="s">
        <v>85</v>
      </c>
      <c r="C17" s="20" t="s">
        <v>86</v>
      </c>
      <c r="D17" s="19" t="n">
        <v>11</v>
      </c>
      <c r="E17" s="33" t="n">
        <v>3.771149640008E-006</v>
      </c>
      <c r="F17" s="33" t="n">
        <v>1.17196146442458E-005</v>
      </c>
      <c r="G17" s="33" t="n">
        <v>3.72902512599981E-006</v>
      </c>
      <c r="H17" s="33" t="n">
        <v>0.000401043645581106</v>
      </c>
      <c r="I17" s="33" t="n">
        <v>0.000109097587184414</v>
      </c>
      <c r="J17" s="33" t="n">
        <v>0.000144426127537541</v>
      </c>
      <c r="K17" s="33" t="n">
        <v>0.000237804648500099</v>
      </c>
      <c r="L17" s="33" t="n">
        <v>0.00186253819791414</v>
      </c>
      <c r="M17" s="33" t="n">
        <v>0.000200469472664303</v>
      </c>
      <c r="N17" s="33" t="n">
        <v>0.000708397552042468</v>
      </c>
      <c r="O17" s="33" t="n">
        <v>0.0912910487052257</v>
      </c>
      <c r="P17" s="33" t="n">
        <v>0.000396684577339457</v>
      </c>
      <c r="Q17" s="33" t="n">
        <v>0.000355494360942157</v>
      </c>
      <c r="R17" s="33" t="n">
        <v>0.000350724879733174</v>
      </c>
      <c r="S17" s="33" t="n">
        <v>0.000619068339868451</v>
      </c>
      <c r="T17" s="33" t="n">
        <v>0.000421521944755171</v>
      </c>
      <c r="U17" s="33" t="n">
        <v>0.000647793035174405</v>
      </c>
      <c r="V17" s="33" t="n">
        <v>0.000125004430134296</v>
      </c>
      <c r="W17" s="33" t="n">
        <v>0.00015222175042041</v>
      </c>
      <c r="X17" s="33" t="n">
        <v>0.000229197905935286</v>
      </c>
      <c r="Y17" s="33" t="n">
        <v>0.000222481812689795</v>
      </c>
      <c r="Z17" s="33" t="n">
        <v>0.000532549583425598</v>
      </c>
      <c r="AA17" s="33" t="n">
        <v>0.000216853814681635</v>
      </c>
      <c r="AB17" s="33" t="n">
        <v>0.000632254311141223</v>
      </c>
      <c r="AC17" s="33" t="n">
        <v>0.000453688898919678</v>
      </c>
      <c r="AD17" s="33" t="n">
        <v>0.000434482948575823</v>
      </c>
      <c r="AE17" s="33" t="n">
        <v>0.000379135749866159</v>
      </c>
      <c r="AF17" s="33" t="n">
        <v>0.000204227172809061</v>
      </c>
      <c r="AG17" s="33" t="n">
        <v>0.000556818231036283</v>
      </c>
      <c r="AH17" s="33" t="n">
        <v>0.000232942531480679</v>
      </c>
      <c r="AI17" s="33" t="n">
        <v>0.000465752178682712</v>
      </c>
      <c r="AJ17" s="33" t="n">
        <v>0.000924779896857719</v>
      </c>
      <c r="AK17" s="33" t="n">
        <v>7.41701616180061E-005</v>
      </c>
      <c r="AL17" s="33" t="n">
        <v>5.06660477875752E-005</v>
      </c>
      <c r="AM17" s="33" t="n">
        <v>0.000190269534058486</v>
      </c>
      <c r="AN17" s="33" t="n">
        <v>0.000326262223021254</v>
      </c>
      <c r="AO17" s="33" t="n">
        <v>0.000343199421029836</v>
      </c>
      <c r="AP17" s="33" t="n">
        <v>1.41371157473123E-005</v>
      </c>
      <c r="AQ17" s="33" t="n">
        <v>3.42324907162866E-005</v>
      </c>
      <c r="AR17" s="33" t="n">
        <v>8.89591241507263E-005</v>
      </c>
      <c r="AS17" s="33" t="n">
        <v>4.42348283533143E-005</v>
      </c>
      <c r="AT17" s="33" t="n">
        <v>0.000229935028537592</v>
      </c>
      <c r="AU17" s="33" t="n">
        <v>1.64754116996213E-005</v>
      </c>
      <c r="AV17" s="33" t="n">
        <v>2.34860180387013E-005</v>
      </c>
      <c r="AW17" s="33" t="n">
        <v>0.00015509786075371</v>
      </c>
      <c r="AX17" s="33" t="n">
        <v>3.5704795639154E-005</v>
      </c>
      <c r="AY17" s="33" t="n">
        <v>0.0175576852651241</v>
      </c>
      <c r="AZ17" s="33" t="n">
        <v>0.100389427902497</v>
      </c>
      <c r="BA17" s="33" t="n">
        <v>0.000575868363889134</v>
      </c>
      <c r="BB17" s="33" t="n">
        <v>0.000359515520638449</v>
      </c>
      <c r="BC17" s="33" t="n">
        <v>0.000470148615569831</v>
      </c>
      <c r="BD17" s="33" t="n">
        <v>8.56496438408621E-005</v>
      </c>
      <c r="BE17" s="33" t="n">
        <v>0.000124239675839932</v>
      </c>
      <c r="BF17" s="33" t="n">
        <v>5.75244258285434E-006</v>
      </c>
      <c r="BG17" s="33" t="n">
        <v>8.7153948043272E-005</v>
      </c>
      <c r="BH17" s="33" t="n">
        <v>4.28143691263153E-005</v>
      </c>
      <c r="BI17" s="33" t="n">
        <v>7.46323994657214E-005</v>
      </c>
      <c r="BJ17" s="33" t="n">
        <v>3.23064369159547E-005</v>
      </c>
      <c r="BK17" s="33" t="n">
        <v>8.47959851851947E-005</v>
      </c>
      <c r="BL17" s="33" t="n">
        <v>5.29467423942204E-005</v>
      </c>
      <c r="BM17" s="33" t="n">
        <v>0.000144120090523312</v>
      </c>
      <c r="BN17" s="33" t="n">
        <v>0.00021563281056109</v>
      </c>
      <c r="BO17" s="33" t="n">
        <v>0.000114966566661295</v>
      </c>
      <c r="BP17" s="33" t="n">
        <v>0.000455783093819966</v>
      </c>
      <c r="BQ17" s="33" t="n">
        <v>0.000446660253968134</v>
      </c>
      <c r="BR17" s="33" t="n">
        <v>0.000803829045798831</v>
      </c>
      <c r="BS17" s="33" t="n">
        <v>9.97831032598908E-005</v>
      </c>
      <c r="BT17" s="33" t="n">
        <v>0</v>
      </c>
    </row>
    <row r="18" customFormat="false" ht="11.25" hidden="false" customHeight="true" outlineLevel="0" collapsed="false">
      <c r="B18" s="24" t="s">
        <v>87</v>
      </c>
      <c r="C18" s="25" t="s">
        <v>88</v>
      </c>
      <c r="D18" s="24" t="n">
        <v>12</v>
      </c>
      <c r="E18" s="34" t="n">
        <v>1.25466444597987E-005</v>
      </c>
      <c r="F18" s="34" t="n">
        <v>3.49615850472346E-006</v>
      </c>
      <c r="G18" s="34" t="n">
        <v>1.23738930927992E-006</v>
      </c>
      <c r="H18" s="34" t="n">
        <v>4.85097027289113E-006</v>
      </c>
      <c r="I18" s="34" t="n">
        <v>1.68695254007026E-005</v>
      </c>
      <c r="J18" s="34" t="n">
        <v>2.47232175026917E-005</v>
      </c>
      <c r="K18" s="34" t="n">
        <v>2.79768069037577E-005</v>
      </c>
      <c r="L18" s="34" t="n">
        <v>5.42403532503781E-005</v>
      </c>
      <c r="M18" s="34" t="n">
        <v>1.41969104793886E-005</v>
      </c>
      <c r="N18" s="34" t="n">
        <v>3.20946151880946E-005</v>
      </c>
      <c r="O18" s="34" t="n">
        <v>7.31224596796884E-006</v>
      </c>
      <c r="P18" s="34" t="n">
        <v>0.0350635064722357</v>
      </c>
      <c r="Q18" s="34" t="n">
        <v>2.48831729227672E-005</v>
      </c>
      <c r="R18" s="34" t="n">
        <v>2.50987848020458E-005</v>
      </c>
      <c r="S18" s="34" t="n">
        <v>4.50342244730563E-005</v>
      </c>
      <c r="T18" s="34" t="n">
        <v>2.78378527481075E-005</v>
      </c>
      <c r="U18" s="34" t="n">
        <v>5.20151843841604E-005</v>
      </c>
      <c r="V18" s="34" t="n">
        <v>1.07840928873958E-005</v>
      </c>
      <c r="W18" s="34" t="n">
        <v>3.14943109612516E-006</v>
      </c>
      <c r="X18" s="34" t="n">
        <v>1.46596709779696E-005</v>
      </c>
      <c r="Y18" s="34" t="n">
        <v>1.57656975558626E-005</v>
      </c>
      <c r="Z18" s="34" t="n">
        <v>2.94455919679639E-005</v>
      </c>
      <c r="AA18" s="34" t="n">
        <v>8.43806247334675E-006</v>
      </c>
      <c r="AB18" s="34" t="n">
        <v>4.59351708969148E-005</v>
      </c>
      <c r="AC18" s="34" t="n">
        <v>3.08301518073144E-005</v>
      </c>
      <c r="AD18" s="34" t="n">
        <v>3.08858171061956E-005</v>
      </c>
      <c r="AE18" s="34" t="n">
        <v>2.45530934172403E-005</v>
      </c>
      <c r="AF18" s="34" t="n">
        <v>1.66745178269119E-005</v>
      </c>
      <c r="AG18" s="34" t="n">
        <v>3.09257136608419E-005</v>
      </c>
      <c r="AH18" s="34" t="n">
        <v>1.67456093248368E-005</v>
      </c>
      <c r="AI18" s="34" t="n">
        <v>3.39609961107466E-005</v>
      </c>
      <c r="AJ18" s="34" t="n">
        <v>0.000107018173412409</v>
      </c>
      <c r="AK18" s="34" t="n">
        <v>7.49514618673198E-006</v>
      </c>
      <c r="AL18" s="34" t="n">
        <v>3.69599839934183E-006</v>
      </c>
      <c r="AM18" s="34" t="n">
        <v>1.39562246172188E-005</v>
      </c>
      <c r="AN18" s="34" t="n">
        <v>2.10413274383245E-005</v>
      </c>
      <c r="AO18" s="34" t="n">
        <v>6.08289592175057E-005</v>
      </c>
      <c r="AP18" s="34" t="n">
        <v>4.83509368995235E-007</v>
      </c>
      <c r="AQ18" s="34" t="n">
        <v>1.28562567000497E-006</v>
      </c>
      <c r="AR18" s="34" t="n">
        <v>3.58581706571028E-006</v>
      </c>
      <c r="AS18" s="34" t="n">
        <v>1.80542937848328E-006</v>
      </c>
      <c r="AT18" s="34" t="n">
        <v>1.36522382857138E-005</v>
      </c>
      <c r="AU18" s="34" t="n">
        <v>1.78564609090976E-007</v>
      </c>
      <c r="AV18" s="34" t="n">
        <v>4.44184742432848E-006</v>
      </c>
      <c r="AW18" s="34" t="n">
        <v>1.05201434107521E-007</v>
      </c>
      <c r="AX18" s="34" t="n">
        <v>1.75447838922838E-006</v>
      </c>
      <c r="AY18" s="34" t="n">
        <v>1.86987967154488E-006</v>
      </c>
      <c r="AZ18" s="34" t="n">
        <v>1.03716971598375E-006</v>
      </c>
      <c r="BA18" s="34" t="n">
        <v>4.41679407486631E-005</v>
      </c>
      <c r="BB18" s="34" t="n">
        <v>2.48374967554781E-005</v>
      </c>
      <c r="BC18" s="34" t="n">
        <v>3.30887352317531E-005</v>
      </c>
      <c r="BD18" s="34" t="n">
        <v>6.73754069199851E-006</v>
      </c>
      <c r="BE18" s="34" t="n">
        <v>5.86453828534572E-007</v>
      </c>
      <c r="BF18" s="34" t="n">
        <v>1.27831590346315E-007</v>
      </c>
      <c r="BG18" s="34" t="n">
        <v>4.78614361733065E-006</v>
      </c>
      <c r="BH18" s="34" t="n">
        <v>2.18278717870489E-005</v>
      </c>
      <c r="BI18" s="34" t="n">
        <v>4.88446990353086E-006</v>
      </c>
      <c r="BJ18" s="34" t="n">
        <v>2.21005532197886E-006</v>
      </c>
      <c r="BK18" s="34" t="n">
        <v>7.69613263713857E-006</v>
      </c>
      <c r="BL18" s="34" t="n">
        <v>2.80022799408631E-006</v>
      </c>
      <c r="BM18" s="34" t="n">
        <v>2.09801769426968E-007</v>
      </c>
      <c r="BN18" s="34" t="n">
        <v>2.23207099418318E-007</v>
      </c>
      <c r="BO18" s="34" t="n">
        <v>1.63949765809702E-006</v>
      </c>
      <c r="BP18" s="34" t="n">
        <v>6.3361756051178E-007</v>
      </c>
      <c r="BQ18" s="34" t="n">
        <v>4.91817082442259E-007</v>
      </c>
      <c r="BR18" s="34" t="n">
        <v>3.71699143171783E-006</v>
      </c>
      <c r="BS18" s="34" t="n">
        <v>1.13429358644765E-006</v>
      </c>
      <c r="BT18" s="34" t="n">
        <v>0</v>
      </c>
    </row>
    <row r="19" customFormat="false" ht="11.25" hidden="false" customHeight="true" outlineLevel="0" collapsed="false">
      <c r="B19" s="19" t="s">
        <v>89</v>
      </c>
      <c r="C19" s="20" t="s">
        <v>90</v>
      </c>
      <c r="D19" s="19" t="n">
        <v>13</v>
      </c>
      <c r="E19" s="33" t="n">
        <v>0.0015150909719069</v>
      </c>
      <c r="F19" s="33" t="n">
        <v>7.74926903537122E-005</v>
      </c>
      <c r="G19" s="33" t="n">
        <v>4.01620063218179E-005</v>
      </c>
      <c r="H19" s="33" t="n">
        <v>0.00668762543288351</v>
      </c>
      <c r="I19" s="33" t="n">
        <v>0.00054549188788293</v>
      </c>
      <c r="J19" s="33" t="n">
        <v>5.19994765661347E-005</v>
      </c>
      <c r="K19" s="33" t="n">
        <v>0.000291684211355525</v>
      </c>
      <c r="L19" s="33" t="n">
        <v>0.000137946950066736</v>
      </c>
      <c r="M19" s="33" t="n">
        <v>0.00164856080599094</v>
      </c>
      <c r="N19" s="33" t="n">
        <v>0.00076035262957047</v>
      </c>
      <c r="O19" s="33" t="n">
        <v>0.000236390366393476</v>
      </c>
      <c r="P19" s="33" t="n">
        <v>7.35660836453671E-005</v>
      </c>
      <c r="Q19" s="33" t="n">
        <v>0.163591606757864</v>
      </c>
      <c r="R19" s="33" t="n">
        <v>0.222676581966403</v>
      </c>
      <c r="S19" s="33" t="n">
        <v>0.0552383948068939</v>
      </c>
      <c r="T19" s="33" t="n">
        <v>0.000466926851559434</v>
      </c>
      <c r="U19" s="33" t="n">
        <v>0.00115766879605644</v>
      </c>
      <c r="V19" s="33" t="n">
        <v>0.000227754055728741</v>
      </c>
      <c r="W19" s="33" t="n">
        <v>7.67401888688404E-006</v>
      </c>
      <c r="X19" s="33" t="n">
        <v>7.00476540272704E-005</v>
      </c>
      <c r="Y19" s="33" t="n">
        <v>0.000250741677166005</v>
      </c>
      <c r="Z19" s="33" t="n">
        <v>0.000551116754446542</v>
      </c>
      <c r="AA19" s="33" t="n">
        <v>0.000408166237536593</v>
      </c>
      <c r="AB19" s="33" t="n">
        <v>0.00142434833775259</v>
      </c>
      <c r="AC19" s="33" t="n">
        <v>0.00534739617341499</v>
      </c>
      <c r="AD19" s="33" t="n">
        <v>0.000542115688290924</v>
      </c>
      <c r="AE19" s="33" t="n">
        <v>9.48399211844551E-005</v>
      </c>
      <c r="AF19" s="33" t="n">
        <v>0.000160306104275929</v>
      </c>
      <c r="AG19" s="33" t="n">
        <v>0.00068857005830544</v>
      </c>
      <c r="AH19" s="33" t="n">
        <v>0.000126329564170831</v>
      </c>
      <c r="AI19" s="33" t="n">
        <v>0.000811123943778521</v>
      </c>
      <c r="AJ19" s="33" t="n">
        <v>0.000288442330354452</v>
      </c>
      <c r="AK19" s="33" t="n">
        <v>0.000545266225218457</v>
      </c>
      <c r="AL19" s="33" t="n">
        <v>0.0128020994610383</v>
      </c>
      <c r="AM19" s="33" t="n">
        <v>0.00156959429259716</v>
      </c>
      <c r="AN19" s="33" t="n">
        <v>0.0151209744794923</v>
      </c>
      <c r="AO19" s="33" t="n">
        <v>0.000217387700400976</v>
      </c>
      <c r="AP19" s="33" t="n">
        <v>8.44255743282352E-005</v>
      </c>
      <c r="AQ19" s="33" t="n">
        <v>0.000148539840553057</v>
      </c>
      <c r="AR19" s="33" t="n">
        <v>0.000861938900508142</v>
      </c>
      <c r="AS19" s="33" t="n">
        <v>0.000248548883531974</v>
      </c>
      <c r="AT19" s="33" t="n">
        <v>0.000202305262193363</v>
      </c>
      <c r="AU19" s="33" t="n">
        <v>0.000195908676504268</v>
      </c>
      <c r="AV19" s="33" t="n">
        <v>0.000445264334228473</v>
      </c>
      <c r="AW19" s="33" t="n">
        <v>7.97478839983792E-005</v>
      </c>
      <c r="AX19" s="33" t="n">
        <v>6.69556847182407E-005</v>
      </c>
      <c r="AY19" s="33" t="n">
        <v>0.00732071357646533</v>
      </c>
      <c r="AZ19" s="33" t="n">
        <v>0.000623908989060919</v>
      </c>
      <c r="BA19" s="33" t="n">
        <v>0.000124800892766126</v>
      </c>
      <c r="BB19" s="33" t="n">
        <v>0.000166746880803747</v>
      </c>
      <c r="BC19" s="33" t="n">
        <v>7.73649542548955E-005</v>
      </c>
      <c r="BD19" s="33" t="n">
        <v>3.91612673494513E-005</v>
      </c>
      <c r="BE19" s="33" t="n">
        <v>2.35284096696284E-005</v>
      </c>
      <c r="BF19" s="33" t="n">
        <v>1.3816057138574E-005</v>
      </c>
      <c r="BG19" s="33" t="n">
        <v>7.74366022740392E-005</v>
      </c>
      <c r="BH19" s="33" t="n">
        <v>0.000113309353386267</v>
      </c>
      <c r="BI19" s="33" t="n">
        <v>5.88682700908168E-005</v>
      </c>
      <c r="BJ19" s="33" t="n">
        <v>0.000111222905876715</v>
      </c>
      <c r="BK19" s="33" t="n">
        <v>8.70658877146865E-005</v>
      </c>
      <c r="BL19" s="33" t="n">
        <v>4.50596808334592E-005</v>
      </c>
      <c r="BM19" s="33" t="n">
        <v>5.19601304199347E-005</v>
      </c>
      <c r="BN19" s="33" t="n">
        <v>0.000107931084676306</v>
      </c>
      <c r="BO19" s="33" t="n">
        <v>9.0688791784011E-005</v>
      </c>
      <c r="BP19" s="33" t="n">
        <v>0.000215255097145768</v>
      </c>
      <c r="BQ19" s="33" t="n">
        <v>0.000224380957428762</v>
      </c>
      <c r="BR19" s="33" t="n">
        <v>0.000253461333041471</v>
      </c>
      <c r="BS19" s="33" t="n">
        <v>0.00383612976950004</v>
      </c>
      <c r="BT19" s="33" t="n">
        <v>0</v>
      </c>
    </row>
    <row r="20" customFormat="false" ht="11.25" hidden="false" customHeight="true" outlineLevel="0" collapsed="false">
      <c r="B20" s="24" t="s">
        <v>91</v>
      </c>
      <c r="C20" s="25" t="s">
        <v>92</v>
      </c>
      <c r="D20" s="24" t="n">
        <v>14</v>
      </c>
      <c r="E20" s="34" t="n">
        <v>2.18870633656627E-005</v>
      </c>
      <c r="F20" s="34" t="n">
        <v>4.6312866714668E-006</v>
      </c>
      <c r="G20" s="34" t="n">
        <v>0.000216389119020384</v>
      </c>
      <c r="H20" s="34" t="n">
        <v>0.000155251595815729</v>
      </c>
      <c r="I20" s="34" t="n">
        <v>0.000366427137219722</v>
      </c>
      <c r="J20" s="34" t="n">
        <v>1.37363449909351E-005</v>
      </c>
      <c r="K20" s="34" t="n">
        <v>2.83192919943515E-005</v>
      </c>
      <c r="L20" s="34" t="n">
        <v>0.000211375805405095</v>
      </c>
      <c r="M20" s="34" t="n">
        <v>7.1115160988201E-005</v>
      </c>
      <c r="N20" s="34" t="n">
        <v>0.000139213926026864</v>
      </c>
      <c r="O20" s="34" t="n">
        <v>2.56338662145955E-005</v>
      </c>
      <c r="P20" s="34" t="n">
        <v>0.000107877399466112</v>
      </c>
      <c r="Q20" s="34" t="n">
        <v>0.00151280285040499</v>
      </c>
      <c r="R20" s="34" t="n">
        <v>0.026703043432326</v>
      </c>
      <c r="S20" s="34" t="n">
        <v>0.001593901887298</v>
      </c>
      <c r="T20" s="34" t="n">
        <v>8.94809100575712E-005</v>
      </c>
      <c r="U20" s="34" t="n">
        <v>0.000176634651767191</v>
      </c>
      <c r="V20" s="34" t="n">
        <v>4.82434087936828E-005</v>
      </c>
      <c r="W20" s="34" t="n">
        <v>1.17011129719508E-005</v>
      </c>
      <c r="X20" s="34" t="n">
        <v>5.46360502039779E-005</v>
      </c>
      <c r="Y20" s="34" t="n">
        <v>5.36803617244751E-005</v>
      </c>
      <c r="Z20" s="34" t="n">
        <v>0.000184593636869561</v>
      </c>
      <c r="AA20" s="34" t="n">
        <v>2.2069443360791E-005</v>
      </c>
      <c r="AB20" s="34" t="n">
        <v>0.00016114684343235</v>
      </c>
      <c r="AC20" s="34" t="n">
        <v>0.000134464072671934</v>
      </c>
      <c r="AD20" s="34" t="n">
        <v>0.000225295963888697</v>
      </c>
      <c r="AE20" s="34" t="n">
        <v>0.00011966400169953</v>
      </c>
      <c r="AF20" s="34" t="n">
        <v>5.31089119140147E-005</v>
      </c>
      <c r="AG20" s="34" t="n">
        <v>0.000469207871939112</v>
      </c>
      <c r="AH20" s="34" t="n">
        <v>5.95344384349997E-005</v>
      </c>
      <c r="AI20" s="34" t="n">
        <v>0.000117585910919882</v>
      </c>
      <c r="AJ20" s="34" t="n">
        <v>0.000175399882846982</v>
      </c>
      <c r="AK20" s="34" t="n">
        <v>1.22705294181663E-005</v>
      </c>
      <c r="AL20" s="34" t="n">
        <v>0.00032015765331757</v>
      </c>
      <c r="AM20" s="34" t="n">
        <v>5.26504685943994E-005</v>
      </c>
      <c r="AN20" s="34" t="n">
        <v>0.00040107252883731</v>
      </c>
      <c r="AO20" s="34" t="n">
        <v>1.89223916365237E-005</v>
      </c>
      <c r="AP20" s="34" t="n">
        <v>0.00020533557185216</v>
      </c>
      <c r="AQ20" s="34" t="n">
        <v>0.00110983129778633</v>
      </c>
      <c r="AR20" s="34" t="n">
        <v>5.61759700317891E-005</v>
      </c>
      <c r="AS20" s="34" t="n">
        <v>1.39173731170804E-005</v>
      </c>
      <c r="AT20" s="34" t="n">
        <v>0.000319015173958703</v>
      </c>
      <c r="AU20" s="34" t="n">
        <v>0.00042095109323663</v>
      </c>
      <c r="AV20" s="34" t="n">
        <v>0.000292855119630074</v>
      </c>
      <c r="AW20" s="34" t="n">
        <v>0.00294616167676194</v>
      </c>
      <c r="AX20" s="34" t="n">
        <v>0.000566492338550847</v>
      </c>
      <c r="AY20" s="34" t="n">
        <v>0.00268418641752914</v>
      </c>
      <c r="AZ20" s="34" t="n">
        <v>0.000658574278059485</v>
      </c>
      <c r="BA20" s="34" t="n">
        <v>0.000179105729491146</v>
      </c>
      <c r="BB20" s="34" t="n">
        <v>0.00250317541065879</v>
      </c>
      <c r="BC20" s="34" t="n">
        <v>0.000260784082947757</v>
      </c>
      <c r="BD20" s="34" t="n">
        <v>2.71225237711289E-005</v>
      </c>
      <c r="BE20" s="34" t="n">
        <v>0.000577634003901092</v>
      </c>
      <c r="BF20" s="34" t="n">
        <v>4.38288853477129E-005</v>
      </c>
      <c r="BG20" s="34" t="n">
        <v>5.3885497666908E-005</v>
      </c>
      <c r="BH20" s="34" t="n">
        <v>0.00183256884753413</v>
      </c>
      <c r="BI20" s="34" t="n">
        <v>0.000295532568694127</v>
      </c>
      <c r="BJ20" s="34" t="n">
        <v>3.47045760613511E-005</v>
      </c>
      <c r="BK20" s="34" t="n">
        <v>0.000440834714850665</v>
      </c>
      <c r="BL20" s="34" t="n">
        <v>0.00398927183265715</v>
      </c>
      <c r="BM20" s="34" t="n">
        <v>0.000550077156332218</v>
      </c>
      <c r="BN20" s="34" t="n">
        <v>0.0012784824564308</v>
      </c>
      <c r="BO20" s="34" t="n">
        <v>2.00984851656285E-005</v>
      </c>
      <c r="BP20" s="34" t="n">
        <v>0.000349295948015399</v>
      </c>
      <c r="BQ20" s="34" t="n">
        <v>0.000195456892683113</v>
      </c>
      <c r="BR20" s="34" t="n">
        <v>0.00239050717985195</v>
      </c>
      <c r="BS20" s="34" t="n">
        <v>0.00491188066679352</v>
      </c>
      <c r="BT20" s="34" t="n">
        <v>0</v>
      </c>
    </row>
    <row r="21" customFormat="false" ht="11.25" hidden="false" customHeight="true" outlineLevel="0" collapsed="false">
      <c r="B21" s="19" t="s">
        <v>93</v>
      </c>
      <c r="C21" s="20" t="s">
        <v>94</v>
      </c>
      <c r="D21" s="19" t="n">
        <v>15</v>
      </c>
      <c r="E21" s="33" t="n">
        <v>8.85887029271037E-006</v>
      </c>
      <c r="F21" s="33" t="n">
        <v>1.84319455315639E-005</v>
      </c>
      <c r="G21" s="33" t="n">
        <v>2.67730651889911E-006</v>
      </c>
      <c r="H21" s="33" t="n">
        <v>6.66685666639325E-005</v>
      </c>
      <c r="I21" s="33" t="n">
        <v>2.75194485368578E-005</v>
      </c>
      <c r="J21" s="33" t="n">
        <v>2.32451255067251E-005</v>
      </c>
      <c r="K21" s="33" t="n">
        <v>1.47656383467875E-005</v>
      </c>
      <c r="L21" s="33" t="n">
        <v>5.05079773167509E-005</v>
      </c>
      <c r="M21" s="33" t="n">
        <v>1.58851964495158E-005</v>
      </c>
      <c r="N21" s="33" t="n">
        <v>6.46673670561037E-005</v>
      </c>
      <c r="O21" s="33" t="n">
        <v>6.34889080960769E-005</v>
      </c>
      <c r="P21" s="33" t="n">
        <v>1.43234764311781E-005</v>
      </c>
      <c r="Q21" s="33" t="n">
        <v>0.000311038098580036</v>
      </c>
      <c r="R21" s="33" t="n">
        <v>9.21484945106617E-005</v>
      </c>
      <c r="S21" s="33" t="n">
        <v>0.0915183711177696</v>
      </c>
      <c r="T21" s="33" t="n">
        <v>2.92360202378068E-005</v>
      </c>
      <c r="U21" s="33" t="n">
        <v>0.00052874148540059</v>
      </c>
      <c r="V21" s="33" t="n">
        <v>9.124982267043E-005</v>
      </c>
      <c r="W21" s="33" t="n">
        <v>1.30561228347385E-006</v>
      </c>
      <c r="X21" s="33" t="n">
        <v>2.40992733134952E-005</v>
      </c>
      <c r="Y21" s="33" t="n">
        <v>2.30783964561561E-005</v>
      </c>
      <c r="Z21" s="33" t="n">
        <v>4.52153777085799E-005</v>
      </c>
      <c r="AA21" s="33" t="n">
        <v>0.000103182749818592</v>
      </c>
      <c r="AB21" s="33" t="n">
        <v>4.0483074326803E-005</v>
      </c>
      <c r="AC21" s="33" t="n">
        <v>0.000230951425111785</v>
      </c>
      <c r="AD21" s="33" t="n">
        <v>4.59378732289031E-005</v>
      </c>
      <c r="AE21" s="33" t="n">
        <v>1.26669546324241E-005</v>
      </c>
      <c r="AF21" s="33" t="n">
        <v>1.42630472214502E-005</v>
      </c>
      <c r="AG21" s="33" t="n">
        <v>0.000241243766370007</v>
      </c>
      <c r="AH21" s="33" t="n">
        <v>2.06781564050722E-005</v>
      </c>
      <c r="AI21" s="33" t="n">
        <v>5.56384959655726E-005</v>
      </c>
      <c r="AJ21" s="33" t="n">
        <v>4.12117341538515E-005</v>
      </c>
      <c r="AK21" s="33" t="n">
        <v>0.000215527265267062</v>
      </c>
      <c r="AL21" s="33" t="n">
        <v>0.000161584694821996</v>
      </c>
      <c r="AM21" s="33" t="n">
        <v>3.99652966412458E-005</v>
      </c>
      <c r="AN21" s="33" t="n">
        <v>0.000425725729786989</v>
      </c>
      <c r="AO21" s="33" t="n">
        <v>3.16929769337775E-005</v>
      </c>
      <c r="AP21" s="33" t="n">
        <v>0.000259074823336372</v>
      </c>
      <c r="AQ21" s="33" t="n">
        <v>1.64133205132668E-005</v>
      </c>
      <c r="AR21" s="33" t="n">
        <v>7.69223618208079E-005</v>
      </c>
      <c r="AS21" s="33" t="n">
        <v>7.98096188553228E-005</v>
      </c>
      <c r="AT21" s="33" t="n">
        <v>1.93841418195416E-005</v>
      </c>
      <c r="AU21" s="33" t="n">
        <v>4.27488614507258E-005</v>
      </c>
      <c r="AV21" s="33" t="n">
        <v>5.15904193599268E-006</v>
      </c>
      <c r="AW21" s="33" t="n">
        <v>3.04952690168304E-005</v>
      </c>
      <c r="AX21" s="33" t="n">
        <v>4.35262757576458E-006</v>
      </c>
      <c r="AY21" s="33" t="n">
        <v>9.40324698628111E-005</v>
      </c>
      <c r="AZ21" s="33" t="n">
        <v>6.60114050036011E-005</v>
      </c>
      <c r="BA21" s="33" t="n">
        <v>5.75949363962001E-005</v>
      </c>
      <c r="BB21" s="33" t="n">
        <v>0.000440075605474705</v>
      </c>
      <c r="BC21" s="33" t="n">
        <v>1.11461609421886E-005</v>
      </c>
      <c r="BD21" s="33" t="n">
        <v>2.40832034331555E-005</v>
      </c>
      <c r="BE21" s="33" t="n">
        <v>3.41119337777354E-006</v>
      </c>
      <c r="BF21" s="33" t="n">
        <v>1.15465381580914E-006</v>
      </c>
      <c r="BG21" s="33" t="n">
        <v>7.07732948003842E-006</v>
      </c>
      <c r="BH21" s="33" t="n">
        <v>8.7077851176474E-005</v>
      </c>
      <c r="BI21" s="33" t="n">
        <v>2.37380502210181E-005</v>
      </c>
      <c r="BJ21" s="33" t="n">
        <v>1.86113066297945E-005</v>
      </c>
      <c r="BK21" s="33" t="n">
        <v>2.14202550156319E-005</v>
      </c>
      <c r="BL21" s="33" t="n">
        <v>0.00121054116634899</v>
      </c>
      <c r="BM21" s="33" t="n">
        <v>2.34474122127999E-005</v>
      </c>
      <c r="BN21" s="33" t="n">
        <v>8.92832059946034E-006</v>
      </c>
      <c r="BO21" s="33" t="n">
        <v>4.47964357601009E-006</v>
      </c>
      <c r="BP21" s="33" t="n">
        <v>2.43256095709021E-005</v>
      </c>
      <c r="BQ21" s="33" t="n">
        <v>1.79307175025415E-005</v>
      </c>
      <c r="BR21" s="33" t="n">
        <v>1.90151332149619E-005</v>
      </c>
      <c r="BS21" s="33" t="n">
        <v>3.85291568609868E-005</v>
      </c>
      <c r="BT21" s="33" t="n">
        <v>0</v>
      </c>
    </row>
    <row r="22" customFormat="false" ht="11.25" hidden="false" customHeight="true" outlineLevel="0" collapsed="false">
      <c r="B22" s="24" t="s">
        <v>95</v>
      </c>
      <c r="C22" s="25" t="s">
        <v>96</v>
      </c>
      <c r="D22" s="24" t="n">
        <v>16</v>
      </c>
      <c r="E22" s="34" t="n">
        <v>0.00129332384725367</v>
      </c>
      <c r="F22" s="34" t="n">
        <v>0.00244170185075101</v>
      </c>
      <c r="G22" s="34" t="n">
        <v>0.000767761482358535</v>
      </c>
      <c r="H22" s="34" t="n">
        <v>0.000140828917984702</v>
      </c>
      <c r="I22" s="34" t="n">
        <v>1.97427493090495E-005</v>
      </c>
      <c r="J22" s="34" t="n">
        <v>1.77445156386351E-005</v>
      </c>
      <c r="K22" s="34" t="n">
        <v>2.86096106539251E-005</v>
      </c>
      <c r="L22" s="34" t="n">
        <v>0.000182551690638768</v>
      </c>
      <c r="M22" s="34" t="n">
        <v>2.66365435298151E-005</v>
      </c>
      <c r="N22" s="34" t="n">
        <v>0.000914108068498829</v>
      </c>
      <c r="O22" s="34" t="n">
        <v>0.00129573955032752</v>
      </c>
      <c r="P22" s="34" t="n">
        <v>3.35649250669336E-005</v>
      </c>
      <c r="Q22" s="34" t="n">
        <v>0.000493376806387943</v>
      </c>
      <c r="R22" s="34" t="n">
        <v>5.39853255986165E-005</v>
      </c>
      <c r="S22" s="34" t="n">
        <v>5.15443467706325E-005</v>
      </c>
      <c r="T22" s="34" t="n">
        <v>0.120505945382871</v>
      </c>
      <c r="U22" s="34" t="n">
        <v>0.00620125711801824</v>
      </c>
      <c r="V22" s="34" t="n">
        <v>2.99517407297244E-005</v>
      </c>
      <c r="W22" s="34" t="n">
        <v>5.69602204260146E-006</v>
      </c>
      <c r="X22" s="34" t="n">
        <v>2.57048606029594E-005</v>
      </c>
      <c r="Y22" s="34" t="n">
        <v>0.000120551972930521</v>
      </c>
      <c r="Z22" s="34" t="n">
        <v>0.000423381911197267</v>
      </c>
      <c r="AA22" s="34" t="n">
        <v>3.75921671205804E-005</v>
      </c>
      <c r="AB22" s="34" t="n">
        <v>5.72560230320283E-005</v>
      </c>
      <c r="AC22" s="34" t="n">
        <v>6.80434695064924E-005</v>
      </c>
      <c r="AD22" s="34" t="n">
        <v>0.000415413654669314</v>
      </c>
      <c r="AE22" s="34" t="n">
        <v>0.000124898833853883</v>
      </c>
      <c r="AF22" s="34" t="n">
        <v>1.80013912105316E-005</v>
      </c>
      <c r="AG22" s="34" t="n">
        <v>0.00237067584630841</v>
      </c>
      <c r="AH22" s="34" t="n">
        <v>2.78443658215093E-005</v>
      </c>
      <c r="AI22" s="34" t="n">
        <v>7.63266796529442E-005</v>
      </c>
      <c r="AJ22" s="34" t="n">
        <v>0.00192467264422116</v>
      </c>
      <c r="AK22" s="34" t="n">
        <v>0.000987049194892937</v>
      </c>
      <c r="AL22" s="34" t="n">
        <v>0.000660166308586988</v>
      </c>
      <c r="AM22" s="34" t="n">
        <v>0.00199753595858914</v>
      </c>
      <c r="AN22" s="34" t="n">
        <v>0.0748635500756418</v>
      </c>
      <c r="AO22" s="34" t="n">
        <v>4.60619473072788E-005</v>
      </c>
      <c r="AP22" s="34" t="n">
        <v>0.00097182314826469</v>
      </c>
      <c r="AQ22" s="34" t="n">
        <v>7.79269476435702E-005</v>
      </c>
      <c r="AR22" s="34" t="n">
        <v>0.0103986813220232</v>
      </c>
      <c r="AS22" s="34" t="n">
        <v>9.57407699614075E-005</v>
      </c>
      <c r="AT22" s="34" t="n">
        <v>0.00228924984977845</v>
      </c>
      <c r="AU22" s="34" t="n">
        <v>1.51138026236087E-005</v>
      </c>
      <c r="AV22" s="34" t="n">
        <v>2.24161431223643E-005</v>
      </c>
      <c r="AW22" s="34" t="n">
        <v>1.35586505217686E-005</v>
      </c>
      <c r="AX22" s="34" t="n">
        <v>0.000645487440964277</v>
      </c>
      <c r="AY22" s="34" t="n">
        <v>0.000191891053280395</v>
      </c>
      <c r="AZ22" s="34" t="n">
        <v>0.000101037522671437</v>
      </c>
      <c r="BA22" s="34" t="n">
        <v>8.20042320917686E-005</v>
      </c>
      <c r="BB22" s="34" t="n">
        <v>0.00275981904850468</v>
      </c>
      <c r="BC22" s="34" t="n">
        <v>8.07680458444136E-005</v>
      </c>
      <c r="BD22" s="34" t="n">
        <v>5.5713379119728E-005</v>
      </c>
      <c r="BE22" s="34" t="n">
        <v>3.34964951388326E-005</v>
      </c>
      <c r="BF22" s="34" t="n">
        <v>0.000721537295210327</v>
      </c>
      <c r="BG22" s="34" t="n">
        <v>0.000106410430040426</v>
      </c>
      <c r="BH22" s="34" t="n">
        <v>6.91195471026766E-005</v>
      </c>
      <c r="BI22" s="34" t="n">
        <v>5.30094322127628E-005</v>
      </c>
      <c r="BJ22" s="34" t="n">
        <v>9.11417112699598E-005</v>
      </c>
      <c r="BK22" s="34" t="n">
        <v>0.000497480018709336</v>
      </c>
      <c r="BL22" s="34" t="n">
        <v>3.43537106538015E-005</v>
      </c>
      <c r="BM22" s="34" t="n">
        <v>0.000102163652339239</v>
      </c>
      <c r="BN22" s="34" t="n">
        <v>7.51475948564105E-005</v>
      </c>
      <c r="BO22" s="34" t="n">
        <v>0.000169779696529687</v>
      </c>
      <c r="BP22" s="34" t="n">
        <v>3.54247531144274E-005</v>
      </c>
      <c r="BQ22" s="34" t="n">
        <v>4.58300090971829E-005</v>
      </c>
      <c r="BR22" s="34" t="n">
        <v>0.000422276888895369</v>
      </c>
      <c r="BS22" s="34" t="n">
        <v>0.00160346178389475</v>
      </c>
      <c r="BT22" s="34" t="n">
        <v>0</v>
      </c>
    </row>
    <row r="23" customFormat="false" ht="11.25" hidden="false" customHeight="true" outlineLevel="0" collapsed="false">
      <c r="B23" s="19" t="s">
        <v>97</v>
      </c>
      <c r="C23" s="20" t="s">
        <v>98</v>
      </c>
      <c r="D23" s="19" t="n">
        <v>17</v>
      </c>
      <c r="E23" s="33" t="n">
        <v>0.00110251037435718</v>
      </c>
      <c r="F23" s="33" t="n">
        <v>0.00094421830158169</v>
      </c>
      <c r="G23" s="33" t="n">
        <v>0.000523111324815328</v>
      </c>
      <c r="H23" s="33" t="n">
        <v>0.00034827458555126</v>
      </c>
      <c r="I23" s="33" t="n">
        <v>0.000304781873371607</v>
      </c>
      <c r="J23" s="33" t="n">
        <v>0.00116803637593104</v>
      </c>
      <c r="K23" s="33" t="n">
        <v>0.00143290524525415</v>
      </c>
      <c r="L23" s="33" t="n">
        <v>0.0103600097834213</v>
      </c>
      <c r="M23" s="33" t="n">
        <v>0.000375365407964957</v>
      </c>
      <c r="N23" s="33" t="n">
        <v>0.0114653849716085</v>
      </c>
      <c r="O23" s="33" t="n">
        <v>0.00332865374164127</v>
      </c>
      <c r="P23" s="33" t="n">
        <v>0.044619034972285</v>
      </c>
      <c r="Q23" s="33" t="n">
        <v>0.0114383559300814</v>
      </c>
      <c r="R23" s="33" t="n">
        <v>0.0055350716283418</v>
      </c>
      <c r="S23" s="33" t="n">
        <v>0.0140643309361807</v>
      </c>
      <c r="T23" s="33" t="n">
        <v>0.0331523491324594</v>
      </c>
      <c r="U23" s="33" t="n">
        <v>0.170206369336531</v>
      </c>
      <c r="V23" s="33" t="n">
        <v>0.0559592483405729</v>
      </c>
      <c r="W23" s="33" t="n">
        <v>0.00042356752270169</v>
      </c>
      <c r="X23" s="33" t="n">
        <v>0.000834907961825963</v>
      </c>
      <c r="Y23" s="33" t="n">
        <v>0.000701268627981829</v>
      </c>
      <c r="Z23" s="33" t="n">
        <v>0.00246841739394847</v>
      </c>
      <c r="AA23" s="33" t="n">
        <v>0.0308584134945285</v>
      </c>
      <c r="AB23" s="33" t="n">
        <v>0.0127624501380992</v>
      </c>
      <c r="AC23" s="33" t="n">
        <v>0.0181101960019324</v>
      </c>
      <c r="AD23" s="33" t="n">
        <v>0.0189150399570115</v>
      </c>
      <c r="AE23" s="33" t="n">
        <v>0.000424945321707651</v>
      </c>
      <c r="AF23" s="33" t="n">
        <v>0.000281873957383675</v>
      </c>
      <c r="AG23" s="33" t="n">
        <v>0.0124054970073039</v>
      </c>
      <c r="AH23" s="33" t="n">
        <v>0.00705092184891654</v>
      </c>
      <c r="AI23" s="33" t="n">
        <v>0.0047613709959363</v>
      </c>
      <c r="AJ23" s="33" t="n">
        <v>0.00104532292855091</v>
      </c>
      <c r="AK23" s="33" t="n">
        <v>0.00182716674808103</v>
      </c>
      <c r="AL23" s="33" t="n">
        <v>0.00714160871155301</v>
      </c>
      <c r="AM23" s="33" t="n">
        <v>0.00116328730799205</v>
      </c>
      <c r="AN23" s="33" t="n">
        <v>0.0121251563023413</v>
      </c>
      <c r="AO23" s="33" t="n">
        <v>0.000305974535587762</v>
      </c>
      <c r="AP23" s="33" t="n">
        <v>0.0001768800480739</v>
      </c>
      <c r="AQ23" s="33" t="n">
        <v>0.000788167820299508</v>
      </c>
      <c r="AR23" s="33" t="n">
        <v>0.000789918421531921</v>
      </c>
      <c r="AS23" s="33" t="n">
        <v>0.00363776268910764</v>
      </c>
      <c r="AT23" s="33" t="n">
        <v>0.00575083991229805</v>
      </c>
      <c r="AU23" s="33" t="n">
        <v>0.000488162490367252</v>
      </c>
      <c r="AV23" s="33" t="n">
        <v>0.00222642039917174</v>
      </c>
      <c r="AW23" s="33" t="n">
        <v>0.00039278690140965</v>
      </c>
      <c r="AX23" s="33" t="n">
        <v>0.00242603098407268</v>
      </c>
      <c r="AY23" s="33" t="n">
        <v>0.00664041938215737</v>
      </c>
      <c r="AZ23" s="33" t="n">
        <v>0.00509696984542452</v>
      </c>
      <c r="BA23" s="33" t="n">
        <v>0.0457115908373172</v>
      </c>
      <c r="BB23" s="33" t="n">
        <v>0.00309909218857405</v>
      </c>
      <c r="BC23" s="33" t="n">
        <v>0.000357675998446009</v>
      </c>
      <c r="BD23" s="33" t="n">
        <v>0.00406527241776994</v>
      </c>
      <c r="BE23" s="33" t="n">
        <v>0.00218986953215698</v>
      </c>
      <c r="BF23" s="33" t="n">
        <v>0.000474266932143605</v>
      </c>
      <c r="BG23" s="33" t="n">
        <v>0.00687963585094179</v>
      </c>
      <c r="BH23" s="33" t="n">
        <v>0.00602206026710345</v>
      </c>
      <c r="BI23" s="33" t="n">
        <v>0.00534507418452738</v>
      </c>
      <c r="BJ23" s="33" t="n">
        <v>0.00860084801411663</v>
      </c>
      <c r="BK23" s="33" t="n">
        <v>0.00823536134878277</v>
      </c>
      <c r="BL23" s="33" t="n">
        <v>0.00102831707836561</v>
      </c>
      <c r="BM23" s="33" t="n">
        <v>0.000952292219404801</v>
      </c>
      <c r="BN23" s="33" t="n">
        <v>0.00194843513004211</v>
      </c>
      <c r="BO23" s="33" t="n">
        <v>0.00407934204066188</v>
      </c>
      <c r="BP23" s="33" t="n">
        <v>0.00108256552181557</v>
      </c>
      <c r="BQ23" s="33" t="n">
        <v>0.00252752270481738</v>
      </c>
      <c r="BR23" s="33" t="n">
        <v>0.00177893996629483</v>
      </c>
      <c r="BS23" s="33" t="n">
        <v>0.00388979598521225</v>
      </c>
      <c r="BT23" s="33" t="n">
        <v>0</v>
      </c>
    </row>
    <row r="24" customFormat="false" ht="11.25" hidden="false" customHeight="true" outlineLevel="0" collapsed="false">
      <c r="B24" s="24" t="s">
        <v>99</v>
      </c>
      <c r="C24" s="25" t="s">
        <v>100</v>
      </c>
      <c r="D24" s="24" t="n">
        <v>18</v>
      </c>
      <c r="E24" s="34" t="n">
        <v>2.52939205049949E-005</v>
      </c>
      <c r="F24" s="34" t="n">
        <v>1.09307860621108E-005</v>
      </c>
      <c r="G24" s="34" t="n">
        <v>5.43153321317759E-005</v>
      </c>
      <c r="H24" s="34" t="n">
        <v>2.52472956199168E-005</v>
      </c>
      <c r="I24" s="34" t="n">
        <v>5.27562718592089E-005</v>
      </c>
      <c r="J24" s="34" t="n">
        <v>0.000134720825207868</v>
      </c>
      <c r="K24" s="34" t="n">
        <v>0.000216629673597787</v>
      </c>
      <c r="L24" s="34" t="n">
        <v>0.000256361041422757</v>
      </c>
      <c r="M24" s="34" t="n">
        <v>0.000217174842559817</v>
      </c>
      <c r="N24" s="34" t="n">
        <v>0.000308913163308905</v>
      </c>
      <c r="O24" s="34" t="n">
        <v>0.00231630174840762</v>
      </c>
      <c r="P24" s="34" t="n">
        <v>0.000298055847252895</v>
      </c>
      <c r="Q24" s="34" t="n">
        <v>0.000274498246948602</v>
      </c>
      <c r="R24" s="34" t="n">
        <v>0.000290276553529019</v>
      </c>
      <c r="S24" s="34" t="n">
        <v>0.000226693093526368</v>
      </c>
      <c r="T24" s="34" t="n">
        <v>0.000741380950094479</v>
      </c>
      <c r="U24" s="34" t="n">
        <v>0.00161711705338627</v>
      </c>
      <c r="V24" s="34" t="n">
        <v>0.0369674013860921</v>
      </c>
      <c r="W24" s="34" t="n">
        <v>1.48402953553259E-005</v>
      </c>
      <c r="X24" s="34" t="n">
        <v>0.000104408414798822</v>
      </c>
      <c r="Y24" s="34" t="n">
        <v>4.69761328078987E-005</v>
      </c>
      <c r="Z24" s="34" t="n">
        <v>0.00023810084130598</v>
      </c>
      <c r="AA24" s="34" t="n">
        <v>0.000291405517157785</v>
      </c>
      <c r="AB24" s="34" t="n">
        <v>0.000226742563082067</v>
      </c>
      <c r="AC24" s="34" t="n">
        <v>0.000635929717050485</v>
      </c>
      <c r="AD24" s="34" t="n">
        <v>0.000325049688966727</v>
      </c>
      <c r="AE24" s="34" t="n">
        <v>0.000116883716452405</v>
      </c>
      <c r="AF24" s="34" t="n">
        <v>0.000100376308246619</v>
      </c>
      <c r="AG24" s="34" t="n">
        <v>0.000287778567973255</v>
      </c>
      <c r="AH24" s="34" t="n">
        <v>0.00126329256335419</v>
      </c>
      <c r="AI24" s="34" t="n">
        <v>0.000214067690827508</v>
      </c>
      <c r="AJ24" s="34" t="n">
        <v>0.00020656696428959</v>
      </c>
      <c r="AK24" s="34" t="n">
        <v>0.000154456940392709</v>
      </c>
      <c r="AL24" s="34" t="n">
        <v>0.000259769710219961</v>
      </c>
      <c r="AM24" s="34" t="n">
        <v>0.000123650016026739</v>
      </c>
      <c r="AN24" s="34" t="n">
        <v>0.000473581007387888</v>
      </c>
      <c r="AO24" s="34" t="n">
        <v>0.000117408016568442</v>
      </c>
      <c r="AP24" s="34" t="n">
        <v>6.22784773591155E-005</v>
      </c>
      <c r="AQ24" s="34" t="n">
        <v>0.000148199335845556</v>
      </c>
      <c r="AR24" s="34" t="n">
        <v>0.000239718297890472</v>
      </c>
      <c r="AS24" s="34" t="n">
        <v>0.000542984754800645</v>
      </c>
      <c r="AT24" s="34" t="n">
        <v>0.00498858297876947</v>
      </c>
      <c r="AU24" s="34" t="n">
        <v>9.99813135541736E-005</v>
      </c>
      <c r="AV24" s="34" t="n">
        <v>6.99865036139772E-005</v>
      </c>
      <c r="AW24" s="34" t="n">
        <v>0.00062897306552573</v>
      </c>
      <c r="AX24" s="34" t="n">
        <v>0.000405633860604876</v>
      </c>
      <c r="AY24" s="34" t="n">
        <v>0.000348217178356401</v>
      </c>
      <c r="AZ24" s="34" t="n">
        <v>0.000321812568171758</v>
      </c>
      <c r="BA24" s="34" t="n">
        <v>0.050785342667313</v>
      </c>
      <c r="BB24" s="34" t="n">
        <v>0.00363555833338384</v>
      </c>
      <c r="BC24" s="34" t="n">
        <v>0.00244727880418656</v>
      </c>
      <c r="BD24" s="34" t="n">
        <v>0.00237885284098159</v>
      </c>
      <c r="BE24" s="34" t="n">
        <v>0.00180444986199293</v>
      </c>
      <c r="BF24" s="34" t="n">
        <v>0.000406122460174359</v>
      </c>
      <c r="BG24" s="34" t="n">
        <v>0.00191165869856606</v>
      </c>
      <c r="BH24" s="34" t="n">
        <v>0.0027398003994673</v>
      </c>
      <c r="BI24" s="34" t="n">
        <v>0.0215292085015806</v>
      </c>
      <c r="BJ24" s="34" t="n">
        <v>0.000929812358197012</v>
      </c>
      <c r="BK24" s="34" t="n">
        <v>0.0039882209441961</v>
      </c>
      <c r="BL24" s="34" t="n">
        <v>7.17884523652791E-005</v>
      </c>
      <c r="BM24" s="34" t="n">
        <v>0.000999586669450203</v>
      </c>
      <c r="BN24" s="34" t="n">
        <v>0.000472596514406611</v>
      </c>
      <c r="BO24" s="34" t="n">
        <v>0.000307630079979403</v>
      </c>
      <c r="BP24" s="34" t="n">
        <v>0.000466776146497795</v>
      </c>
      <c r="BQ24" s="34" t="n">
        <v>0.000298251726665543</v>
      </c>
      <c r="BR24" s="34" t="n">
        <v>0.00768243637314697</v>
      </c>
      <c r="BS24" s="34" t="n">
        <v>0.00195741866076814</v>
      </c>
      <c r="BT24" s="34" t="n">
        <v>0</v>
      </c>
    </row>
    <row r="25" customFormat="false" ht="11.25" hidden="false" customHeight="true" outlineLevel="0" collapsed="false">
      <c r="B25" s="19" t="s">
        <v>101</v>
      </c>
      <c r="C25" s="20" t="s">
        <v>102</v>
      </c>
      <c r="D25" s="19" t="n">
        <v>19</v>
      </c>
      <c r="E25" s="33" t="n">
        <v>0.0260329202453326</v>
      </c>
      <c r="F25" s="33" t="n">
        <v>0.0255057555776303</v>
      </c>
      <c r="G25" s="33" t="n">
        <v>0.0175746068788873</v>
      </c>
      <c r="H25" s="33" t="n">
        <v>0.0566047304255293</v>
      </c>
      <c r="I25" s="33" t="n">
        <v>0.0112705617919956</v>
      </c>
      <c r="J25" s="33" t="n">
        <v>0.0440437780249352</v>
      </c>
      <c r="K25" s="33" t="n">
        <v>0.0677169559540696</v>
      </c>
      <c r="L25" s="33" t="n">
        <v>0.00964619858242046</v>
      </c>
      <c r="M25" s="33" t="n">
        <v>0.0188411570106839</v>
      </c>
      <c r="N25" s="33" t="n">
        <v>0.0111859272313428</v>
      </c>
      <c r="O25" s="33" t="n">
        <v>0.00913149179796046</v>
      </c>
      <c r="P25" s="33" t="n">
        <v>0.00147565631520308</v>
      </c>
      <c r="Q25" s="33" t="n">
        <v>0.00463381900511936</v>
      </c>
      <c r="R25" s="33" t="n">
        <v>0.00158264821900761</v>
      </c>
      <c r="S25" s="33" t="n">
        <v>0.00413674467320599</v>
      </c>
      <c r="T25" s="33" t="n">
        <v>0.00649340967828649</v>
      </c>
      <c r="U25" s="33" t="n">
        <v>0.0190984156582698</v>
      </c>
      <c r="V25" s="33" t="n">
        <v>0.00136538148679599</v>
      </c>
      <c r="W25" s="33" t="n">
        <v>0.249239285837604</v>
      </c>
      <c r="X25" s="33" t="n">
        <v>0.0131720104166836</v>
      </c>
      <c r="Y25" s="33" t="n">
        <v>0.0681960499728837</v>
      </c>
      <c r="Z25" s="33" t="n">
        <v>0.0101604372741174</v>
      </c>
      <c r="AA25" s="33" t="n">
        <v>0.00913056393746521</v>
      </c>
      <c r="AB25" s="33" t="n">
        <v>0.00249081623647103</v>
      </c>
      <c r="AC25" s="33" t="n">
        <v>0.0124273629721934</v>
      </c>
      <c r="AD25" s="33" t="n">
        <v>0.0349240053012735</v>
      </c>
      <c r="AE25" s="33" t="n">
        <v>0.0197727529716014</v>
      </c>
      <c r="AF25" s="33" t="n">
        <v>0.0323473942299662</v>
      </c>
      <c r="AG25" s="33" t="n">
        <v>0.00381289883166005</v>
      </c>
      <c r="AH25" s="33" t="n">
        <v>0.00180219707584638</v>
      </c>
      <c r="AI25" s="33" t="n">
        <v>0.00767275711847406</v>
      </c>
      <c r="AJ25" s="33" t="n">
        <v>0.00319846302994721</v>
      </c>
      <c r="AK25" s="33" t="n">
        <v>0.00486016983494164</v>
      </c>
      <c r="AL25" s="33" t="n">
        <v>0.00350717974407955</v>
      </c>
      <c r="AM25" s="33" t="n">
        <v>0.0020507947391009</v>
      </c>
      <c r="AN25" s="33" t="n">
        <v>0.0035675993769255</v>
      </c>
      <c r="AO25" s="33" t="n">
        <v>0.0041498955882702</v>
      </c>
      <c r="AP25" s="33" t="n">
        <v>0.00851223444718262</v>
      </c>
      <c r="AQ25" s="33" t="n">
        <v>0.0114333123607915</v>
      </c>
      <c r="AR25" s="33" t="n">
        <v>0.0113787860126944</v>
      </c>
      <c r="AS25" s="33" t="n">
        <v>0.00436010250002077</v>
      </c>
      <c r="AT25" s="33" t="n">
        <v>0.014192837780655</v>
      </c>
      <c r="AU25" s="33" t="n">
        <v>0.176485060132335</v>
      </c>
      <c r="AV25" s="33" t="n">
        <v>0.0702553344983606</v>
      </c>
      <c r="AW25" s="33" t="n">
        <v>0.139797901701468</v>
      </c>
      <c r="AX25" s="33" t="n">
        <v>0.0136598535524439</v>
      </c>
      <c r="AY25" s="33" t="n">
        <v>0.00249200544934905</v>
      </c>
      <c r="AZ25" s="33" t="n">
        <v>0.00705967767243247</v>
      </c>
      <c r="BA25" s="33" t="n">
        <v>0.000912295514439325</v>
      </c>
      <c r="BB25" s="33" t="n">
        <v>0.00107264689751069</v>
      </c>
      <c r="BC25" s="33" t="n">
        <v>0.000372983111410333</v>
      </c>
      <c r="BD25" s="33" t="n">
        <v>0.000705679767597186</v>
      </c>
      <c r="BE25" s="33" t="n">
        <v>0.00075786159609806</v>
      </c>
      <c r="BF25" s="33" t="n">
        <v>0.000110955887620118</v>
      </c>
      <c r="BG25" s="33" t="n">
        <v>0.00228129112545382</v>
      </c>
      <c r="BH25" s="33" t="n">
        <v>0.00520836608902424</v>
      </c>
      <c r="BI25" s="33" t="n">
        <v>0.000898540055132025</v>
      </c>
      <c r="BJ25" s="33" t="n">
        <v>0.0102981181193968</v>
      </c>
      <c r="BK25" s="33" t="n">
        <v>0.00145278131982711</v>
      </c>
      <c r="BL25" s="33" t="n">
        <v>0.00964381200878861</v>
      </c>
      <c r="BM25" s="33" t="n">
        <v>0.00273999250959307</v>
      </c>
      <c r="BN25" s="33" t="n">
        <v>0.000953544037387876</v>
      </c>
      <c r="BO25" s="33" t="n">
        <v>0.000989131190134698</v>
      </c>
      <c r="BP25" s="33" t="n">
        <v>0.000720703616306808</v>
      </c>
      <c r="BQ25" s="33" t="n">
        <v>0.000725712850326176</v>
      </c>
      <c r="BR25" s="33" t="n">
        <v>0.00270288265830819</v>
      </c>
      <c r="BS25" s="33" t="n">
        <v>0.00387249609491018</v>
      </c>
      <c r="BT25" s="33" t="n">
        <v>0</v>
      </c>
    </row>
    <row r="26" customFormat="false" ht="11.25" hidden="false" customHeight="true" outlineLevel="0" collapsed="false">
      <c r="B26" s="24" t="s">
        <v>103</v>
      </c>
      <c r="C26" s="25" t="s">
        <v>104</v>
      </c>
      <c r="D26" s="24" t="n">
        <v>20</v>
      </c>
      <c r="E26" s="34" t="n">
        <v>0.000201605872820069</v>
      </c>
      <c r="F26" s="34" t="n">
        <v>0.000954948409056247</v>
      </c>
      <c r="G26" s="34" t="n">
        <v>8.74690174077015E-005</v>
      </c>
      <c r="H26" s="34" t="n">
        <v>0.00014227018015241</v>
      </c>
      <c r="I26" s="34" t="n">
        <v>0.00302475151045676</v>
      </c>
      <c r="J26" s="34" t="n">
        <v>2.79500903214584E-005</v>
      </c>
      <c r="K26" s="34" t="n">
        <v>0.000134348210647591</v>
      </c>
      <c r="L26" s="34" t="n">
        <v>0.00178897285738717</v>
      </c>
      <c r="M26" s="34" t="n">
        <v>0.00510271913348448</v>
      </c>
      <c r="N26" s="34" t="n">
        <v>0.0047656159098748</v>
      </c>
      <c r="O26" s="34" t="n">
        <v>0.0034285629802942</v>
      </c>
      <c r="P26" s="34" t="n">
        <v>0.000109496281705619</v>
      </c>
      <c r="Q26" s="34" t="n">
        <v>0.000123923977617296</v>
      </c>
      <c r="R26" s="34" t="n">
        <v>0.000103183923557628</v>
      </c>
      <c r="S26" s="34" t="n">
        <v>0.0001866405603378</v>
      </c>
      <c r="T26" s="34" t="n">
        <v>0.00142707531705383</v>
      </c>
      <c r="U26" s="34" t="n">
        <v>0.000346876632503194</v>
      </c>
      <c r="V26" s="34" t="n">
        <v>4.4404979910962E-005</v>
      </c>
      <c r="W26" s="34" t="n">
        <v>0.0500111955667908</v>
      </c>
      <c r="X26" s="34" t="n">
        <v>0.00952627493883867</v>
      </c>
      <c r="Y26" s="34" t="n">
        <v>0.00171487245758935</v>
      </c>
      <c r="Z26" s="34" t="n">
        <v>0.00367870483602199</v>
      </c>
      <c r="AA26" s="34" t="n">
        <v>0.0262709022431694</v>
      </c>
      <c r="AB26" s="34" t="n">
        <v>0.0101188205519739</v>
      </c>
      <c r="AC26" s="34" t="n">
        <v>0.000133581719618833</v>
      </c>
      <c r="AD26" s="34" t="n">
        <v>0.000135714052937843</v>
      </c>
      <c r="AE26" s="34" t="n">
        <v>0.00012530149271822</v>
      </c>
      <c r="AF26" s="34" t="n">
        <v>7.32067530221056E-005</v>
      </c>
      <c r="AG26" s="34" t="n">
        <v>0.000433011646317254</v>
      </c>
      <c r="AH26" s="34" t="n">
        <v>6.13737790110078E-005</v>
      </c>
      <c r="AI26" s="34" t="n">
        <v>0.000143325379007631</v>
      </c>
      <c r="AJ26" s="34" t="n">
        <v>0.000199927793674762</v>
      </c>
      <c r="AK26" s="34" t="n">
        <v>8.6885738863172E-005</v>
      </c>
      <c r="AL26" s="34" t="n">
        <v>2.49041215891055E-005</v>
      </c>
      <c r="AM26" s="34" t="n">
        <v>4.55587864286992E-005</v>
      </c>
      <c r="AN26" s="34" t="n">
        <v>0.000119059343887217</v>
      </c>
      <c r="AO26" s="34" t="n">
        <v>5.77066806956673E-005</v>
      </c>
      <c r="AP26" s="34" t="n">
        <v>2.86044908601293E-005</v>
      </c>
      <c r="AQ26" s="34" t="n">
        <v>0.000481226072582911</v>
      </c>
      <c r="AR26" s="34" t="n">
        <v>0.000699385981377705</v>
      </c>
      <c r="AS26" s="34" t="n">
        <v>0.00232963913991184</v>
      </c>
      <c r="AT26" s="34" t="n">
        <v>0.000703360115438196</v>
      </c>
      <c r="AU26" s="34" t="n">
        <v>0.00223068002418109</v>
      </c>
      <c r="AV26" s="34" t="n">
        <v>0.000384346077104518</v>
      </c>
      <c r="AW26" s="34" t="n">
        <v>0.000874162552061323</v>
      </c>
      <c r="AX26" s="34" t="n">
        <v>0.000452756346526556</v>
      </c>
      <c r="AY26" s="34" t="n">
        <v>0.000655759113827104</v>
      </c>
      <c r="AZ26" s="34" t="n">
        <v>0.00159491633366669</v>
      </c>
      <c r="BA26" s="34" t="n">
        <v>0.000566660698481003</v>
      </c>
      <c r="BB26" s="34" t="n">
        <v>0.000429364903463177</v>
      </c>
      <c r="BC26" s="34" t="n">
        <v>0.000307694558370047</v>
      </c>
      <c r="BD26" s="34" t="n">
        <v>0.000348097900524166</v>
      </c>
      <c r="BE26" s="34" t="n">
        <v>0.000203081204181862</v>
      </c>
      <c r="BF26" s="34" t="n">
        <v>4.12961957027899E-005</v>
      </c>
      <c r="BG26" s="34" t="n">
        <v>0.000650550212396036</v>
      </c>
      <c r="BH26" s="34" t="n">
        <v>0.00232998144606723</v>
      </c>
      <c r="BI26" s="34" t="n">
        <v>0.000478223112690902</v>
      </c>
      <c r="BJ26" s="34" t="n">
        <v>0.00280645111115712</v>
      </c>
      <c r="BK26" s="34" t="n">
        <v>0.000697974752169854</v>
      </c>
      <c r="BL26" s="34" t="n">
        <v>0.00200378670564697</v>
      </c>
      <c r="BM26" s="34" t="n">
        <v>0.000743438661873299</v>
      </c>
      <c r="BN26" s="34" t="n">
        <v>0.000253805188128317</v>
      </c>
      <c r="BO26" s="34" t="n">
        <v>6.85359198693775E-005</v>
      </c>
      <c r="BP26" s="34" t="n">
        <v>0.000281737013877643</v>
      </c>
      <c r="BQ26" s="34" t="n">
        <v>0.000332703477755638</v>
      </c>
      <c r="BR26" s="34" t="n">
        <v>0.000741131121281254</v>
      </c>
      <c r="BS26" s="34" t="n">
        <v>0.00113138994945044</v>
      </c>
      <c r="BT26" s="34" t="n">
        <v>0</v>
      </c>
    </row>
    <row r="27" customFormat="false" ht="11.25" hidden="false" customHeight="true" outlineLevel="0" collapsed="false">
      <c r="B27" s="19" t="s">
        <v>105</v>
      </c>
      <c r="C27" s="20" t="s">
        <v>106</v>
      </c>
      <c r="D27" s="19" t="n">
        <v>21</v>
      </c>
      <c r="E27" s="33" t="n">
        <v>0.108977036781094</v>
      </c>
      <c r="F27" s="33" t="n">
        <v>0.0315489105007755</v>
      </c>
      <c r="G27" s="33" t="n">
        <v>0.0102452977808082</v>
      </c>
      <c r="H27" s="33" t="n">
        <v>0.009457900927952</v>
      </c>
      <c r="I27" s="33" t="n">
        <v>0.0186928027388725</v>
      </c>
      <c r="J27" s="33" t="n">
        <v>0.00290780885148203</v>
      </c>
      <c r="K27" s="33" t="n">
        <v>0.00832219475769171</v>
      </c>
      <c r="L27" s="33" t="n">
        <v>0.00171570124771455</v>
      </c>
      <c r="M27" s="33" t="n">
        <v>0.00383424241285363</v>
      </c>
      <c r="N27" s="33" t="n">
        <v>0.00309312433255832</v>
      </c>
      <c r="O27" s="33" t="n">
        <v>0.00122289987619452</v>
      </c>
      <c r="P27" s="33" t="n">
        <v>0.00156542793598328</v>
      </c>
      <c r="Q27" s="33" t="n">
        <v>0.0798182960081228</v>
      </c>
      <c r="R27" s="33" t="n">
        <v>0.00248236226562724</v>
      </c>
      <c r="S27" s="33" t="n">
        <v>0.0350649854615513</v>
      </c>
      <c r="T27" s="33" t="n">
        <v>0.0243797410832922</v>
      </c>
      <c r="U27" s="33" t="n">
        <v>0.0450092107770871</v>
      </c>
      <c r="V27" s="33" t="n">
        <v>0.00296202947990483</v>
      </c>
      <c r="W27" s="33" t="n">
        <v>0.00469437689934372</v>
      </c>
      <c r="X27" s="33" t="n">
        <v>0.00674778998734101</v>
      </c>
      <c r="Y27" s="33" t="n">
        <v>0.177410091791673</v>
      </c>
      <c r="Z27" s="33" t="n">
        <v>0.1224044844457</v>
      </c>
      <c r="AA27" s="33" t="n">
        <v>0.0854425812303407</v>
      </c>
      <c r="AB27" s="33" t="n">
        <v>0.0210950834388714</v>
      </c>
      <c r="AC27" s="33" t="n">
        <v>0.159151421077713</v>
      </c>
      <c r="AD27" s="33" t="n">
        <v>0.0296397711052208</v>
      </c>
      <c r="AE27" s="33" t="n">
        <v>0.00912332436899682</v>
      </c>
      <c r="AF27" s="33" t="n">
        <v>0.0150095292723286</v>
      </c>
      <c r="AG27" s="33" t="n">
        <v>0.0131368202169444</v>
      </c>
      <c r="AH27" s="33" t="n">
        <v>0.00171290136356385</v>
      </c>
      <c r="AI27" s="33" t="n">
        <v>0.0320263609788728</v>
      </c>
      <c r="AJ27" s="33" t="n">
        <v>0.00173641325287479</v>
      </c>
      <c r="AK27" s="33" t="n">
        <v>0.000905939478171715</v>
      </c>
      <c r="AL27" s="33" t="n">
        <v>0.0127011766209508</v>
      </c>
      <c r="AM27" s="33" t="n">
        <v>0.00629607005089394</v>
      </c>
      <c r="AN27" s="33" t="n">
        <v>0.0251096553128214</v>
      </c>
      <c r="AO27" s="33" t="n">
        <v>0.00192842729461048</v>
      </c>
      <c r="AP27" s="33" t="n">
        <v>0.000369026856699614</v>
      </c>
      <c r="AQ27" s="33" t="n">
        <v>0.00839228510230254</v>
      </c>
      <c r="AR27" s="33" t="n">
        <v>0.000723413833626393</v>
      </c>
      <c r="AS27" s="33" t="n">
        <v>0.000533402866563013</v>
      </c>
      <c r="AT27" s="33" t="n">
        <v>0.00114382010961292</v>
      </c>
      <c r="AU27" s="33" t="n">
        <v>0.000303918870457341</v>
      </c>
      <c r="AV27" s="33" t="n">
        <v>0.000154208394913119</v>
      </c>
      <c r="AW27" s="33" t="n">
        <v>0.00015438496669445</v>
      </c>
      <c r="AX27" s="33" t="n">
        <v>0.000405421340230757</v>
      </c>
      <c r="AY27" s="33" t="n">
        <v>0.000800825077740828</v>
      </c>
      <c r="AZ27" s="33" t="n">
        <v>0.000558314068413623</v>
      </c>
      <c r="BA27" s="33" t="n">
        <v>0.000589160660222454</v>
      </c>
      <c r="BB27" s="33" t="n">
        <v>0.000436077489868849</v>
      </c>
      <c r="BC27" s="33" t="n">
        <v>0.000434174871850072</v>
      </c>
      <c r="BD27" s="33" t="n">
        <v>0.000229503880345595</v>
      </c>
      <c r="BE27" s="33" t="n">
        <v>0.000124188597453348</v>
      </c>
      <c r="BF27" s="33" t="n">
        <v>9.73391396709164E-005</v>
      </c>
      <c r="BG27" s="33" t="n">
        <v>0.000424173313145417</v>
      </c>
      <c r="BH27" s="33" t="n">
        <v>0.00084441405302936</v>
      </c>
      <c r="BI27" s="33" t="n">
        <v>0.000321661516811289</v>
      </c>
      <c r="BJ27" s="33" t="n">
        <v>0.000530977728836043</v>
      </c>
      <c r="BK27" s="33" t="n">
        <v>0.000493257022427258</v>
      </c>
      <c r="BL27" s="33" t="n">
        <v>0.000152338516658186</v>
      </c>
      <c r="BM27" s="33" t="n">
        <v>0.000100262882846744</v>
      </c>
      <c r="BN27" s="33" t="n">
        <v>0.000201821726353423</v>
      </c>
      <c r="BO27" s="33" t="n">
        <v>0.000616830832421994</v>
      </c>
      <c r="BP27" s="33" t="n">
        <v>0.00200363758100864</v>
      </c>
      <c r="BQ27" s="33" t="n">
        <v>0.00189353715135211</v>
      </c>
      <c r="BR27" s="33" t="n">
        <v>0.00161097101250715</v>
      </c>
      <c r="BS27" s="33" t="n">
        <v>0.00225994108041434</v>
      </c>
      <c r="BT27" s="33" t="n">
        <v>0</v>
      </c>
    </row>
    <row r="28" customFormat="false" ht="11.25" hidden="false" customHeight="true" outlineLevel="0" collapsed="false">
      <c r="B28" s="24" t="s">
        <v>107</v>
      </c>
      <c r="C28" s="25" t="s">
        <v>108</v>
      </c>
      <c r="D28" s="24" t="n">
        <v>22</v>
      </c>
      <c r="E28" s="34" t="n">
        <v>0.0665794826855155</v>
      </c>
      <c r="F28" s="34" t="n">
        <v>0.0195033584828843</v>
      </c>
      <c r="G28" s="34" t="n">
        <v>0.00289852403536346</v>
      </c>
      <c r="H28" s="34" t="n">
        <v>0.0863551710020637</v>
      </c>
      <c r="I28" s="34" t="n">
        <v>0.00286116830509014</v>
      </c>
      <c r="J28" s="34" t="n">
        <v>0.00315805552764394</v>
      </c>
      <c r="K28" s="34" t="n">
        <v>0.00863164688075222</v>
      </c>
      <c r="L28" s="34" t="n">
        <v>0.00342682126467367</v>
      </c>
      <c r="M28" s="34" t="n">
        <v>0.00100214360067131</v>
      </c>
      <c r="N28" s="34" t="n">
        <v>0.00783261515938918</v>
      </c>
      <c r="O28" s="34" t="n">
        <v>0.00174968674697233</v>
      </c>
      <c r="P28" s="34" t="n">
        <v>0.000593020985667588</v>
      </c>
      <c r="Q28" s="34" t="n">
        <v>0.00835376875153954</v>
      </c>
      <c r="R28" s="34" t="n">
        <v>0.000983611466678112</v>
      </c>
      <c r="S28" s="34" t="n">
        <v>0.00634270795057604</v>
      </c>
      <c r="T28" s="34" t="n">
        <v>0.0256102454951446</v>
      </c>
      <c r="U28" s="34" t="n">
        <v>0.0175782283469705</v>
      </c>
      <c r="V28" s="34" t="n">
        <v>0.0364531992831028</v>
      </c>
      <c r="W28" s="34" t="n">
        <v>0.00128020795609211</v>
      </c>
      <c r="X28" s="34" t="n">
        <v>0.00281062640995039</v>
      </c>
      <c r="Y28" s="34" t="n">
        <v>0.0148887868131533</v>
      </c>
      <c r="Z28" s="34" t="n">
        <v>0.125686944962484</v>
      </c>
      <c r="AA28" s="34" t="n">
        <v>0.0389514069766741</v>
      </c>
      <c r="AB28" s="34" t="n">
        <v>0.013218575663309</v>
      </c>
      <c r="AC28" s="34" t="n">
        <v>0.0270241462169265</v>
      </c>
      <c r="AD28" s="34" t="n">
        <v>0.0128481254372258</v>
      </c>
      <c r="AE28" s="34" t="n">
        <v>0.00336167197759108</v>
      </c>
      <c r="AF28" s="34" t="n">
        <v>0.00149742699152937</v>
      </c>
      <c r="AG28" s="34" t="n">
        <v>0.0069194619554667</v>
      </c>
      <c r="AH28" s="34" t="n">
        <v>0.0021737733326211</v>
      </c>
      <c r="AI28" s="34" t="n">
        <v>0.00339722949871149</v>
      </c>
      <c r="AJ28" s="34" t="n">
        <v>0.00162853042897194</v>
      </c>
      <c r="AK28" s="34" t="n">
        <v>0.00303526769292108</v>
      </c>
      <c r="AL28" s="34" t="n">
        <v>0.0026071374591361</v>
      </c>
      <c r="AM28" s="34" t="n">
        <v>0.00265330914786369</v>
      </c>
      <c r="AN28" s="34" t="n">
        <v>0.00847407269499975</v>
      </c>
      <c r="AO28" s="34" t="n">
        <v>0.00881068480043808</v>
      </c>
      <c r="AP28" s="34" t="n">
        <v>0.000439302165012071</v>
      </c>
      <c r="AQ28" s="34" t="n">
        <v>0.00511049087300552</v>
      </c>
      <c r="AR28" s="34" t="n">
        <v>0.0156924384955117</v>
      </c>
      <c r="AS28" s="34" t="n">
        <v>0.00599378884905537</v>
      </c>
      <c r="AT28" s="34" t="n">
        <v>0.00176014206485173</v>
      </c>
      <c r="AU28" s="34" t="n">
        <v>0.000707715488305477</v>
      </c>
      <c r="AV28" s="34" t="n">
        <v>8.96953036234728E-005</v>
      </c>
      <c r="AW28" s="34" t="n">
        <v>0.000126514038307196</v>
      </c>
      <c r="AX28" s="34" t="n">
        <v>0.00044357821964528</v>
      </c>
      <c r="AY28" s="34" t="n">
        <v>0.00110298187814963</v>
      </c>
      <c r="AZ28" s="34" t="n">
        <v>0.000271488767224812</v>
      </c>
      <c r="BA28" s="34" t="n">
        <v>0.00610157124606467</v>
      </c>
      <c r="BB28" s="34" t="n">
        <v>0.00339801831914489</v>
      </c>
      <c r="BC28" s="34" t="n">
        <v>0.000362601108656795</v>
      </c>
      <c r="BD28" s="34" t="n">
        <v>0.000155367904700667</v>
      </c>
      <c r="BE28" s="34" t="n">
        <v>9.91525019330417E-005</v>
      </c>
      <c r="BF28" s="34" t="n">
        <v>0.00218850919545283</v>
      </c>
      <c r="BG28" s="34" t="n">
        <v>0.000206509680216191</v>
      </c>
      <c r="BH28" s="34" t="n">
        <v>0.000685422581052546</v>
      </c>
      <c r="BI28" s="34" t="n">
        <v>0.000364563127013993</v>
      </c>
      <c r="BJ28" s="34" t="n">
        <v>0.000439134093177343</v>
      </c>
      <c r="BK28" s="34" t="n">
        <v>0.00784187305964277</v>
      </c>
      <c r="BL28" s="34" t="n">
        <v>9.53525506089591E-005</v>
      </c>
      <c r="BM28" s="34" t="n">
        <v>0.000275305446912221</v>
      </c>
      <c r="BN28" s="34" t="n">
        <v>0.000814272538658573</v>
      </c>
      <c r="BO28" s="34" t="n">
        <v>0.000301041605899801</v>
      </c>
      <c r="BP28" s="34" t="n">
        <v>0.0051355625443526</v>
      </c>
      <c r="BQ28" s="34" t="n">
        <v>0.00022893521081654</v>
      </c>
      <c r="BR28" s="34" t="n">
        <v>0.00105901867335913</v>
      </c>
      <c r="BS28" s="34" t="n">
        <v>0.000887633097630512</v>
      </c>
      <c r="BT28" s="34" t="n">
        <v>0</v>
      </c>
    </row>
    <row r="29" customFormat="false" ht="11.25" hidden="false" customHeight="true" outlineLevel="0" collapsed="false">
      <c r="B29" s="19" t="s">
        <v>109</v>
      </c>
      <c r="C29" s="20" t="s">
        <v>110</v>
      </c>
      <c r="D29" s="19" t="n">
        <v>23</v>
      </c>
      <c r="E29" s="33" t="n">
        <v>0.00135976656137197</v>
      </c>
      <c r="F29" s="33" t="n">
        <v>0.000577028205903704</v>
      </c>
      <c r="G29" s="33" t="n">
        <v>8.67458992389337E-005</v>
      </c>
      <c r="H29" s="33" t="n">
        <v>0.00325055103212856</v>
      </c>
      <c r="I29" s="33" t="n">
        <v>0.00074536719566742</v>
      </c>
      <c r="J29" s="33" t="n">
        <v>0.000801875601014362</v>
      </c>
      <c r="K29" s="33" t="n">
        <v>0.0011052436272431</v>
      </c>
      <c r="L29" s="33" t="n">
        <v>0.0004255119537639</v>
      </c>
      <c r="M29" s="33" t="n">
        <v>0.000286715941816805</v>
      </c>
      <c r="N29" s="33" t="n">
        <v>0.000777118899815277</v>
      </c>
      <c r="O29" s="33" t="n">
        <v>0.00052182193933806</v>
      </c>
      <c r="P29" s="33" t="n">
        <v>0.000237371457484967</v>
      </c>
      <c r="Q29" s="33" t="n">
        <v>0.00164205943182187</v>
      </c>
      <c r="R29" s="33" t="n">
        <v>0.000671942153915488</v>
      </c>
      <c r="S29" s="33" t="n">
        <v>0.000850768923182518</v>
      </c>
      <c r="T29" s="33" t="n">
        <v>0.00148501634728716</v>
      </c>
      <c r="U29" s="33" t="n">
        <v>0.00174826657473189</v>
      </c>
      <c r="V29" s="33" t="n">
        <v>0.00136926955539593</v>
      </c>
      <c r="W29" s="33" t="n">
        <v>0.000776389971468579</v>
      </c>
      <c r="X29" s="33" t="n">
        <v>0.000365687103247371</v>
      </c>
      <c r="Y29" s="33" t="n">
        <v>0.00396799763433897</v>
      </c>
      <c r="Z29" s="33" t="n">
        <v>0.00666415825808419</v>
      </c>
      <c r="AA29" s="33" t="n">
        <v>0.0224876999657197</v>
      </c>
      <c r="AB29" s="33" t="n">
        <v>0.00139916876862387</v>
      </c>
      <c r="AC29" s="33" t="n">
        <v>0.00223039396217478</v>
      </c>
      <c r="AD29" s="33" t="n">
        <v>0.00112537284707572</v>
      </c>
      <c r="AE29" s="33" t="n">
        <v>0.00042041997160207</v>
      </c>
      <c r="AF29" s="33" t="n">
        <v>0.000789294360984433</v>
      </c>
      <c r="AG29" s="33" t="n">
        <v>0.00392425469069203</v>
      </c>
      <c r="AH29" s="33" t="n">
        <v>0.000312641455801095</v>
      </c>
      <c r="AI29" s="33" t="n">
        <v>0.000574046542402941</v>
      </c>
      <c r="AJ29" s="33" t="n">
        <v>0.000344676396677067</v>
      </c>
      <c r="AK29" s="33" t="n">
        <v>0.000225628498220212</v>
      </c>
      <c r="AL29" s="33" t="n">
        <v>0.000444700299784391</v>
      </c>
      <c r="AM29" s="33" t="n">
        <v>0.000236467228771664</v>
      </c>
      <c r="AN29" s="33" t="n">
        <v>0.000736877127008118</v>
      </c>
      <c r="AO29" s="33" t="n">
        <v>0.00032317481162051</v>
      </c>
      <c r="AP29" s="33" t="n">
        <v>6.28730708039293E-005</v>
      </c>
      <c r="AQ29" s="33" t="n">
        <v>0.000766765641832421</v>
      </c>
      <c r="AR29" s="33" t="n">
        <v>0.000455441557455188</v>
      </c>
      <c r="AS29" s="33" t="n">
        <v>0.000891708343911096</v>
      </c>
      <c r="AT29" s="33" t="n">
        <v>0.00163950106788482</v>
      </c>
      <c r="AU29" s="33" t="n">
        <v>0.000648898066671037</v>
      </c>
      <c r="AV29" s="33" t="n">
        <v>0.000273839310883368</v>
      </c>
      <c r="AW29" s="33" t="n">
        <v>3.4425723110608E-005</v>
      </c>
      <c r="AX29" s="33" t="n">
        <v>0.000682374555845967</v>
      </c>
      <c r="AY29" s="33" t="n">
        <v>0.00239931197348367</v>
      </c>
      <c r="AZ29" s="33" t="n">
        <v>0.000306085127917713</v>
      </c>
      <c r="BA29" s="33" t="n">
        <v>0.00119012727437847</v>
      </c>
      <c r="BB29" s="33" t="n">
        <v>0.000933861030209917</v>
      </c>
      <c r="BC29" s="33" t="n">
        <v>0.000497145114994126</v>
      </c>
      <c r="BD29" s="33" t="n">
        <v>0.000118468722875593</v>
      </c>
      <c r="BE29" s="33" t="n">
        <v>6.44789962400642E-005</v>
      </c>
      <c r="BF29" s="33" t="n">
        <v>3.40108117000464E-005</v>
      </c>
      <c r="BG29" s="33" t="n">
        <v>0.00102556991887816</v>
      </c>
      <c r="BH29" s="33" t="n">
        <v>0.00134411177793512</v>
      </c>
      <c r="BI29" s="33" t="n">
        <v>0.0022407453454226</v>
      </c>
      <c r="BJ29" s="33" t="n">
        <v>0.00163439458965313</v>
      </c>
      <c r="BK29" s="33" t="n">
        <v>0.00602740894486845</v>
      </c>
      <c r="BL29" s="33" t="n">
        <v>5.87964103077895E-005</v>
      </c>
      <c r="BM29" s="33" t="n">
        <v>0.000229533257798692</v>
      </c>
      <c r="BN29" s="33" t="n">
        <v>0.000403719784616161</v>
      </c>
      <c r="BO29" s="33" t="n">
        <v>0.00108164959975948</v>
      </c>
      <c r="BP29" s="33" t="n">
        <v>0.000750149204053439</v>
      </c>
      <c r="BQ29" s="33" t="n">
        <v>0.00225550283419676</v>
      </c>
      <c r="BR29" s="33" t="n">
        <v>0.00397483227005709</v>
      </c>
      <c r="BS29" s="33" t="n">
        <v>0.00631652622924587</v>
      </c>
      <c r="BT29" s="33" t="n">
        <v>0</v>
      </c>
    </row>
    <row r="30" customFormat="false" ht="11.25" hidden="false" customHeight="true" outlineLevel="0" collapsed="false">
      <c r="B30" s="24" t="s">
        <v>111</v>
      </c>
      <c r="C30" s="25" t="s">
        <v>112</v>
      </c>
      <c r="D30" s="24" t="n">
        <v>24</v>
      </c>
      <c r="E30" s="34" t="n">
        <v>0.00133228397090439</v>
      </c>
      <c r="F30" s="34" t="n">
        <v>0.0115122048023326</v>
      </c>
      <c r="G30" s="34" t="n">
        <v>0.000424463429059145</v>
      </c>
      <c r="H30" s="34" t="n">
        <v>0.000322492600953675</v>
      </c>
      <c r="I30" s="34" t="n">
        <v>0.00166509717900576</v>
      </c>
      <c r="J30" s="34" t="n">
        <v>0.000141467926203648</v>
      </c>
      <c r="K30" s="34" t="n">
        <v>0.00017544143970308</v>
      </c>
      <c r="L30" s="34" t="n">
        <v>0.000472043899134239</v>
      </c>
      <c r="M30" s="34" t="n">
        <v>9.89128311505371E-005</v>
      </c>
      <c r="N30" s="34" t="n">
        <v>0.000958737621485913</v>
      </c>
      <c r="O30" s="34" t="n">
        <v>0.000129817370429765</v>
      </c>
      <c r="P30" s="34" t="n">
        <v>0.000195021739013806</v>
      </c>
      <c r="Q30" s="34" t="n">
        <v>0.000501304179497086</v>
      </c>
      <c r="R30" s="34" t="n">
        <v>0.000503718539826959</v>
      </c>
      <c r="S30" s="34" t="n">
        <v>0.000530775549591055</v>
      </c>
      <c r="T30" s="34" t="n">
        <v>0.000212163473815399</v>
      </c>
      <c r="U30" s="34" t="n">
        <v>0.000522659611339405</v>
      </c>
      <c r="V30" s="34" t="n">
        <v>9.95090240403158E-005</v>
      </c>
      <c r="W30" s="34" t="n">
        <v>6.79261071199885E-005</v>
      </c>
      <c r="X30" s="34" t="n">
        <v>0.000222697361734633</v>
      </c>
      <c r="Y30" s="34" t="n">
        <v>0.00140787634852908</v>
      </c>
      <c r="Z30" s="34" t="n">
        <v>0.00600518381192616</v>
      </c>
      <c r="AA30" s="34" t="n">
        <v>0.00168656369318688</v>
      </c>
      <c r="AB30" s="34" t="n">
        <v>0.0515999293377219</v>
      </c>
      <c r="AC30" s="34" t="n">
        <v>0.000496190328098356</v>
      </c>
      <c r="AD30" s="34" t="n">
        <v>0.000233989460162237</v>
      </c>
      <c r="AE30" s="34" t="n">
        <v>0.000201045152457363</v>
      </c>
      <c r="AF30" s="34" t="n">
        <v>0.000188789497344902</v>
      </c>
      <c r="AG30" s="34" t="n">
        <v>0.000283473260943824</v>
      </c>
      <c r="AH30" s="34" t="n">
        <v>0.000101763145838522</v>
      </c>
      <c r="AI30" s="34" t="n">
        <v>0.000232362322098012</v>
      </c>
      <c r="AJ30" s="34" t="n">
        <v>0.000294591712705661</v>
      </c>
      <c r="AK30" s="34" t="n">
        <v>0.000117147808337558</v>
      </c>
      <c r="AL30" s="34" t="n">
        <v>9.09557228589754E-005</v>
      </c>
      <c r="AM30" s="34" t="n">
        <v>9.18978421242508E-005</v>
      </c>
      <c r="AN30" s="34" t="n">
        <v>0.000338425144431176</v>
      </c>
      <c r="AO30" s="34" t="n">
        <v>5.44190299045897E-005</v>
      </c>
      <c r="AP30" s="34" t="n">
        <v>1.67470118787357E-005</v>
      </c>
      <c r="AQ30" s="34" t="n">
        <v>8.21053597028421E-005</v>
      </c>
      <c r="AR30" s="34" t="n">
        <v>3.863799830401E-005</v>
      </c>
      <c r="AS30" s="34" t="n">
        <v>8.62646001639812E-005</v>
      </c>
      <c r="AT30" s="34" t="n">
        <v>0.000433365365773631</v>
      </c>
      <c r="AU30" s="34" t="n">
        <v>5.12553697025902E-005</v>
      </c>
      <c r="AV30" s="34" t="n">
        <v>8.12734477386689E-005</v>
      </c>
      <c r="AW30" s="34" t="n">
        <v>5.61054567545226E-005</v>
      </c>
      <c r="AX30" s="34" t="n">
        <v>9.40509374468126E-005</v>
      </c>
      <c r="AY30" s="34" t="n">
        <v>0.000216023742283874</v>
      </c>
      <c r="AZ30" s="34" t="n">
        <v>0.000178285836142175</v>
      </c>
      <c r="BA30" s="34" t="n">
        <v>0.00026092322683857</v>
      </c>
      <c r="BB30" s="34" t="n">
        <v>0.000187464727323364</v>
      </c>
      <c r="BC30" s="34" t="n">
        <v>0.000214058612602399</v>
      </c>
      <c r="BD30" s="34" t="n">
        <v>8.8962707378658E-005</v>
      </c>
      <c r="BE30" s="34" t="n">
        <v>2.79064601290197E-005</v>
      </c>
      <c r="BF30" s="34" t="n">
        <v>1.23638933136353E-005</v>
      </c>
      <c r="BG30" s="34" t="n">
        <v>0.000117687944232374</v>
      </c>
      <c r="BH30" s="34" t="n">
        <v>0.000539743930329993</v>
      </c>
      <c r="BI30" s="34" t="n">
        <v>0.000389566947736188</v>
      </c>
      <c r="BJ30" s="34" t="n">
        <v>0.000226949198582511</v>
      </c>
      <c r="BK30" s="34" t="n">
        <v>0.000236280673886907</v>
      </c>
      <c r="BL30" s="34" t="n">
        <v>4.269813924283E-005</v>
      </c>
      <c r="BM30" s="34" t="n">
        <v>0.000598634357924901</v>
      </c>
      <c r="BN30" s="34" t="n">
        <v>0.00097966802198026</v>
      </c>
      <c r="BO30" s="34" t="n">
        <v>0.00170904323979062</v>
      </c>
      <c r="BP30" s="34" t="n">
        <v>0.0163263139730265</v>
      </c>
      <c r="BQ30" s="34" t="n">
        <v>0.0299493044509461</v>
      </c>
      <c r="BR30" s="34" t="n">
        <v>0.000465378691704786</v>
      </c>
      <c r="BS30" s="34" t="n">
        <v>0.00353814481222682</v>
      </c>
      <c r="BT30" s="34" t="n">
        <v>0</v>
      </c>
    </row>
    <row r="31" customFormat="false" ht="11.25" hidden="false" customHeight="true" outlineLevel="0" collapsed="false">
      <c r="B31" s="19" t="s">
        <v>113</v>
      </c>
      <c r="C31" s="20" t="s">
        <v>114</v>
      </c>
      <c r="D31" s="19" t="n">
        <v>25</v>
      </c>
      <c r="E31" s="33" t="n">
        <v>0.00159687787173984</v>
      </c>
      <c r="F31" s="33" t="n">
        <v>0.00135783117338649</v>
      </c>
      <c r="G31" s="33" t="n">
        <v>0.00130289493555802</v>
      </c>
      <c r="H31" s="33" t="n">
        <v>0.00615122732639749</v>
      </c>
      <c r="I31" s="33" t="n">
        <v>0.00108843861593041</v>
      </c>
      <c r="J31" s="33" t="n">
        <v>0.0079656358636301</v>
      </c>
      <c r="K31" s="33" t="n">
        <v>0.00538573779453873</v>
      </c>
      <c r="L31" s="33" t="n">
        <v>0.00894863372597056</v>
      </c>
      <c r="M31" s="33" t="n">
        <v>0.00292734282898693</v>
      </c>
      <c r="N31" s="33" t="n">
        <v>0.0221551689586184</v>
      </c>
      <c r="O31" s="33" t="n">
        <v>0.033574349923525</v>
      </c>
      <c r="P31" s="33" t="n">
        <v>0.000634443939747281</v>
      </c>
      <c r="Q31" s="33" t="n">
        <v>0.00592140029184674</v>
      </c>
      <c r="R31" s="33" t="n">
        <v>0.00267249082011071</v>
      </c>
      <c r="S31" s="33" t="n">
        <v>0.0168480511966009</v>
      </c>
      <c r="T31" s="33" t="n">
        <v>0.00813813831710496</v>
      </c>
      <c r="U31" s="33" t="n">
        <v>0.00797034964819824</v>
      </c>
      <c r="V31" s="33" t="n">
        <v>0.035400986072375</v>
      </c>
      <c r="W31" s="33" t="n">
        <v>0.000253107734081422</v>
      </c>
      <c r="X31" s="33" t="n">
        <v>0.000632911467558382</v>
      </c>
      <c r="Y31" s="33" t="n">
        <v>0.00868005974339507</v>
      </c>
      <c r="Z31" s="33" t="n">
        <v>0.00796245699793926</v>
      </c>
      <c r="AA31" s="33" t="n">
        <v>0.0297644452771585</v>
      </c>
      <c r="AB31" s="33" t="n">
        <v>0.0058773357550479</v>
      </c>
      <c r="AC31" s="33" t="n">
        <v>0.12116202118535</v>
      </c>
      <c r="AD31" s="33" t="n">
        <v>0.0230138951881732</v>
      </c>
      <c r="AE31" s="33" t="n">
        <v>0.00377564856528336</v>
      </c>
      <c r="AF31" s="33" t="n">
        <v>0.00103981020910581</v>
      </c>
      <c r="AG31" s="33" t="n">
        <v>0.00777278417199483</v>
      </c>
      <c r="AH31" s="33" t="n">
        <v>0.00945885001927109</v>
      </c>
      <c r="AI31" s="33" t="n">
        <v>0.022308048118485</v>
      </c>
      <c r="AJ31" s="33" t="n">
        <v>0.0162727951139169</v>
      </c>
      <c r="AK31" s="33" t="n">
        <v>0.0463505407822368</v>
      </c>
      <c r="AL31" s="33" t="n">
        <v>0.0377810393610537</v>
      </c>
      <c r="AM31" s="33" t="n">
        <v>0.0198867479611549</v>
      </c>
      <c r="AN31" s="33" t="n">
        <v>0.029600992879096</v>
      </c>
      <c r="AO31" s="33" t="n">
        <v>0.0181845054858774</v>
      </c>
      <c r="AP31" s="33" t="n">
        <v>0.000881353958087254</v>
      </c>
      <c r="AQ31" s="33" t="n">
        <v>0.00788827345296084</v>
      </c>
      <c r="AR31" s="33" t="n">
        <v>0.0274195299631741</v>
      </c>
      <c r="AS31" s="33" t="n">
        <v>0.012114565481344</v>
      </c>
      <c r="AT31" s="33" t="n">
        <v>0.00565404002060369</v>
      </c>
      <c r="AU31" s="33" t="n">
        <v>0.0168985161464503</v>
      </c>
      <c r="AV31" s="33" t="n">
        <v>0.000189923611377132</v>
      </c>
      <c r="AW31" s="33" t="n">
        <v>0.0192722996701017</v>
      </c>
      <c r="AX31" s="33" t="n">
        <v>0.00107619514587189</v>
      </c>
      <c r="AY31" s="33" t="n">
        <v>0.00115208620341117</v>
      </c>
      <c r="AZ31" s="33" t="n">
        <v>0.00208207611332547</v>
      </c>
      <c r="BA31" s="33" t="n">
        <v>0.00101759516465847</v>
      </c>
      <c r="BB31" s="33" t="n">
        <v>0.000320840752806393</v>
      </c>
      <c r="BC31" s="33" t="n">
        <v>0.000316886815496314</v>
      </c>
      <c r="BD31" s="33" t="n">
        <v>0.000227226739740501</v>
      </c>
      <c r="BE31" s="33" t="n">
        <v>0.000174161397198237</v>
      </c>
      <c r="BF31" s="33" t="n">
        <v>0.000311297828048713</v>
      </c>
      <c r="BG31" s="33" t="n">
        <v>0.00220659009560921</v>
      </c>
      <c r="BH31" s="33" t="n">
        <v>0.000551472065093719</v>
      </c>
      <c r="BI31" s="33" t="n">
        <v>0.000349355409006487</v>
      </c>
      <c r="BJ31" s="33" t="n">
        <v>0.00654281542205798</v>
      </c>
      <c r="BK31" s="33" t="n">
        <v>0.00234559450905966</v>
      </c>
      <c r="BL31" s="33" t="n">
        <v>0.000121589291067692</v>
      </c>
      <c r="BM31" s="33" t="n">
        <v>0.000234246496714429</v>
      </c>
      <c r="BN31" s="33" t="n">
        <v>0.0006212791398215</v>
      </c>
      <c r="BO31" s="33" t="n">
        <v>0.000471807677535785</v>
      </c>
      <c r="BP31" s="33" t="n">
        <v>0.0042909134268236</v>
      </c>
      <c r="BQ31" s="33" t="n">
        <v>0.00185561155397703</v>
      </c>
      <c r="BR31" s="33" t="n">
        <v>0.00117221951178786</v>
      </c>
      <c r="BS31" s="33" t="n">
        <v>0.00117977577453655</v>
      </c>
      <c r="BT31" s="33" t="n">
        <v>0</v>
      </c>
    </row>
    <row r="32" customFormat="false" ht="11.25" hidden="false" customHeight="true" outlineLevel="0" collapsed="false">
      <c r="B32" s="24" t="s">
        <v>115</v>
      </c>
      <c r="C32" s="25" t="s">
        <v>116</v>
      </c>
      <c r="D32" s="24" t="n">
        <v>26</v>
      </c>
      <c r="E32" s="34" t="n">
        <v>0.00741989920923896</v>
      </c>
      <c r="F32" s="34" t="n">
        <v>0.0122433193249736</v>
      </c>
      <c r="G32" s="34" t="n">
        <v>0.00202823709938486</v>
      </c>
      <c r="H32" s="34" t="n">
        <v>0.00364593758855272</v>
      </c>
      <c r="I32" s="34" t="n">
        <v>0.000398036115369093</v>
      </c>
      <c r="J32" s="34" t="n">
        <v>0.00017166595118898</v>
      </c>
      <c r="K32" s="34" t="n">
        <v>0.000853974279615154</v>
      </c>
      <c r="L32" s="34" t="n">
        <v>0.000316111731447273</v>
      </c>
      <c r="M32" s="34" t="n">
        <v>0.00246472672322106</v>
      </c>
      <c r="N32" s="34" t="n">
        <v>0.00534085096046705</v>
      </c>
      <c r="O32" s="34" t="n">
        <v>0.0251845338527146</v>
      </c>
      <c r="P32" s="34" t="n">
        <v>0.000156843094624542</v>
      </c>
      <c r="Q32" s="34" t="n">
        <v>0.000372884141571083</v>
      </c>
      <c r="R32" s="34" t="n">
        <v>0.000192351761947413</v>
      </c>
      <c r="S32" s="34" t="n">
        <v>0.000336054310314949</v>
      </c>
      <c r="T32" s="34" t="n">
        <v>0.000470259199293319</v>
      </c>
      <c r="U32" s="34" t="n">
        <v>0.00307654757068504</v>
      </c>
      <c r="V32" s="34" t="n">
        <v>0.000679024138606049</v>
      </c>
      <c r="W32" s="34" t="n">
        <v>3.05887109450549E-005</v>
      </c>
      <c r="X32" s="34" t="n">
        <v>0.000203769475343139</v>
      </c>
      <c r="Y32" s="34" t="n">
        <v>0.00461192994529453</v>
      </c>
      <c r="Z32" s="34" t="n">
        <v>0.00245841957615683</v>
      </c>
      <c r="AA32" s="34" t="n">
        <v>0.007926311517989</v>
      </c>
      <c r="AB32" s="34" t="n">
        <v>0.00111885561655034</v>
      </c>
      <c r="AC32" s="34" t="n">
        <v>0.00467651503187986</v>
      </c>
      <c r="AD32" s="34" t="n">
        <v>0.096940990842535</v>
      </c>
      <c r="AE32" s="34" t="n">
        <v>0.00287818895284205</v>
      </c>
      <c r="AF32" s="34" t="n">
        <v>0.000494602517618694</v>
      </c>
      <c r="AG32" s="34" t="n">
        <v>0.0021437377973896</v>
      </c>
      <c r="AH32" s="34" t="n">
        <v>0.000179927400189333</v>
      </c>
      <c r="AI32" s="34" t="n">
        <v>0.00428674168088641</v>
      </c>
      <c r="AJ32" s="34" t="n">
        <v>0.0022146864475561</v>
      </c>
      <c r="AK32" s="34" t="n">
        <v>0.0125780305076201</v>
      </c>
      <c r="AL32" s="34" t="n">
        <v>0.00172242021796047</v>
      </c>
      <c r="AM32" s="34" t="n">
        <v>0.00342959843574405</v>
      </c>
      <c r="AN32" s="34" t="n">
        <v>0.00717540344374404</v>
      </c>
      <c r="AO32" s="34" t="n">
        <v>0.0027800802305582</v>
      </c>
      <c r="AP32" s="34" t="n">
        <v>0.00464243859428491</v>
      </c>
      <c r="AQ32" s="34" t="n">
        <v>0.0129236400537277</v>
      </c>
      <c r="AR32" s="34" t="n">
        <v>0.0830582105114108</v>
      </c>
      <c r="AS32" s="34" t="n">
        <v>0.0019099973593369</v>
      </c>
      <c r="AT32" s="34" t="n">
        <v>0.000325083075766889</v>
      </c>
      <c r="AU32" s="34" t="n">
        <v>0.000153578439995859</v>
      </c>
      <c r="AV32" s="34" t="n">
        <v>5.30969242952037E-005</v>
      </c>
      <c r="AW32" s="34" t="n">
        <v>2.39039667720807E-005</v>
      </c>
      <c r="AX32" s="34" t="n">
        <v>0.000242062547623535</v>
      </c>
      <c r="AY32" s="34" t="n">
        <v>0.0076888641763396</v>
      </c>
      <c r="AZ32" s="34" t="n">
        <v>0.00298129057752202</v>
      </c>
      <c r="BA32" s="34" t="n">
        <v>0.000297099252282487</v>
      </c>
      <c r="BB32" s="34" t="n">
        <v>0.000195658894516068</v>
      </c>
      <c r="BC32" s="34" t="n">
        <v>0.000197548545960422</v>
      </c>
      <c r="BD32" s="34" t="n">
        <v>0.00010414037994802</v>
      </c>
      <c r="BE32" s="34" t="n">
        <v>5.19828262582412E-005</v>
      </c>
      <c r="BF32" s="34" t="n">
        <v>0.00391515428072022</v>
      </c>
      <c r="BG32" s="34" t="n">
        <v>0.000182077321949707</v>
      </c>
      <c r="BH32" s="34" t="n">
        <v>0.000268032007411804</v>
      </c>
      <c r="BI32" s="34" t="n">
        <v>9.59537345652875E-005</v>
      </c>
      <c r="BJ32" s="34" t="n">
        <v>0.000174754074882567</v>
      </c>
      <c r="BK32" s="34" t="n">
        <v>0.000491044362491187</v>
      </c>
      <c r="BL32" s="34" t="n">
        <v>5.91096207230685E-005</v>
      </c>
      <c r="BM32" s="34" t="n">
        <v>0.000460673975616437</v>
      </c>
      <c r="BN32" s="34" t="n">
        <v>0.000403866249135268</v>
      </c>
      <c r="BO32" s="34" t="n">
        <v>0.000254104232539595</v>
      </c>
      <c r="BP32" s="34" t="n">
        <v>0.00113793272875504</v>
      </c>
      <c r="BQ32" s="34" t="n">
        <v>0.000447515995266678</v>
      </c>
      <c r="BR32" s="34" t="n">
        <v>0.000646291285274854</v>
      </c>
      <c r="BS32" s="34" t="n">
        <v>0.00182886633326811</v>
      </c>
      <c r="BT32" s="34" t="n">
        <v>0</v>
      </c>
    </row>
    <row r="33" customFormat="false" ht="11.25" hidden="false" customHeight="true" outlineLevel="0" collapsed="false">
      <c r="B33" s="19" t="s">
        <v>117</v>
      </c>
      <c r="C33" s="20" t="s">
        <v>118</v>
      </c>
      <c r="D33" s="19" t="n">
        <v>27</v>
      </c>
      <c r="E33" s="33" t="n">
        <v>0.000561204972991965</v>
      </c>
      <c r="F33" s="33" t="n">
        <v>0.00225085517506279</v>
      </c>
      <c r="G33" s="33" t="n">
        <v>0.000670717358405224</v>
      </c>
      <c r="H33" s="33" t="n">
        <v>0.00540215497190379</v>
      </c>
      <c r="I33" s="33" t="n">
        <v>0.0637817493864288</v>
      </c>
      <c r="J33" s="33" t="n">
        <v>0.000726384125617727</v>
      </c>
      <c r="K33" s="33" t="n">
        <v>0.00577320080214905</v>
      </c>
      <c r="L33" s="33" t="n">
        <v>0.00128196045965114</v>
      </c>
      <c r="M33" s="33" t="n">
        <v>0.000133062543341352</v>
      </c>
      <c r="N33" s="33" t="n">
        <v>0.000684246605960194</v>
      </c>
      <c r="O33" s="33" t="n">
        <v>0.00274970343102983</v>
      </c>
      <c r="P33" s="33" t="n">
        <v>0.00011894598374582</v>
      </c>
      <c r="Q33" s="33" t="n">
        <v>0.000544105840314782</v>
      </c>
      <c r="R33" s="33" t="n">
        <v>0.000163062544476731</v>
      </c>
      <c r="S33" s="33" t="n">
        <v>0.000287790811917399</v>
      </c>
      <c r="T33" s="33" t="n">
        <v>0.00111577839959704</v>
      </c>
      <c r="U33" s="33" t="n">
        <v>0.00228407004733196</v>
      </c>
      <c r="V33" s="33" t="n">
        <v>0.000304222486067601</v>
      </c>
      <c r="W33" s="33" t="n">
        <v>0.000115983038236475</v>
      </c>
      <c r="X33" s="33" t="n">
        <v>0.00011094768212036</v>
      </c>
      <c r="Y33" s="33" t="n">
        <v>0.000600219375697492</v>
      </c>
      <c r="Z33" s="33" t="n">
        <v>0.00094861525636994</v>
      </c>
      <c r="AA33" s="33" t="n">
        <v>0.00143642159599001</v>
      </c>
      <c r="AB33" s="33" t="n">
        <v>0.000324972262473751</v>
      </c>
      <c r="AC33" s="33" t="n">
        <v>0.00818411505257171</v>
      </c>
      <c r="AD33" s="33" t="n">
        <v>0.0107214245280749</v>
      </c>
      <c r="AE33" s="33" t="n">
        <v>0.0947762781956035</v>
      </c>
      <c r="AF33" s="33" t="n">
        <v>0.0134935884748915</v>
      </c>
      <c r="AG33" s="33" t="n">
        <v>0.196017858531125</v>
      </c>
      <c r="AH33" s="33" t="n">
        <v>0.000985953632243931</v>
      </c>
      <c r="AI33" s="33" t="n">
        <v>0.0386674683288169</v>
      </c>
      <c r="AJ33" s="33" t="n">
        <v>0.0656859338930202</v>
      </c>
      <c r="AK33" s="33" t="n">
        <v>0.0339774985574356</v>
      </c>
      <c r="AL33" s="33" t="n">
        <v>0.0849258744036836</v>
      </c>
      <c r="AM33" s="33" t="n">
        <v>0.017875811878926</v>
      </c>
      <c r="AN33" s="33" t="n">
        <v>0.0184256415150285</v>
      </c>
      <c r="AO33" s="33" t="n">
        <v>0.0164840060072023</v>
      </c>
      <c r="AP33" s="33" t="n">
        <v>0.000954888236553197</v>
      </c>
      <c r="AQ33" s="33" t="n">
        <v>0.00195988304067337</v>
      </c>
      <c r="AR33" s="33" t="n">
        <v>0.0263371406396852</v>
      </c>
      <c r="AS33" s="33" t="n">
        <v>0.000518446894484751</v>
      </c>
      <c r="AT33" s="33" t="n">
        <v>0.00193700327008181</v>
      </c>
      <c r="AU33" s="33" t="n">
        <v>0.000178340968686519</v>
      </c>
      <c r="AV33" s="33" t="n">
        <v>6.01629329771766E-005</v>
      </c>
      <c r="AW33" s="33" t="n">
        <v>3.89989629915165E-005</v>
      </c>
      <c r="AX33" s="33" t="n">
        <v>0.000326536015831168</v>
      </c>
      <c r="AY33" s="33" t="n">
        <v>0.00079456331602396</v>
      </c>
      <c r="AZ33" s="33" t="n">
        <v>0.00064087606381544</v>
      </c>
      <c r="BA33" s="33" t="n">
        <v>0.000160223081888026</v>
      </c>
      <c r="BB33" s="33" t="n">
        <v>0.000175723439812471</v>
      </c>
      <c r="BC33" s="33" t="n">
        <v>0.000181272029736362</v>
      </c>
      <c r="BD33" s="33" t="n">
        <v>0.000339221345767736</v>
      </c>
      <c r="BE33" s="33" t="n">
        <v>9.5193813350746E-005</v>
      </c>
      <c r="BF33" s="33" t="n">
        <v>0.000102012721529099</v>
      </c>
      <c r="BG33" s="33" t="n">
        <v>0.000299186692194205</v>
      </c>
      <c r="BH33" s="33" t="n">
        <v>0.000586166310467191</v>
      </c>
      <c r="BI33" s="33" t="n">
        <v>0.000143074866863115</v>
      </c>
      <c r="BJ33" s="33" t="n">
        <v>0.00494277375943753</v>
      </c>
      <c r="BK33" s="33" t="n">
        <v>0.000224730978952366</v>
      </c>
      <c r="BL33" s="33" t="n">
        <v>0.000200203842222693</v>
      </c>
      <c r="BM33" s="33" t="n">
        <v>0.000258972422340505</v>
      </c>
      <c r="BN33" s="33" t="n">
        <v>0.000127195356942798</v>
      </c>
      <c r="BO33" s="33" t="n">
        <v>0.000482052243775775</v>
      </c>
      <c r="BP33" s="33" t="n">
        <v>0.00014567925028244</v>
      </c>
      <c r="BQ33" s="33" t="n">
        <v>0.000112930270843656</v>
      </c>
      <c r="BR33" s="33" t="n">
        <v>0.00119606930212689</v>
      </c>
      <c r="BS33" s="33" t="n">
        <v>0.000325135620286271</v>
      </c>
      <c r="BT33" s="33" t="n">
        <v>0</v>
      </c>
    </row>
    <row r="34" customFormat="false" ht="11.25" hidden="false" customHeight="true" outlineLevel="0" collapsed="false">
      <c r="B34" s="24" t="s">
        <v>119</v>
      </c>
      <c r="C34" s="25" t="s">
        <v>120</v>
      </c>
      <c r="D34" s="24" t="n">
        <v>28</v>
      </c>
      <c r="E34" s="34" t="n">
        <v>0.000443870182863481</v>
      </c>
      <c r="F34" s="34" t="n">
        <v>0.000307155996083155</v>
      </c>
      <c r="G34" s="34" t="n">
        <v>9.49233904677181E-005</v>
      </c>
      <c r="H34" s="34" t="n">
        <v>0.000249238945569472</v>
      </c>
      <c r="I34" s="34" t="n">
        <v>0.000861731381881062</v>
      </c>
      <c r="J34" s="34" t="n">
        <v>0.000270079950398079</v>
      </c>
      <c r="K34" s="34" t="n">
        <v>0.00451084095774695</v>
      </c>
      <c r="L34" s="34" t="n">
        <v>0.00143777146490629</v>
      </c>
      <c r="M34" s="34" t="n">
        <v>0.000163801488148133</v>
      </c>
      <c r="N34" s="34" t="n">
        <v>0.00208541095912138</v>
      </c>
      <c r="O34" s="34" t="n">
        <v>0.000924329568794334</v>
      </c>
      <c r="P34" s="34" t="n">
        <v>0.000125182069432978</v>
      </c>
      <c r="Q34" s="34" t="n">
        <v>0.000296522463489512</v>
      </c>
      <c r="R34" s="34" t="n">
        <v>0.000178746358953149</v>
      </c>
      <c r="S34" s="34" t="n">
        <v>0.00029962772515628</v>
      </c>
      <c r="T34" s="34" t="n">
        <v>0.000344605342471553</v>
      </c>
      <c r="U34" s="34" t="n">
        <v>0.00384723765478878</v>
      </c>
      <c r="V34" s="34" t="n">
        <v>0.0144372941210771</v>
      </c>
      <c r="W34" s="34" t="n">
        <v>3.01611336166012E-005</v>
      </c>
      <c r="X34" s="34" t="n">
        <v>9.3772411650692E-005</v>
      </c>
      <c r="Y34" s="34" t="n">
        <v>0.00522382812623522</v>
      </c>
      <c r="Z34" s="34" t="n">
        <v>0.00336178199339155</v>
      </c>
      <c r="AA34" s="34" t="n">
        <v>0.00112472561984255</v>
      </c>
      <c r="AB34" s="34" t="n">
        <v>0.000423580725032129</v>
      </c>
      <c r="AC34" s="34" t="n">
        <v>0.00105033879043389</v>
      </c>
      <c r="AD34" s="34" t="n">
        <v>0.00197203672024806</v>
      </c>
      <c r="AE34" s="34" t="n">
        <v>0.0157674025500717</v>
      </c>
      <c r="AF34" s="34" t="n">
        <v>0.190280989167154</v>
      </c>
      <c r="AG34" s="34" t="n">
        <v>0.0288813347623508</v>
      </c>
      <c r="AH34" s="34" t="n">
        <v>0.0017420018225759</v>
      </c>
      <c r="AI34" s="34" t="n">
        <v>0.0958045854148122</v>
      </c>
      <c r="AJ34" s="34" t="n">
        <v>0.0131032306310222</v>
      </c>
      <c r="AK34" s="34" t="n">
        <v>0.00484091337546897</v>
      </c>
      <c r="AL34" s="34" t="n">
        <v>0.0441196018261617</v>
      </c>
      <c r="AM34" s="34" t="n">
        <v>0.0226280086790494</v>
      </c>
      <c r="AN34" s="34" t="n">
        <v>0.0300826823083013</v>
      </c>
      <c r="AO34" s="34" t="n">
        <v>0.0167853748993832</v>
      </c>
      <c r="AP34" s="34" t="n">
        <v>0.000193636267349938</v>
      </c>
      <c r="AQ34" s="34" t="n">
        <v>0.00188753475698284</v>
      </c>
      <c r="AR34" s="34" t="n">
        <v>0.00556453054807363</v>
      </c>
      <c r="AS34" s="34" t="n">
        <v>0.00319686283793791</v>
      </c>
      <c r="AT34" s="34" t="n">
        <v>0.000605545079949554</v>
      </c>
      <c r="AU34" s="34" t="n">
        <v>0.000228002278488733</v>
      </c>
      <c r="AV34" s="34" t="n">
        <v>7.12353060028604E-005</v>
      </c>
      <c r="AW34" s="34" t="n">
        <v>4.1115929259298E-005</v>
      </c>
      <c r="AX34" s="34" t="n">
        <v>0.000332633644912813</v>
      </c>
      <c r="AY34" s="34" t="n">
        <v>0.000717011415225149</v>
      </c>
      <c r="AZ34" s="34" t="n">
        <v>0.00043831778871849</v>
      </c>
      <c r="BA34" s="34" t="n">
        <v>0.000258618838023842</v>
      </c>
      <c r="BB34" s="34" t="n">
        <v>0.000232578232914077</v>
      </c>
      <c r="BC34" s="34" t="n">
        <v>0.000255907649325137</v>
      </c>
      <c r="BD34" s="34" t="n">
        <v>0.000183060685565259</v>
      </c>
      <c r="BE34" s="34" t="n">
        <v>0.000112356431159707</v>
      </c>
      <c r="BF34" s="34" t="n">
        <v>0.000130397998778166</v>
      </c>
      <c r="BG34" s="34" t="n">
        <v>0.000355942221126057</v>
      </c>
      <c r="BH34" s="34" t="n">
        <v>0.000237675809383466</v>
      </c>
      <c r="BI34" s="34" t="n">
        <v>0.000176328041172383</v>
      </c>
      <c r="BJ34" s="34" t="n">
        <v>0.000339914627227482</v>
      </c>
      <c r="BK34" s="34" t="n">
        <v>0.00022919976700339</v>
      </c>
      <c r="BL34" s="34" t="n">
        <v>0.000144032898515074</v>
      </c>
      <c r="BM34" s="34" t="n">
        <v>8.29782547458475E-005</v>
      </c>
      <c r="BN34" s="34" t="n">
        <v>3.9924847368425E-005</v>
      </c>
      <c r="BO34" s="34" t="n">
        <v>0.000568170688003233</v>
      </c>
      <c r="BP34" s="34" t="n">
        <v>0.000106704450664391</v>
      </c>
      <c r="BQ34" s="34" t="n">
        <v>0.000207000525439588</v>
      </c>
      <c r="BR34" s="34" t="n">
        <v>0.00140727225175068</v>
      </c>
      <c r="BS34" s="34" t="n">
        <v>0.000447014442475604</v>
      </c>
      <c r="BT34" s="34" t="n">
        <v>0</v>
      </c>
    </row>
    <row r="35" customFormat="false" ht="11.25" hidden="false" customHeight="true" outlineLevel="0" collapsed="false">
      <c r="B35" s="19" t="s">
        <v>121</v>
      </c>
      <c r="C35" s="20" t="s">
        <v>122</v>
      </c>
      <c r="D35" s="19" t="n">
        <v>29</v>
      </c>
      <c r="E35" s="33" t="n">
        <v>0.00112646840662306</v>
      </c>
      <c r="F35" s="33" t="n">
        <v>0.00390219332900717</v>
      </c>
      <c r="G35" s="33" t="n">
        <v>0.00159038656257351</v>
      </c>
      <c r="H35" s="33" t="n">
        <v>0.00269521765497226</v>
      </c>
      <c r="I35" s="33" t="n">
        <v>0.0104958065520641</v>
      </c>
      <c r="J35" s="33" t="n">
        <v>0.0104120694436811</v>
      </c>
      <c r="K35" s="33" t="n">
        <v>0.0160644869457801</v>
      </c>
      <c r="L35" s="33" t="n">
        <v>0.0100750361880092</v>
      </c>
      <c r="M35" s="33" t="n">
        <v>0.00173635695009523</v>
      </c>
      <c r="N35" s="33" t="n">
        <v>0.0086460487061451</v>
      </c>
      <c r="O35" s="33" t="n">
        <v>0.0561888741606579</v>
      </c>
      <c r="P35" s="33" t="n">
        <v>0.00144166396902422</v>
      </c>
      <c r="Q35" s="33" t="n">
        <v>0.00181187667971735</v>
      </c>
      <c r="R35" s="33" t="n">
        <v>0.00149638974529263</v>
      </c>
      <c r="S35" s="33" t="n">
        <v>0.00158689094887936</v>
      </c>
      <c r="T35" s="33" t="n">
        <v>0.0170139422628494</v>
      </c>
      <c r="U35" s="33" t="n">
        <v>0.00183369521944421</v>
      </c>
      <c r="V35" s="33" t="n">
        <v>0.00132948719240079</v>
      </c>
      <c r="W35" s="33" t="n">
        <v>0.00105876595211722</v>
      </c>
      <c r="X35" s="33" t="n">
        <v>0.00100424639883793</v>
      </c>
      <c r="Y35" s="33" t="n">
        <v>0.0035300474478153</v>
      </c>
      <c r="Z35" s="33" t="n">
        <v>0.0100387373770557</v>
      </c>
      <c r="AA35" s="33" t="n">
        <v>0.0215996749589139</v>
      </c>
      <c r="AB35" s="33" t="n">
        <v>0.00241467735018233</v>
      </c>
      <c r="AC35" s="33" t="n">
        <v>0.00301618311311627</v>
      </c>
      <c r="AD35" s="33" t="n">
        <v>0.00286428049226032</v>
      </c>
      <c r="AE35" s="33" t="n">
        <v>0.0162902745989522</v>
      </c>
      <c r="AF35" s="33" t="n">
        <v>0.00503658422246173</v>
      </c>
      <c r="AG35" s="33" t="n">
        <v>0.0835152422333207</v>
      </c>
      <c r="AH35" s="33" t="n">
        <v>0.00884150616128837</v>
      </c>
      <c r="AI35" s="33" t="n">
        <v>0.0329481531025195</v>
      </c>
      <c r="AJ35" s="33" t="n">
        <v>0.0397522169449139</v>
      </c>
      <c r="AK35" s="33" t="n">
        <v>0.0233010617334769</v>
      </c>
      <c r="AL35" s="33" t="n">
        <v>0.0253215624084687</v>
      </c>
      <c r="AM35" s="33" t="n">
        <v>0.0366306177094727</v>
      </c>
      <c r="AN35" s="33" t="n">
        <v>0.0189533551327318</v>
      </c>
      <c r="AO35" s="33" t="n">
        <v>0.0413493737992166</v>
      </c>
      <c r="AP35" s="33" t="n">
        <v>0.00652120651070083</v>
      </c>
      <c r="AQ35" s="33" t="n">
        <v>0.00694206491864756</v>
      </c>
      <c r="AR35" s="33" t="n">
        <v>0.0370402770135539</v>
      </c>
      <c r="AS35" s="33" t="n">
        <v>0.00275871406693544</v>
      </c>
      <c r="AT35" s="33" t="n">
        <v>0.00165988671218104</v>
      </c>
      <c r="AU35" s="33" t="n">
        <v>0.000528425657078892</v>
      </c>
      <c r="AV35" s="33" t="n">
        <v>0.000281624492698384</v>
      </c>
      <c r="AW35" s="33" t="n">
        <v>6.71289274258939E-005</v>
      </c>
      <c r="AX35" s="33" t="n">
        <v>0.000239488515017172</v>
      </c>
      <c r="AY35" s="33" t="n">
        <v>0.00567175253611699</v>
      </c>
      <c r="AZ35" s="33" t="n">
        <v>0.00783549311485906</v>
      </c>
      <c r="BA35" s="33" t="n">
        <v>0.000321550708654462</v>
      </c>
      <c r="BB35" s="33" t="n">
        <v>0.000452085315283453</v>
      </c>
      <c r="BC35" s="33" t="n">
        <v>0.000375324539119813</v>
      </c>
      <c r="BD35" s="33" t="n">
        <v>0.000126634051486795</v>
      </c>
      <c r="BE35" s="33" t="n">
        <v>4.32264946816208E-005</v>
      </c>
      <c r="BF35" s="33" t="n">
        <v>0.000654907564691247</v>
      </c>
      <c r="BG35" s="33" t="n">
        <v>0.000196832934857461</v>
      </c>
      <c r="BH35" s="33" t="n">
        <v>0.00046260351527244</v>
      </c>
      <c r="BI35" s="33" t="n">
        <v>9.68871490050968E-005</v>
      </c>
      <c r="BJ35" s="33" t="n">
        <v>0.000327195712083149</v>
      </c>
      <c r="BK35" s="33" t="n">
        <v>0.00108982646260563</v>
      </c>
      <c r="BL35" s="33" t="n">
        <v>0.00242423952167179</v>
      </c>
      <c r="BM35" s="33" t="n">
        <v>0.00119426189436005</v>
      </c>
      <c r="BN35" s="33" t="n">
        <v>0.000234181661161416</v>
      </c>
      <c r="BO35" s="33" t="n">
        <v>0.000200441460161103</v>
      </c>
      <c r="BP35" s="33" t="n">
        <v>0.000781289908504332</v>
      </c>
      <c r="BQ35" s="33" t="n">
        <v>0.000178585173306851</v>
      </c>
      <c r="BR35" s="33" t="n">
        <v>0.000555951877723532</v>
      </c>
      <c r="BS35" s="33" t="n">
        <v>0.000729507670955666</v>
      </c>
      <c r="BT35" s="33" t="n">
        <v>0</v>
      </c>
    </row>
    <row r="36" customFormat="false" ht="11.25" hidden="false" customHeight="true" outlineLevel="0" collapsed="false">
      <c r="B36" s="24" t="s">
        <v>123</v>
      </c>
      <c r="C36" s="25" t="s">
        <v>124</v>
      </c>
      <c r="D36" s="24" t="n">
        <v>30</v>
      </c>
      <c r="E36" s="34" t="n">
        <v>1.15996396253159E-005</v>
      </c>
      <c r="F36" s="34" t="n">
        <v>3.35322808968599E-005</v>
      </c>
      <c r="G36" s="34" t="n">
        <v>3.29224432098027E-005</v>
      </c>
      <c r="H36" s="34" t="n">
        <v>0.0007833836670409</v>
      </c>
      <c r="I36" s="34" t="n">
        <v>0.00240747896025553</v>
      </c>
      <c r="J36" s="34" t="n">
        <v>0.00141085505162376</v>
      </c>
      <c r="K36" s="34" t="n">
        <v>0.00165320091229273</v>
      </c>
      <c r="L36" s="34" t="n">
        <v>0.000556499387571986</v>
      </c>
      <c r="M36" s="34" t="n">
        <v>0.000175815909842431</v>
      </c>
      <c r="N36" s="34" t="n">
        <v>0.000378702926981404</v>
      </c>
      <c r="O36" s="34" t="n">
        <v>0.000206738591851577</v>
      </c>
      <c r="P36" s="34" t="n">
        <v>0.000324016711559155</v>
      </c>
      <c r="Q36" s="34" t="n">
        <v>0.000310794320816205</v>
      </c>
      <c r="R36" s="34" t="n">
        <v>0.000301350022244938</v>
      </c>
      <c r="S36" s="34" t="n">
        <v>0.000538940089562963</v>
      </c>
      <c r="T36" s="34" t="n">
        <v>0.000551397671425978</v>
      </c>
      <c r="U36" s="34" t="n">
        <v>0.000660306522292057</v>
      </c>
      <c r="V36" s="34" t="n">
        <v>0.0113103303094084</v>
      </c>
      <c r="W36" s="34" t="n">
        <v>3.96153636940974E-005</v>
      </c>
      <c r="X36" s="34" t="n">
        <v>0.000163318080179372</v>
      </c>
      <c r="Y36" s="34" t="n">
        <v>0.000230452686121763</v>
      </c>
      <c r="Z36" s="34" t="n">
        <v>0.000447070404601999</v>
      </c>
      <c r="AA36" s="34" t="n">
        <v>0.000305726256344782</v>
      </c>
      <c r="AB36" s="34" t="n">
        <v>0.000510653858374879</v>
      </c>
      <c r="AC36" s="34" t="n">
        <v>0.000698197724363631</v>
      </c>
      <c r="AD36" s="34" t="n">
        <v>0.000501165771727859</v>
      </c>
      <c r="AE36" s="34" t="n">
        <v>0.000458845608530175</v>
      </c>
      <c r="AF36" s="34" t="n">
        <v>0.000338915758784109</v>
      </c>
      <c r="AG36" s="34" t="n">
        <v>0.000398415661345045</v>
      </c>
      <c r="AH36" s="34" t="n">
        <v>0.158628489965019</v>
      </c>
      <c r="AI36" s="34" t="n">
        <v>0.00828479283568787</v>
      </c>
      <c r="AJ36" s="34" t="n">
        <v>0.00772466308293894</v>
      </c>
      <c r="AK36" s="34" t="n">
        <v>0.00192244846362822</v>
      </c>
      <c r="AL36" s="34" t="n">
        <v>0.00246013784108881</v>
      </c>
      <c r="AM36" s="34" t="n">
        <v>0.00214042370146334</v>
      </c>
      <c r="AN36" s="34" t="n">
        <v>0.00118075049650953</v>
      </c>
      <c r="AO36" s="34" t="n">
        <v>0.0119185273406551</v>
      </c>
      <c r="AP36" s="34" t="n">
        <v>0.000987678190775297</v>
      </c>
      <c r="AQ36" s="34" t="n">
        <v>0.000391525980443907</v>
      </c>
      <c r="AR36" s="34" t="n">
        <v>0.00127834188434473</v>
      </c>
      <c r="AS36" s="34" t="n">
        <v>0.000392116501157737</v>
      </c>
      <c r="AT36" s="34" t="n">
        <v>0.000526670718200545</v>
      </c>
      <c r="AU36" s="34" t="n">
        <v>0.000269130124049774</v>
      </c>
      <c r="AV36" s="34" t="n">
        <v>0.000543647906575279</v>
      </c>
      <c r="AW36" s="34" t="n">
        <v>0.000210252252280672</v>
      </c>
      <c r="AX36" s="34" t="n">
        <v>0.00184868701607959</v>
      </c>
      <c r="AY36" s="34" t="n">
        <v>0.000157822896732259</v>
      </c>
      <c r="AZ36" s="34" t="n">
        <v>5.21322131542798E-005</v>
      </c>
      <c r="BA36" s="34" t="n">
        <v>0.000558256006414353</v>
      </c>
      <c r="BB36" s="34" t="n">
        <v>0.0073890725905341</v>
      </c>
      <c r="BC36" s="34" t="n">
        <v>0.00217774569790708</v>
      </c>
      <c r="BD36" s="34" t="n">
        <v>0.0153945323547141</v>
      </c>
      <c r="BE36" s="34" t="n">
        <v>0.000730708206767965</v>
      </c>
      <c r="BF36" s="34" t="n">
        <v>3.91168170025127E-005</v>
      </c>
      <c r="BG36" s="34" t="n">
        <v>0.0019439874500768</v>
      </c>
      <c r="BH36" s="34" t="n">
        <v>0.0135167682707947</v>
      </c>
      <c r="BI36" s="34" t="n">
        <v>0.00164119078970351</v>
      </c>
      <c r="BJ36" s="34" t="n">
        <v>0.00113509489619637</v>
      </c>
      <c r="BK36" s="34" t="n">
        <v>0.00620235591635867</v>
      </c>
      <c r="BL36" s="34" t="n">
        <v>0.00439017346111342</v>
      </c>
      <c r="BM36" s="34" t="n">
        <v>0.000381816329210089</v>
      </c>
      <c r="BN36" s="34" t="n">
        <v>0.00184179658421771</v>
      </c>
      <c r="BO36" s="34" t="n">
        <v>0.00132147426465259</v>
      </c>
      <c r="BP36" s="34" t="n">
        <v>0.00196646633115772</v>
      </c>
      <c r="BQ36" s="34" t="n">
        <v>0.00079105166312657</v>
      </c>
      <c r="BR36" s="34" t="n">
        <v>0.00204908851030086</v>
      </c>
      <c r="BS36" s="34" t="n">
        <v>0.00578928414373713</v>
      </c>
      <c r="BT36" s="34" t="n">
        <v>0</v>
      </c>
    </row>
    <row r="37" customFormat="false" ht="11.25" hidden="false" customHeight="true" outlineLevel="0" collapsed="false">
      <c r="B37" s="19" t="s">
        <v>125</v>
      </c>
      <c r="C37" s="20" t="s">
        <v>126</v>
      </c>
      <c r="D37" s="19" t="n">
        <v>31</v>
      </c>
      <c r="E37" s="33" t="n">
        <v>0.000126048714955899</v>
      </c>
      <c r="F37" s="33" t="n">
        <v>0.000626951153537058</v>
      </c>
      <c r="G37" s="33" t="n">
        <v>0.000226084942047161</v>
      </c>
      <c r="H37" s="33" t="n">
        <v>0.00146523215521421</v>
      </c>
      <c r="I37" s="33" t="n">
        <v>0.00196804443327124</v>
      </c>
      <c r="J37" s="33" t="n">
        <v>0.00110909194158227</v>
      </c>
      <c r="K37" s="33" t="n">
        <v>0.00189719665243592</v>
      </c>
      <c r="L37" s="33" t="n">
        <v>0.000610902315791659</v>
      </c>
      <c r="M37" s="33" t="n">
        <v>0.000580130569264368</v>
      </c>
      <c r="N37" s="33" t="n">
        <v>0.000556760940389066</v>
      </c>
      <c r="O37" s="33" t="n">
        <v>0.000801616811040496</v>
      </c>
      <c r="P37" s="33" t="n">
        <v>0.000313797451762876</v>
      </c>
      <c r="Q37" s="33" t="n">
        <v>0.000966634965742124</v>
      </c>
      <c r="R37" s="33" t="n">
        <v>0.000256617044543389</v>
      </c>
      <c r="S37" s="33" t="n">
        <v>0.000494025858360434</v>
      </c>
      <c r="T37" s="33" t="n">
        <v>0.00124525729826556</v>
      </c>
      <c r="U37" s="33" t="n">
        <v>0.00104562338725059</v>
      </c>
      <c r="V37" s="33" t="n">
        <v>0.000757932954674491</v>
      </c>
      <c r="W37" s="33" t="n">
        <v>5.3673721814454E-005</v>
      </c>
      <c r="X37" s="33" t="n">
        <v>0.000256560346739127</v>
      </c>
      <c r="Y37" s="33" t="n">
        <v>0.000928511309206029</v>
      </c>
      <c r="Z37" s="33" t="n">
        <v>0.000471663821237402</v>
      </c>
      <c r="AA37" s="33" t="n">
        <v>0.000557425829990485</v>
      </c>
      <c r="AB37" s="33" t="n">
        <v>0.00048187835650344</v>
      </c>
      <c r="AC37" s="33" t="n">
        <v>0.00117645404790202</v>
      </c>
      <c r="AD37" s="33" t="n">
        <v>0.00203060050223323</v>
      </c>
      <c r="AE37" s="33" t="n">
        <v>0.000796946382925018</v>
      </c>
      <c r="AF37" s="33" t="n">
        <v>0.00199213866086701</v>
      </c>
      <c r="AG37" s="33" t="n">
        <v>0.00136693967264094</v>
      </c>
      <c r="AH37" s="33" t="n">
        <v>0.0189536622796244</v>
      </c>
      <c r="AI37" s="33" t="n">
        <v>0.116769559310851</v>
      </c>
      <c r="AJ37" s="33" t="n">
        <v>0.0235205412342168</v>
      </c>
      <c r="AK37" s="33" t="n">
        <v>0.00722836712219114</v>
      </c>
      <c r="AL37" s="33" t="n">
        <v>0.0119206531115017</v>
      </c>
      <c r="AM37" s="33" t="n">
        <v>0.00773694727210151</v>
      </c>
      <c r="AN37" s="33" t="n">
        <v>0.00398219523274954</v>
      </c>
      <c r="AO37" s="33" t="n">
        <v>0.0336642788826195</v>
      </c>
      <c r="AP37" s="33" t="n">
        <v>0.0167954477702758</v>
      </c>
      <c r="AQ37" s="33" t="n">
        <v>0.00316218701276634</v>
      </c>
      <c r="AR37" s="33" t="n">
        <v>0.0163147294088097</v>
      </c>
      <c r="AS37" s="33" t="n">
        <v>0.00311519359182361</v>
      </c>
      <c r="AT37" s="33" t="n">
        <v>0.00124280631058402</v>
      </c>
      <c r="AU37" s="33" t="n">
        <v>0.00394425275672295</v>
      </c>
      <c r="AV37" s="33" t="n">
        <v>0.00118222785836432</v>
      </c>
      <c r="AW37" s="33" t="n">
        <v>8.90115705117781E-005</v>
      </c>
      <c r="AX37" s="33" t="n">
        <v>0.000884265597662523</v>
      </c>
      <c r="AY37" s="33" t="n">
        <v>0.0014191643428254</v>
      </c>
      <c r="AZ37" s="33" t="n">
        <v>0.000277312368531963</v>
      </c>
      <c r="BA37" s="33" t="n">
        <v>0.000590718869285762</v>
      </c>
      <c r="BB37" s="33" t="n">
        <v>0.00157902562481562</v>
      </c>
      <c r="BC37" s="33" t="n">
        <v>0.00457570352454678</v>
      </c>
      <c r="BD37" s="33" t="n">
        <v>0.000300365810856068</v>
      </c>
      <c r="BE37" s="33" t="n">
        <v>0.000151290942439365</v>
      </c>
      <c r="BF37" s="33" t="n">
        <v>0.000846251573796325</v>
      </c>
      <c r="BG37" s="33" t="n">
        <v>0.0030746393447858</v>
      </c>
      <c r="BH37" s="33" t="n">
        <v>0.00112163462483178</v>
      </c>
      <c r="BI37" s="33" t="n">
        <v>0.000533291006914687</v>
      </c>
      <c r="BJ37" s="33" t="n">
        <v>0.000812791206098821</v>
      </c>
      <c r="BK37" s="33" t="n">
        <v>0.00274513917859361</v>
      </c>
      <c r="BL37" s="33" t="n">
        <v>0.000136778815530877</v>
      </c>
      <c r="BM37" s="33" t="n">
        <v>0.000141515957977756</v>
      </c>
      <c r="BN37" s="33" t="n">
        <v>0.000166111773046452</v>
      </c>
      <c r="BO37" s="33" t="n">
        <v>0.000241698234468405</v>
      </c>
      <c r="BP37" s="33" t="n">
        <v>0.000150048893242323</v>
      </c>
      <c r="BQ37" s="33" t="n">
        <v>7.86560707372025E-005</v>
      </c>
      <c r="BR37" s="33" t="n">
        <v>0.00235625797495246</v>
      </c>
      <c r="BS37" s="33" t="n">
        <v>0.00624537257942196</v>
      </c>
      <c r="BT37" s="33" t="n">
        <v>0</v>
      </c>
    </row>
    <row r="38" customFormat="false" ht="11.25" hidden="false" customHeight="true" outlineLevel="0" collapsed="false">
      <c r="B38" s="24" t="s">
        <v>127</v>
      </c>
      <c r="C38" s="25" t="s">
        <v>128</v>
      </c>
      <c r="D38" s="24" t="n">
        <v>32</v>
      </c>
      <c r="E38" s="34" t="n">
        <v>0.000110876955330149</v>
      </c>
      <c r="F38" s="34" t="n">
        <v>0.000275562161243488</v>
      </c>
      <c r="G38" s="34" t="n">
        <v>0.000202872329675211</v>
      </c>
      <c r="H38" s="34" t="n">
        <v>0.0059129493543826</v>
      </c>
      <c r="I38" s="34" t="n">
        <v>0.0251354349931419</v>
      </c>
      <c r="J38" s="34" t="n">
        <v>0.0372688094477824</v>
      </c>
      <c r="K38" s="34" t="n">
        <v>0.0468922551403765</v>
      </c>
      <c r="L38" s="34" t="n">
        <v>0.000985836983352484</v>
      </c>
      <c r="M38" s="34" t="n">
        <v>0.000429105869000013</v>
      </c>
      <c r="N38" s="34" t="n">
        <v>0.000719822210278626</v>
      </c>
      <c r="O38" s="34" t="n">
        <v>0.00143795097379436</v>
      </c>
      <c r="P38" s="34" t="n">
        <v>0.000442650839438935</v>
      </c>
      <c r="Q38" s="34" t="n">
        <v>0.000641143562404396</v>
      </c>
      <c r="R38" s="34" t="n">
        <v>0.000496917095055627</v>
      </c>
      <c r="S38" s="34" t="n">
        <v>0.000906155018346332</v>
      </c>
      <c r="T38" s="34" t="n">
        <v>0.00287011143023578</v>
      </c>
      <c r="U38" s="34" t="n">
        <v>0.00118902090043451</v>
      </c>
      <c r="V38" s="34" t="n">
        <v>0.00142310580061329</v>
      </c>
      <c r="W38" s="34" t="n">
        <v>9.44110938982006E-005</v>
      </c>
      <c r="X38" s="34" t="n">
        <v>0.00033831124294179</v>
      </c>
      <c r="Y38" s="34" t="n">
        <v>0.000472194931506704</v>
      </c>
      <c r="Z38" s="34" t="n">
        <v>0.000789496803985852</v>
      </c>
      <c r="AA38" s="34" t="n">
        <v>0.000721083090073344</v>
      </c>
      <c r="AB38" s="34" t="n">
        <v>0.000794057770676298</v>
      </c>
      <c r="AC38" s="34" t="n">
        <v>0.00148992536790979</v>
      </c>
      <c r="AD38" s="34" t="n">
        <v>0.00120709708168323</v>
      </c>
      <c r="AE38" s="34" t="n">
        <v>0.00174284810864071</v>
      </c>
      <c r="AF38" s="34" t="n">
        <v>0.00141723582301585</v>
      </c>
      <c r="AG38" s="34" t="n">
        <v>0.00274213506818445</v>
      </c>
      <c r="AH38" s="34" t="n">
        <v>0.00177901886563819</v>
      </c>
      <c r="AI38" s="34" t="n">
        <v>0.00770343991435247</v>
      </c>
      <c r="AJ38" s="34" t="n">
        <v>0.120006190160308</v>
      </c>
      <c r="AK38" s="34" t="n">
        <v>0.00783395201341486</v>
      </c>
      <c r="AL38" s="34" t="n">
        <v>0.00222083991802733</v>
      </c>
      <c r="AM38" s="34" t="n">
        <v>0.00851363725665117</v>
      </c>
      <c r="AN38" s="34" t="n">
        <v>0.00119791817654305</v>
      </c>
      <c r="AO38" s="34" t="n">
        <v>0.105310912105705</v>
      </c>
      <c r="AP38" s="34" t="n">
        <v>0.000635489621505201</v>
      </c>
      <c r="AQ38" s="34" t="n">
        <v>0.00128926198377928</v>
      </c>
      <c r="AR38" s="34" t="n">
        <v>0.00590909129043376</v>
      </c>
      <c r="AS38" s="34" t="n">
        <v>0.00219241996228274</v>
      </c>
      <c r="AT38" s="34" t="n">
        <v>0.000631054569002795</v>
      </c>
      <c r="AU38" s="34" t="n">
        <v>0.000546726181137941</v>
      </c>
      <c r="AV38" s="34" t="n">
        <v>0.00656065726044623</v>
      </c>
      <c r="AW38" s="34" t="n">
        <v>0.00042244686713728</v>
      </c>
      <c r="AX38" s="34" t="n">
        <v>0.00166121592684329</v>
      </c>
      <c r="AY38" s="34" t="n">
        <v>0.00038488126914903</v>
      </c>
      <c r="AZ38" s="34" t="n">
        <v>0.000194536312578868</v>
      </c>
      <c r="BA38" s="34" t="n">
        <v>0.000971608949204357</v>
      </c>
      <c r="BB38" s="34" t="n">
        <v>0.00046640164358031</v>
      </c>
      <c r="BC38" s="34" t="n">
        <v>0.000761284603745424</v>
      </c>
      <c r="BD38" s="34" t="n">
        <v>0.000315273924842965</v>
      </c>
      <c r="BE38" s="34" t="n">
        <v>2.42844466712901E-005</v>
      </c>
      <c r="BF38" s="34" t="n">
        <v>4.44786202681315E-005</v>
      </c>
      <c r="BG38" s="34" t="n">
        <v>0.000218989964787651</v>
      </c>
      <c r="BH38" s="34" t="n">
        <v>0.000631634858183095</v>
      </c>
      <c r="BI38" s="34" t="n">
        <v>0.00013494442345238</v>
      </c>
      <c r="BJ38" s="34" t="n">
        <v>0.000474865452544228</v>
      </c>
      <c r="BK38" s="34" t="n">
        <v>0.00448475533133181</v>
      </c>
      <c r="BL38" s="34" t="n">
        <v>0.000182234224884897</v>
      </c>
      <c r="BM38" s="34" t="n">
        <v>0.000124949007250385</v>
      </c>
      <c r="BN38" s="34" t="n">
        <v>6.14749032544071E-005</v>
      </c>
      <c r="BO38" s="34" t="n">
        <v>3.14832559839122E-005</v>
      </c>
      <c r="BP38" s="34" t="n">
        <v>0.000854050345396584</v>
      </c>
      <c r="BQ38" s="34" t="n">
        <v>0.000149178539376404</v>
      </c>
      <c r="BR38" s="34" t="n">
        <v>0.000374420324277491</v>
      </c>
      <c r="BS38" s="34" t="n">
        <v>0.000316383706679999</v>
      </c>
      <c r="BT38" s="34" t="n">
        <v>0</v>
      </c>
    </row>
    <row r="39" customFormat="false" ht="11.25" hidden="false" customHeight="true" outlineLevel="0" collapsed="false">
      <c r="B39" s="19" t="s">
        <v>129</v>
      </c>
      <c r="C39" s="20" t="s">
        <v>130</v>
      </c>
      <c r="D39" s="19" t="n">
        <v>33</v>
      </c>
      <c r="E39" s="33" t="n">
        <v>1.25400229372344E-005</v>
      </c>
      <c r="F39" s="33" t="n">
        <v>1.68305665964633E-005</v>
      </c>
      <c r="G39" s="33" t="n">
        <v>1.38526031161143E-005</v>
      </c>
      <c r="H39" s="33" t="n">
        <v>9.05411195016204E-005</v>
      </c>
      <c r="I39" s="33" t="n">
        <v>0.000221476831771752</v>
      </c>
      <c r="J39" s="33" t="n">
        <v>0.000451429567903955</v>
      </c>
      <c r="K39" s="33" t="n">
        <v>0.00036358968406269</v>
      </c>
      <c r="L39" s="33" t="n">
        <v>2.32517159706374E-005</v>
      </c>
      <c r="M39" s="33" t="n">
        <v>0.000949193374500216</v>
      </c>
      <c r="N39" s="33" t="n">
        <v>3.4501378233924E-005</v>
      </c>
      <c r="O39" s="33" t="n">
        <v>8.46591681176427E-005</v>
      </c>
      <c r="P39" s="33" t="n">
        <v>3.05346863621063E-005</v>
      </c>
      <c r="Q39" s="33" t="n">
        <v>0.000103815646227847</v>
      </c>
      <c r="R39" s="33" t="n">
        <v>2.4611214691513E-005</v>
      </c>
      <c r="S39" s="33" t="n">
        <v>5.23756329263133E-005</v>
      </c>
      <c r="T39" s="33" t="n">
        <v>5.01798199190801E-005</v>
      </c>
      <c r="U39" s="33" t="n">
        <v>2.68594488199783E-005</v>
      </c>
      <c r="V39" s="33" t="n">
        <v>4.24694948293973E-005</v>
      </c>
      <c r="W39" s="33" t="n">
        <v>1.17738310209228E-006</v>
      </c>
      <c r="X39" s="33" t="n">
        <v>5.47784936566899E-006</v>
      </c>
      <c r="Y39" s="33" t="n">
        <v>3.23257604607014E-005</v>
      </c>
      <c r="Z39" s="33" t="n">
        <v>0.000227325569362604</v>
      </c>
      <c r="AA39" s="33" t="n">
        <v>6.60419646912173E-005</v>
      </c>
      <c r="AB39" s="33" t="n">
        <v>8.3478281642098E-005</v>
      </c>
      <c r="AC39" s="33" t="n">
        <v>0.000164357723559816</v>
      </c>
      <c r="AD39" s="33" t="n">
        <v>0.000114830589478181</v>
      </c>
      <c r="AE39" s="33" t="n">
        <v>1.57983358777101E-005</v>
      </c>
      <c r="AF39" s="33" t="n">
        <v>6.65156395182135E-005</v>
      </c>
      <c r="AG39" s="33" t="n">
        <v>4.27812871285995E-005</v>
      </c>
      <c r="AH39" s="33" t="n">
        <v>0.000369873564643376</v>
      </c>
      <c r="AI39" s="33" t="n">
        <v>0.00183253479203933</v>
      </c>
      <c r="AJ39" s="33" t="n">
        <v>0.00147011143869501</v>
      </c>
      <c r="AK39" s="33" t="n">
        <v>0.0366512112982839</v>
      </c>
      <c r="AL39" s="33" t="n">
        <v>0.00250215176733916</v>
      </c>
      <c r="AM39" s="33" t="n">
        <v>0.00114497708317727</v>
      </c>
      <c r="AN39" s="33" t="n">
        <v>0.000112384495376904</v>
      </c>
      <c r="AO39" s="33" t="n">
        <v>0.00137482123718302</v>
      </c>
      <c r="AP39" s="33" t="n">
        <v>0.000286450580619605</v>
      </c>
      <c r="AQ39" s="33" t="n">
        <v>0.000222133351756857</v>
      </c>
      <c r="AR39" s="33" t="n">
        <v>0.000345274280229963</v>
      </c>
      <c r="AS39" s="33" t="n">
        <v>0.00352390198614458</v>
      </c>
      <c r="AT39" s="33" t="n">
        <v>0.00010713644728469</v>
      </c>
      <c r="AU39" s="33" t="n">
        <v>0.00251031927371125</v>
      </c>
      <c r="AV39" s="33" t="n">
        <v>6.5253067718686E-005</v>
      </c>
      <c r="AW39" s="33" t="n">
        <v>2.25625039223222E-006</v>
      </c>
      <c r="AX39" s="33" t="n">
        <v>8.83587678228779E-005</v>
      </c>
      <c r="AY39" s="33" t="n">
        <v>6.70109605782948E-005</v>
      </c>
      <c r="AZ39" s="33" t="n">
        <v>2.87484319094173E-005</v>
      </c>
      <c r="BA39" s="33" t="n">
        <v>1.65916108950296E-005</v>
      </c>
      <c r="BB39" s="33" t="n">
        <v>4.82469334696345E-005</v>
      </c>
      <c r="BC39" s="33" t="n">
        <v>8.68909768248611E-005</v>
      </c>
      <c r="BD39" s="33" t="n">
        <v>2.4203224029533E-005</v>
      </c>
      <c r="BE39" s="33" t="n">
        <v>9.33069469889146E-006</v>
      </c>
      <c r="BF39" s="33" t="n">
        <v>1.62816881749321E-005</v>
      </c>
      <c r="BG39" s="33" t="n">
        <v>6.46140667966395E-005</v>
      </c>
      <c r="BH39" s="33" t="n">
        <v>0.000465520031585889</v>
      </c>
      <c r="BI39" s="33" t="n">
        <v>1.85300394092916E-005</v>
      </c>
      <c r="BJ39" s="33" t="n">
        <v>0.000349856458065194</v>
      </c>
      <c r="BK39" s="33" t="n">
        <v>9.43417207698562E-005</v>
      </c>
      <c r="BL39" s="33" t="n">
        <v>7.32936157652704E-005</v>
      </c>
      <c r="BM39" s="33" t="n">
        <v>7.07333745001551E-005</v>
      </c>
      <c r="BN39" s="33" t="n">
        <v>2.9943696800131E-005</v>
      </c>
      <c r="BO39" s="33" t="n">
        <v>2.83754362679312E-005</v>
      </c>
      <c r="BP39" s="33" t="n">
        <v>0.000116361193521505</v>
      </c>
      <c r="BQ39" s="33" t="n">
        <v>3.83499924985469E-005</v>
      </c>
      <c r="BR39" s="33" t="n">
        <v>0.000114465608231088</v>
      </c>
      <c r="BS39" s="33" t="n">
        <v>8.67670991350188E-005</v>
      </c>
      <c r="BT39" s="33" t="n">
        <v>0</v>
      </c>
    </row>
    <row r="40" customFormat="false" ht="11.25" hidden="false" customHeight="true" outlineLevel="0" collapsed="false">
      <c r="B40" s="24" t="s">
        <v>131</v>
      </c>
      <c r="C40" s="25" t="s">
        <v>132</v>
      </c>
      <c r="D40" s="24" t="n">
        <v>34</v>
      </c>
      <c r="E40" s="34" t="n">
        <v>5.24001031407091E-005</v>
      </c>
      <c r="F40" s="34" t="n">
        <v>0.000100732329642258</v>
      </c>
      <c r="G40" s="34" t="n">
        <v>3.71408776093346E-005</v>
      </c>
      <c r="H40" s="34" t="n">
        <v>0.000219502872262647</v>
      </c>
      <c r="I40" s="34" t="n">
        <v>0.000954505498310503</v>
      </c>
      <c r="J40" s="34" t="n">
        <v>0.00115133289679404</v>
      </c>
      <c r="K40" s="34" t="n">
        <v>0.00129910205291515</v>
      </c>
      <c r="L40" s="34" t="n">
        <v>0.000146745505007766</v>
      </c>
      <c r="M40" s="34" t="n">
        <v>6.59143148813652E-005</v>
      </c>
      <c r="N40" s="34" t="n">
        <v>0.000197963979666448</v>
      </c>
      <c r="O40" s="34" t="n">
        <v>0.000775905676560318</v>
      </c>
      <c r="P40" s="34" t="n">
        <v>3.97823022609419E-005</v>
      </c>
      <c r="Q40" s="34" t="n">
        <v>0.000118965814710419</v>
      </c>
      <c r="R40" s="34" t="n">
        <v>5.94962068331699E-005</v>
      </c>
      <c r="S40" s="34" t="n">
        <v>0.000158402460351388</v>
      </c>
      <c r="T40" s="34" t="n">
        <v>0.000263728597290006</v>
      </c>
      <c r="U40" s="34" t="n">
        <v>8.56656300507651E-005</v>
      </c>
      <c r="V40" s="34" t="n">
        <v>0.00038837504420178</v>
      </c>
      <c r="W40" s="34" t="n">
        <v>2.52494710084843E-005</v>
      </c>
      <c r="X40" s="34" t="n">
        <v>2.5666042883611E-005</v>
      </c>
      <c r="Y40" s="34" t="n">
        <v>9.70610090904908E-005</v>
      </c>
      <c r="Z40" s="34" t="n">
        <v>0.000149195981249694</v>
      </c>
      <c r="AA40" s="34" t="n">
        <v>0.00037825190892183</v>
      </c>
      <c r="AB40" s="34" t="n">
        <v>0.000114770126628015</v>
      </c>
      <c r="AC40" s="34" t="n">
        <v>0.000579527561804956</v>
      </c>
      <c r="AD40" s="34" t="n">
        <v>0.000369719233846028</v>
      </c>
      <c r="AE40" s="34" t="n">
        <v>0.000344621523981475</v>
      </c>
      <c r="AF40" s="34" t="n">
        <v>0.000303345895545552</v>
      </c>
      <c r="AG40" s="34" t="n">
        <v>0.00130588816663286</v>
      </c>
      <c r="AH40" s="34" t="n">
        <v>0.00109050877994118</v>
      </c>
      <c r="AI40" s="34" t="n">
        <v>0.00190393982991426</v>
      </c>
      <c r="AJ40" s="34" t="n">
        <v>0.00384635595308924</v>
      </c>
      <c r="AK40" s="34" t="n">
        <v>0.243840584308209</v>
      </c>
      <c r="AL40" s="34" t="n">
        <v>0.120270828962022</v>
      </c>
      <c r="AM40" s="34" t="n">
        <v>0.00291885078399519</v>
      </c>
      <c r="AN40" s="34" t="n">
        <v>0.000456511274134609</v>
      </c>
      <c r="AO40" s="34" t="n">
        <v>0.00368276846444622</v>
      </c>
      <c r="AP40" s="34" t="n">
        <v>0.000264134408707997</v>
      </c>
      <c r="AQ40" s="34" t="n">
        <v>0.000265796009175992</v>
      </c>
      <c r="AR40" s="34" t="n">
        <v>0.000988891402401717</v>
      </c>
      <c r="AS40" s="34" t="n">
        <v>0.106407610270421</v>
      </c>
      <c r="AT40" s="34" t="n">
        <v>0.000254909889067591</v>
      </c>
      <c r="AU40" s="34" t="n">
        <v>0.0334193084679517</v>
      </c>
      <c r="AV40" s="34" t="n">
        <v>0.000191864985854015</v>
      </c>
      <c r="AW40" s="34" t="n">
        <v>0.000123555478589497</v>
      </c>
      <c r="AX40" s="34" t="n">
        <v>0.000193283200017467</v>
      </c>
      <c r="AY40" s="34" t="n">
        <v>0.000313035865329642</v>
      </c>
      <c r="AZ40" s="34" t="n">
        <v>0.000198959757558244</v>
      </c>
      <c r="BA40" s="34" t="n">
        <v>5.96199322113938E-005</v>
      </c>
      <c r="BB40" s="34" t="n">
        <v>9.72813121605377E-005</v>
      </c>
      <c r="BC40" s="34" t="n">
        <v>0.00011366263688569</v>
      </c>
      <c r="BD40" s="34" t="n">
        <v>8.27878285247352E-005</v>
      </c>
      <c r="BE40" s="34" t="n">
        <v>3.88121453085654E-005</v>
      </c>
      <c r="BF40" s="34" t="n">
        <v>3.80437679814162E-005</v>
      </c>
      <c r="BG40" s="34" t="n">
        <v>0.000148442380566137</v>
      </c>
      <c r="BH40" s="34" t="n">
        <v>0.000905770622239462</v>
      </c>
      <c r="BI40" s="34" t="n">
        <v>6.09329679711775E-005</v>
      </c>
      <c r="BJ40" s="34" t="n">
        <v>0.00386676818428197</v>
      </c>
      <c r="BK40" s="34" t="n">
        <v>0.000238349527824234</v>
      </c>
      <c r="BL40" s="34" t="n">
        <v>9.65368502039225E-005</v>
      </c>
      <c r="BM40" s="34" t="n">
        <v>0.00109146620950304</v>
      </c>
      <c r="BN40" s="34" t="n">
        <v>0.000732642864859472</v>
      </c>
      <c r="BO40" s="34" t="n">
        <v>0.000183795359972396</v>
      </c>
      <c r="BP40" s="34" t="n">
        <v>0.00113521132786977</v>
      </c>
      <c r="BQ40" s="34" t="n">
        <v>7.23128816265211E-005</v>
      </c>
      <c r="BR40" s="34" t="n">
        <v>0.000486651917001852</v>
      </c>
      <c r="BS40" s="34" t="n">
        <v>0.000180776063562095</v>
      </c>
      <c r="BT40" s="34" t="n">
        <v>0</v>
      </c>
    </row>
    <row r="41" customFormat="false" ht="11.25" hidden="false" customHeight="true" outlineLevel="0" collapsed="false">
      <c r="B41" s="19" t="s">
        <v>133</v>
      </c>
      <c r="C41" s="20" t="s">
        <v>134</v>
      </c>
      <c r="D41" s="19" t="n">
        <v>35</v>
      </c>
      <c r="E41" s="33" t="n">
        <v>3.54942016452849E-006</v>
      </c>
      <c r="F41" s="33" t="n">
        <v>9.45626443141743E-006</v>
      </c>
      <c r="G41" s="33" t="n">
        <v>9.95360564575411E-006</v>
      </c>
      <c r="H41" s="33" t="n">
        <v>0.000116262774152075</v>
      </c>
      <c r="I41" s="33" t="n">
        <v>0.000189811205449623</v>
      </c>
      <c r="J41" s="33" t="n">
        <v>0.000222978482265723</v>
      </c>
      <c r="K41" s="33" t="n">
        <v>0.000292937848741139</v>
      </c>
      <c r="L41" s="33" t="n">
        <v>0.000105759525651337</v>
      </c>
      <c r="M41" s="33" t="n">
        <v>4.95335962963114E-005</v>
      </c>
      <c r="N41" s="33" t="n">
        <v>7.16644597601047E-005</v>
      </c>
      <c r="O41" s="33" t="n">
        <v>0.000141328524518594</v>
      </c>
      <c r="P41" s="33" t="n">
        <v>6.89330104006981E-005</v>
      </c>
      <c r="Q41" s="33" t="n">
        <v>5.8831522700664E-005</v>
      </c>
      <c r="R41" s="33" t="n">
        <v>0.000155538782663085</v>
      </c>
      <c r="S41" s="33" t="n">
        <v>0.000109361483843617</v>
      </c>
      <c r="T41" s="33" t="n">
        <v>0.000115492093376792</v>
      </c>
      <c r="U41" s="33" t="n">
        <v>0.00013186436545601</v>
      </c>
      <c r="V41" s="33" t="n">
        <v>0.000144099058575011</v>
      </c>
      <c r="W41" s="33" t="n">
        <v>1.01581964408384E-005</v>
      </c>
      <c r="X41" s="33" t="n">
        <v>3.72501639034305E-005</v>
      </c>
      <c r="Y41" s="33" t="n">
        <v>5.61536599962542E-005</v>
      </c>
      <c r="Z41" s="33" t="n">
        <v>7.63345175866056E-005</v>
      </c>
      <c r="AA41" s="33" t="n">
        <v>8.2415886161966E-005</v>
      </c>
      <c r="AB41" s="33" t="n">
        <v>0.000140758314232725</v>
      </c>
      <c r="AC41" s="33" t="n">
        <v>0.00010765087080213</v>
      </c>
      <c r="AD41" s="33" t="n">
        <v>0.000123306732466059</v>
      </c>
      <c r="AE41" s="33" t="n">
        <v>0.000223307029220269</v>
      </c>
      <c r="AF41" s="33" t="n">
        <v>0.000116090813249293</v>
      </c>
      <c r="AG41" s="33" t="n">
        <v>0.000324145084828985</v>
      </c>
      <c r="AH41" s="33" t="n">
        <v>6.54658578170374E-005</v>
      </c>
      <c r="AI41" s="33" t="n">
        <v>0.000295898395451419</v>
      </c>
      <c r="AJ41" s="33" t="n">
        <v>0.000608903101162</v>
      </c>
      <c r="AK41" s="33" t="n">
        <v>0.000196530280684731</v>
      </c>
      <c r="AL41" s="33" t="n">
        <v>0.000201381491337174</v>
      </c>
      <c r="AM41" s="33" t="n">
        <v>0.12558066149009</v>
      </c>
      <c r="AN41" s="33" t="n">
        <v>0.000150227823422969</v>
      </c>
      <c r="AO41" s="33" t="n">
        <v>0.0126192343207589</v>
      </c>
      <c r="AP41" s="33" t="n">
        <v>3.99397178295354E-005</v>
      </c>
      <c r="AQ41" s="33" t="n">
        <v>5.54458695745307E-005</v>
      </c>
      <c r="AR41" s="33" t="n">
        <v>0.000127220342798342</v>
      </c>
      <c r="AS41" s="33" t="n">
        <v>0.000476306304808987</v>
      </c>
      <c r="AT41" s="33" t="n">
        <v>4.9623379347019E-005</v>
      </c>
      <c r="AU41" s="33" t="n">
        <v>0.000995981155848609</v>
      </c>
      <c r="AV41" s="33" t="n">
        <v>0.000163026075155448</v>
      </c>
      <c r="AW41" s="33" t="n">
        <v>3.71686644883021E-005</v>
      </c>
      <c r="AX41" s="33" t="n">
        <v>6.31232219763435E-005</v>
      </c>
      <c r="AY41" s="33" t="n">
        <v>2.81330562802745E-005</v>
      </c>
      <c r="AZ41" s="33" t="n">
        <v>2.36051321660996E-005</v>
      </c>
      <c r="BA41" s="33" t="n">
        <v>0.000111800817830734</v>
      </c>
      <c r="BB41" s="33" t="n">
        <v>4.83623717912451E-005</v>
      </c>
      <c r="BC41" s="33" t="n">
        <v>6.4463766388669E-005</v>
      </c>
      <c r="BD41" s="33" t="n">
        <v>4.28080478957727E-005</v>
      </c>
      <c r="BE41" s="33" t="n">
        <v>5.12779753948492E-006</v>
      </c>
      <c r="BF41" s="33" t="n">
        <v>4.07188116105882E-006</v>
      </c>
      <c r="BG41" s="33" t="n">
        <v>2.84441397467352E-005</v>
      </c>
      <c r="BH41" s="33" t="n">
        <v>0.00025980339499841</v>
      </c>
      <c r="BI41" s="33" t="n">
        <v>2.03771326669729E-005</v>
      </c>
      <c r="BJ41" s="33" t="n">
        <v>8.50126813755643E-005</v>
      </c>
      <c r="BK41" s="33" t="n">
        <v>4.16080196997106E-005</v>
      </c>
      <c r="BL41" s="33" t="n">
        <v>2.22065470755901E-005</v>
      </c>
      <c r="BM41" s="33" t="n">
        <v>0.000146430935447726</v>
      </c>
      <c r="BN41" s="33" t="n">
        <v>9.31442000705313E-006</v>
      </c>
      <c r="BO41" s="33" t="n">
        <v>1.62341245347378E-005</v>
      </c>
      <c r="BP41" s="33" t="n">
        <v>5.7563192630588E-005</v>
      </c>
      <c r="BQ41" s="33" t="n">
        <v>0.000107186304962768</v>
      </c>
      <c r="BR41" s="33" t="n">
        <v>7.56109402036684E-005</v>
      </c>
      <c r="BS41" s="33" t="n">
        <v>0.000327205514016161</v>
      </c>
      <c r="BT41" s="33" t="n">
        <v>0</v>
      </c>
    </row>
    <row r="42" customFormat="false" ht="11.25" hidden="false" customHeight="true" outlineLevel="0" collapsed="false">
      <c r="B42" s="24" t="s">
        <v>135</v>
      </c>
      <c r="C42" s="25" t="s">
        <v>136</v>
      </c>
      <c r="D42" s="24" t="n">
        <v>36</v>
      </c>
      <c r="E42" s="34" t="n">
        <v>9.40768483403515E-005</v>
      </c>
      <c r="F42" s="34" t="n">
        <v>0.000145342616653377</v>
      </c>
      <c r="G42" s="34" t="n">
        <v>0.000212419233063218</v>
      </c>
      <c r="H42" s="34" t="n">
        <v>0.000561223189227582</v>
      </c>
      <c r="I42" s="34" t="n">
        <v>0.000415930026307519</v>
      </c>
      <c r="J42" s="34" t="n">
        <v>0.000468830022813794</v>
      </c>
      <c r="K42" s="34" t="n">
        <v>0.000570769096410186</v>
      </c>
      <c r="L42" s="34" t="n">
        <v>0.000451461491989555</v>
      </c>
      <c r="M42" s="34" t="n">
        <v>0.000199624603936777</v>
      </c>
      <c r="N42" s="34" t="n">
        <v>0.000513561005473297</v>
      </c>
      <c r="O42" s="34" t="n">
        <v>0.000917528064751096</v>
      </c>
      <c r="P42" s="34" t="n">
        <v>0.000183900388710724</v>
      </c>
      <c r="Q42" s="34" t="n">
        <v>0.00158561789147516</v>
      </c>
      <c r="R42" s="34" t="n">
        <v>0.0146181015655766</v>
      </c>
      <c r="S42" s="34" t="n">
        <v>0.00429867172241916</v>
      </c>
      <c r="T42" s="34" t="n">
        <v>0.00109813346670703</v>
      </c>
      <c r="U42" s="34" t="n">
        <v>0.000471245399244948</v>
      </c>
      <c r="V42" s="34" t="n">
        <v>0.000656953556448674</v>
      </c>
      <c r="W42" s="34" t="n">
        <v>5.110762366245E-005</v>
      </c>
      <c r="X42" s="34" t="n">
        <v>0.000108107125597181</v>
      </c>
      <c r="Y42" s="34" t="n">
        <v>0.000699478137224025</v>
      </c>
      <c r="Z42" s="34" t="n">
        <v>0.000862390543686926</v>
      </c>
      <c r="AA42" s="34" t="n">
        <v>0.000710422557695642</v>
      </c>
      <c r="AB42" s="34" t="n">
        <v>0.000870468068514824</v>
      </c>
      <c r="AC42" s="34" t="n">
        <v>0.00168920002573199</v>
      </c>
      <c r="AD42" s="34" t="n">
        <v>0.00147829672604947</v>
      </c>
      <c r="AE42" s="34" t="n">
        <v>0.000319867304240036</v>
      </c>
      <c r="AF42" s="34" t="n">
        <v>0.000256448025851182</v>
      </c>
      <c r="AG42" s="34" t="n">
        <v>0.000870172722320471</v>
      </c>
      <c r="AH42" s="34" t="n">
        <v>0.00079137801317752</v>
      </c>
      <c r="AI42" s="34" t="n">
        <v>0.0009690960816394</v>
      </c>
      <c r="AJ42" s="34" t="n">
        <v>0.00313256462219683</v>
      </c>
      <c r="AK42" s="34" t="n">
        <v>0.00186258321135652</v>
      </c>
      <c r="AL42" s="34" t="n">
        <v>0.00427019746201762</v>
      </c>
      <c r="AM42" s="34" t="n">
        <v>0.0010864988857788</v>
      </c>
      <c r="AN42" s="34" t="n">
        <v>0.0265757186972011</v>
      </c>
      <c r="AO42" s="34" t="n">
        <v>0.00195552727192549</v>
      </c>
      <c r="AP42" s="34" t="n">
        <v>0.000172937300924123</v>
      </c>
      <c r="AQ42" s="34" t="n">
        <v>0.000474212293335914</v>
      </c>
      <c r="AR42" s="34" t="n">
        <v>0.00154819852341122</v>
      </c>
      <c r="AS42" s="34" t="n">
        <v>0.000510892678983466</v>
      </c>
      <c r="AT42" s="34" t="n">
        <v>0.000466191139813674</v>
      </c>
      <c r="AU42" s="34" t="n">
        <v>0.000292014328612144</v>
      </c>
      <c r="AV42" s="34" t="n">
        <v>0.00280054245398411</v>
      </c>
      <c r="AW42" s="34" t="n">
        <v>5.00915499428198E-005</v>
      </c>
      <c r="AX42" s="34" t="n">
        <v>0.00091842871002527</v>
      </c>
      <c r="AY42" s="34" t="n">
        <v>0.000393627072971263</v>
      </c>
      <c r="AZ42" s="34" t="n">
        <v>0.000151789334572585</v>
      </c>
      <c r="BA42" s="34" t="n">
        <v>0.000310960585102677</v>
      </c>
      <c r="BB42" s="34" t="n">
        <v>0.000808025298887104</v>
      </c>
      <c r="BC42" s="34" t="n">
        <v>0.00019034844644165</v>
      </c>
      <c r="BD42" s="34" t="n">
        <v>0.000356145206298042</v>
      </c>
      <c r="BE42" s="34" t="n">
        <v>0.000188777739591685</v>
      </c>
      <c r="BF42" s="34" t="n">
        <v>0.000166889596846082</v>
      </c>
      <c r="BG42" s="34" t="n">
        <v>0.000798880461805207</v>
      </c>
      <c r="BH42" s="34" t="n">
        <v>0.00364303992583946</v>
      </c>
      <c r="BI42" s="34" t="n">
        <v>0.00198180301724963</v>
      </c>
      <c r="BJ42" s="34" t="n">
        <v>0.00592721511608101</v>
      </c>
      <c r="BK42" s="34" t="n">
        <v>0.000516253600093683</v>
      </c>
      <c r="BL42" s="34" t="n">
        <v>0.00032449174888505</v>
      </c>
      <c r="BM42" s="34" t="n">
        <v>0.000787162208560555</v>
      </c>
      <c r="BN42" s="34" t="n">
        <v>0.00181212313740017</v>
      </c>
      <c r="BO42" s="34" t="n">
        <v>0.000219535524053239</v>
      </c>
      <c r="BP42" s="34" t="n">
        <v>0.0121008087254633</v>
      </c>
      <c r="BQ42" s="34" t="n">
        <v>0.0296443493587754</v>
      </c>
      <c r="BR42" s="34" t="n">
        <v>0.00259583022220245</v>
      </c>
      <c r="BS42" s="34" t="n">
        <v>0.000592731620330256</v>
      </c>
      <c r="BT42" s="34" t="n">
        <v>0</v>
      </c>
    </row>
    <row r="43" customFormat="false" ht="11.25" hidden="false" customHeight="true" outlineLevel="0" collapsed="false">
      <c r="B43" s="19" t="s">
        <v>137</v>
      </c>
      <c r="C43" s="20" t="s">
        <v>138</v>
      </c>
      <c r="D43" s="19" t="n">
        <v>37</v>
      </c>
      <c r="E43" s="33" t="n">
        <v>0.000217413251064836</v>
      </c>
      <c r="F43" s="33" t="n">
        <v>0.000215425827947603</v>
      </c>
      <c r="G43" s="33" t="n">
        <v>0.00265795049440874</v>
      </c>
      <c r="H43" s="33" t="n">
        <v>0.0387936961928864</v>
      </c>
      <c r="I43" s="33" t="n">
        <v>0.0148682412755844</v>
      </c>
      <c r="J43" s="33" t="n">
        <v>0.014393488331852</v>
      </c>
      <c r="K43" s="33" t="n">
        <v>0.0366599944365062</v>
      </c>
      <c r="L43" s="33" t="n">
        <v>0.00397967241719057</v>
      </c>
      <c r="M43" s="33" t="n">
        <v>0.0109259720486861</v>
      </c>
      <c r="N43" s="33" t="n">
        <v>0.00214820595675132</v>
      </c>
      <c r="O43" s="33" t="n">
        <v>0.0054649615084056</v>
      </c>
      <c r="P43" s="33" t="n">
        <v>0.00103657684318061</v>
      </c>
      <c r="Q43" s="33" t="n">
        <v>0.00329327274067082</v>
      </c>
      <c r="R43" s="33" t="n">
        <v>0.00420785461743622</v>
      </c>
      <c r="S43" s="33" t="n">
        <v>0.00408199116984631</v>
      </c>
      <c r="T43" s="33" t="n">
        <v>0.0201185194330019</v>
      </c>
      <c r="U43" s="33" t="n">
        <v>0.0293237140476713</v>
      </c>
      <c r="V43" s="33" t="n">
        <v>0.0593716451846289</v>
      </c>
      <c r="W43" s="33" t="n">
        <v>0.00205954176079924</v>
      </c>
      <c r="X43" s="33" t="n">
        <v>0.00743661091225178</v>
      </c>
      <c r="Y43" s="33" t="n">
        <v>0.00819496482119908</v>
      </c>
      <c r="Z43" s="33" t="n">
        <v>0.00628576229612132</v>
      </c>
      <c r="AA43" s="33" t="n">
        <v>0.00333832069075602</v>
      </c>
      <c r="AB43" s="33" t="n">
        <v>0.00859089961074292</v>
      </c>
      <c r="AC43" s="33" t="n">
        <v>0.00450373189518847</v>
      </c>
      <c r="AD43" s="33" t="n">
        <v>0.0273994382963204</v>
      </c>
      <c r="AE43" s="33" t="n">
        <v>0.0602908437005254</v>
      </c>
      <c r="AF43" s="33" t="n">
        <v>0.0290524340468047</v>
      </c>
      <c r="AG43" s="33" t="n">
        <v>0.00715741407343273</v>
      </c>
      <c r="AH43" s="33" t="n">
        <v>0.00102797101693466</v>
      </c>
      <c r="AI43" s="33" t="n">
        <v>0.00592180241358583</v>
      </c>
      <c r="AJ43" s="33" t="n">
        <v>0.0110741238505838</v>
      </c>
      <c r="AK43" s="33" t="n">
        <v>0.00121406166464617</v>
      </c>
      <c r="AL43" s="33" t="n">
        <v>0.00618325532608592</v>
      </c>
      <c r="AM43" s="33" t="n">
        <v>0.00730937945247378</v>
      </c>
      <c r="AN43" s="33" t="n">
        <v>0.00977446194824764</v>
      </c>
      <c r="AO43" s="33" t="n">
        <v>0.011101490845518</v>
      </c>
      <c r="AP43" s="33" t="n">
        <v>0.00413598621891047</v>
      </c>
      <c r="AQ43" s="33" t="n">
        <v>0.0147696311320461</v>
      </c>
      <c r="AR43" s="33" t="n">
        <v>0.00355005085167582</v>
      </c>
      <c r="AS43" s="33" t="n">
        <v>0.00489862249061122</v>
      </c>
      <c r="AT43" s="33" t="n">
        <v>0.00449900199727117</v>
      </c>
      <c r="AU43" s="33" t="n">
        <v>0.00286652073003141</v>
      </c>
      <c r="AV43" s="33" t="n">
        <v>0.0652654599926295</v>
      </c>
      <c r="AW43" s="33" t="n">
        <v>0.018018493820911</v>
      </c>
      <c r="AX43" s="33" t="n">
        <v>0.0231365857300643</v>
      </c>
      <c r="AY43" s="33" t="n">
        <v>0.00028304159427383</v>
      </c>
      <c r="AZ43" s="33" t="n">
        <v>0.00110495406653477</v>
      </c>
      <c r="BA43" s="33" t="n">
        <v>0.0256362122255894</v>
      </c>
      <c r="BB43" s="33" t="n">
        <v>0.00368564563770209</v>
      </c>
      <c r="BC43" s="33" t="n">
        <v>0.00249020338629304</v>
      </c>
      <c r="BD43" s="33" t="n">
        <v>0.00839895279424548</v>
      </c>
      <c r="BE43" s="33" t="n">
        <v>0.00050899877577107</v>
      </c>
      <c r="BF43" s="33" t="n">
        <v>0.000263734721720928</v>
      </c>
      <c r="BG43" s="33" t="n">
        <v>0.00430486808828344</v>
      </c>
      <c r="BH43" s="33" t="n">
        <v>0.00307367847917319</v>
      </c>
      <c r="BI43" s="33" t="n">
        <v>0.00176034103371786</v>
      </c>
      <c r="BJ43" s="33" t="n">
        <v>0.0207188508243988</v>
      </c>
      <c r="BK43" s="33" t="n">
        <v>0.00451298562500623</v>
      </c>
      <c r="BL43" s="33" t="n">
        <v>0.00575029295362752</v>
      </c>
      <c r="BM43" s="33" t="n">
        <v>0.0013180932395128</v>
      </c>
      <c r="BN43" s="33" t="n">
        <v>0.000369369786901942</v>
      </c>
      <c r="BO43" s="33" t="n">
        <v>1.016362264406E-005</v>
      </c>
      <c r="BP43" s="33" t="n">
        <v>0.00532888503798434</v>
      </c>
      <c r="BQ43" s="33" t="n">
        <v>0.00179245617277342</v>
      </c>
      <c r="BR43" s="33" t="n">
        <v>0.0136215506027127</v>
      </c>
      <c r="BS43" s="33" t="n">
        <v>0.0039194649791679</v>
      </c>
      <c r="BT43" s="33" t="n">
        <v>0</v>
      </c>
    </row>
    <row r="44" customFormat="false" ht="11.25" hidden="false" customHeight="true" outlineLevel="0" collapsed="false">
      <c r="B44" s="24" t="s">
        <v>139</v>
      </c>
      <c r="C44" s="25" t="s">
        <v>140</v>
      </c>
      <c r="D44" s="24" t="n">
        <v>38</v>
      </c>
      <c r="E44" s="34" t="n">
        <v>0.0175864996897838</v>
      </c>
      <c r="F44" s="34" t="n">
        <v>0.0267734307750131</v>
      </c>
      <c r="G44" s="34" t="n">
        <v>0.0109575684594574</v>
      </c>
      <c r="H44" s="34" t="n">
        <v>0.028374273319946</v>
      </c>
      <c r="I44" s="34" t="n">
        <v>0.00165133287795318</v>
      </c>
      <c r="J44" s="34" t="n">
        <v>0.00839988811980521</v>
      </c>
      <c r="K44" s="34" t="n">
        <v>0.0188743842052017</v>
      </c>
      <c r="L44" s="34" t="n">
        <v>0.00453621645669669</v>
      </c>
      <c r="M44" s="34" t="n">
        <v>0.00114418262824046</v>
      </c>
      <c r="N44" s="34" t="n">
        <v>0.00834110961234452</v>
      </c>
      <c r="O44" s="34" t="n">
        <v>0.00715757535524417</v>
      </c>
      <c r="P44" s="34" t="n">
        <v>0.0033712723306525</v>
      </c>
      <c r="Q44" s="34" t="n">
        <v>0.0235801092984302</v>
      </c>
      <c r="R44" s="34" t="n">
        <v>0.00315691674044504</v>
      </c>
      <c r="S44" s="34" t="n">
        <v>0.00526589895591546</v>
      </c>
      <c r="T44" s="34" t="n">
        <v>0.024623249712935</v>
      </c>
      <c r="U44" s="34" t="n">
        <v>0.0170501242324804</v>
      </c>
      <c r="V44" s="34" t="n">
        <v>0.00491784491670987</v>
      </c>
      <c r="W44" s="34" t="n">
        <v>0.000120733924514904</v>
      </c>
      <c r="X44" s="34" t="n">
        <v>0.0032150661406936</v>
      </c>
      <c r="Y44" s="34" t="n">
        <v>0.0227748672575164</v>
      </c>
      <c r="Z44" s="34" t="n">
        <v>0.00559586887386458</v>
      </c>
      <c r="AA44" s="34" t="n">
        <v>0.00361815890228382</v>
      </c>
      <c r="AB44" s="34" t="n">
        <v>0.00355003902595951</v>
      </c>
      <c r="AC44" s="34" t="n">
        <v>0.0155367707793924</v>
      </c>
      <c r="AD44" s="34" t="n">
        <v>0.0317408725726698</v>
      </c>
      <c r="AE44" s="34" t="n">
        <v>0.0177239846066446</v>
      </c>
      <c r="AF44" s="34" t="n">
        <v>0.0325138367913474</v>
      </c>
      <c r="AG44" s="34" t="n">
        <v>0.0100419072553122</v>
      </c>
      <c r="AH44" s="34" t="n">
        <v>0.00136643532284636</v>
      </c>
      <c r="AI44" s="34" t="n">
        <v>0.00581222434480968</v>
      </c>
      <c r="AJ44" s="34" t="n">
        <v>0.00367642448914475</v>
      </c>
      <c r="AK44" s="34" t="n">
        <v>0.00273353267946852</v>
      </c>
      <c r="AL44" s="34" t="n">
        <v>0.0096369188461957</v>
      </c>
      <c r="AM44" s="34" t="n">
        <v>0.00388691738656737</v>
      </c>
      <c r="AN44" s="34" t="n">
        <v>0.00440402275033449</v>
      </c>
      <c r="AO44" s="34" t="n">
        <v>0.002601716785132</v>
      </c>
      <c r="AP44" s="34" t="n">
        <v>0.30979825592008</v>
      </c>
      <c r="AQ44" s="34" t="n">
        <v>0.0466936077989852</v>
      </c>
      <c r="AR44" s="34" t="n">
        <v>0.00105988196710262</v>
      </c>
      <c r="AS44" s="34" t="n">
        <v>0.0101019820399381</v>
      </c>
      <c r="AT44" s="34" t="n">
        <v>0.0197840346727433</v>
      </c>
      <c r="AU44" s="34" t="n">
        <v>0.00386367742308113</v>
      </c>
      <c r="AV44" s="34" t="n">
        <v>0.00254220428633033</v>
      </c>
      <c r="AW44" s="34" t="n">
        <v>0.00116621391892474</v>
      </c>
      <c r="AX44" s="34" t="n">
        <v>0.00978300691440845</v>
      </c>
      <c r="AY44" s="34" t="n">
        <v>0.0691422627394227</v>
      </c>
      <c r="AZ44" s="34" t="n">
        <v>0.00853737039184241</v>
      </c>
      <c r="BA44" s="34" t="n">
        <v>0.00747456433488461</v>
      </c>
      <c r="BB44" s="34" t="n">
        <v>0.0105440012082612</v>
      </c>
      <c r="BC44" s="34" t="n">
        <v>0.0120698501839069</v>
      </c>
      <c r="BD44" s="34" t="n">
        <v>0.00475194551003761</v>
      </c>
      <c r="BE44" s="34" t="n">
        <v>0.00374332268444014</v>
      </c>
      <c r="BF44" s="34" t="n">
        <v>0.00141847315265036</v>
      </c>
      <c r="BG44" s="34" t="n">
        <v>0.00664165890771895</v>
      </c>
      <c r="BH44" s="34" t="n">
        <v>0.00488912348042129</v>
      </c>
      <c r="BI44" s="34" t="n">
        <v>0.00303786935309736</v>
      </c>
      <c r="BJ44" s="34" t="n">
        <v>0.0042664605136038</v>
      </c>
      <c r="BK44" s="34" t="n">
        <v>0.0306656313916569</v>
      </c>
      <c r="BL44" s="34" t="n">
        <v>0.00285537729928142</v>
      </c>
      <c r="BM44" s="34" t="n">
        <v>0.00625479838972096</v>
      </c>
      <c r="BN44" s="34" t="n">
        <v>0.00429269146728039</v>
      </c>
      <c r="BO44" s="34" t="n">
        <v>0.0214919231937057</v>
      </c>
      <c r="BP44" s="34" t="n">
        <v>0.0060649432084457</v>
      </c>
      <c r="BQ44" s="34" t="n">
        <v>0.00589734927465361</v>
      </c>
      <c r="BR44" s="34" t="n">
        <v>0.032603769958218</v>
      </c>
      <c r="BS44" s="34" t="n">
        <v>0.0198372100924069</v>
      </c>
      <c r="BT44" s="34" t="n">
        <v>0</v>
      </c>
    </row>
    <row r="45" customFormat="false" ht="11.25" hidden="false" customHeight="true" outlineLevel="0" collapsed="false">
      <c r="B45" s="19" t="s">
        <v>141</v>
      </c>
      <c r="C45" s="20" t="s">
        <v>142</v>
      </c>
      <c r="D45" s="19" t="n">
        <v>39</v>
      </c>
      <c r="E45" s="33" t="n">
        <v>3.84241541219087E-005</v>
      </c>
      <c r="F45" s="33" t="n">
        <v>1.44864702310298E-005</v>
      </c>
      <c r="G45" s="33" t="n">
        <v>5.3802521505475E-005</v>
      </c>
      <c r="H45" s="33" t="n">
        <v>0.00153649276145745</v>
      </c>
      <c r="I45" s="33" t="n">
        <v>0.000482845779115629</v>
      </c>
      <c r="J45" s="33" t="n">
        <v>0.0028528433220519</v>
      </c>
      <c r="K45" s="33" t="n">
        <v>0.00381760410728625</v>
      </c>
      <c r="L45" s="33" t="n">
        <v>0.000642981213333963</v>
      </c>
      <c r="M45" s="33" t="n">
        <v>0.00106689438387022</v>
      </c>
      <c r="N45" s="33" t="n">
        <v>0.00127791343787902</v>
      </c>
      <c r="O45" s="33" t="n">
        <v>0.00691498588482971</v>
      </c>
      <c r="P45" s="33" t="n">
        <v>7.36922877094838E-005</v>
      </c>
      <c r="Q45" s="33" t="n">
        <v>0.00155003534510935</v>
      </c>
      <c r="R45" s="33" t="n">
        <v>0.000522414408941369</v>
      </c>
      <c r="S45" s="33" t="n">
        <v>0.000774482017064757</v>
      </c>
      <c r="T45" s="33" t="n">
        <v>0.00836438999625068</v>
      </c>
      <c r="U45" s="33" t="n">
        <v>0.00392027214905835</v>
      </c>
      <c r="V45" s="33" t="n">
        <v>0.000305530680357013</v>
      </c>
      <c r="W45" s="33" t="n">
        <v>0.0011810064939994</v>
      </c>
      <c r="X45" s="33" t="n">
        <v>0.00088041663532112</v>
      </c>
      <c r="Y45" s="33" t="n">
        <v>0.00469599522722521</v>
      </c>
      <c r="Z45" s="33" t="n">
        <v>0.00576220628608151</v>
      </c>
      <c r="AA45" s="33" t="n">
        <v>0.00313616429711698</v>
      </c>
      <c r="AB45" s="33" t="n">
        <v>0.00124039126060211</v>
      </c>
      <c r="AC45" s="33" t="n">
        <v>0.00479147984804621</v>
      </c>
      <c r="AD45" s="33" t="n">
        <v>0.00968217732497959</v>
      </c>
      <c r="AE45" s="33" t="n">
        <v>0.0362509170129163</v>
      </c>
      <c r="AF45" s="33" t="n">
        <v>0.0295955061285811</v>
      </c>
      <c r="AG45" s="33" t="n">
        <v>0.00183008882065238</v>
      </c>
      <c r="AH45" s="33" t="n">
        <v>0.000218491514853568</v>
      </c>
      <c r="AI45" s="33" t="n">
        <v>0.000755490346309174</v>
      </c>
      <c r="AJ45" s="33" t="n">
        <v>0.000693392309208769</v>
      </c>
      <c r="AK45" s="33" t="n">
        <v>0.000718866012844499</v>
      </c>
      <c r="AL45" s="33" t="n">
        <v>0.00321716465795276</v>
      </c>
      <c r="AM45" s="33" t="n">
        <v>0.00237219231590165</v>
      </c>
      <c r="AN45" s="33" t="n">
        <v>0.00108637228114134</v>
      </c>
      <c r="AO45" s="33" t="n">
        <v>0.00030674383298178</v>
      </c>
      <c r="AP45" s="33" t="n">
        <v>0.000322206490542714</v>
      </c>
      <c r="AQ45" s="33" t="n">
        <v>0.0142077360622451</v>
      </c>
      <c r="AR45" s="33" t="n">
        <v>0.000555301510378066</v>
      </c>
      <c r="AS45" s="33" t="n">
        <v>0.00304405304816274</v>
      </c>
      <c r="AT45" s="33" t="n">
        <v>0.00450268377654224</v>
      </c>
      <c r="AU45" s="33" t="n">
        <v>0.00121852970550333</v>
      </c>
      <c r="AV45" s="33" t="n">
        <v>0.000514899214399166</v>
      </c>
      <c r="AW45" s="33" t="n">
        <v>0.000212278898826041</v>
      </c>
      <c r="AX45" s="33" t="n">
        <v>0.00655404072945016</v>
      </c>
      <c r="AY45" s="33" t="n">
        <v>0.0235935203519194</v>
      </c>
      <c r="AZ45" s="33" t="n">
        <v>0.00540446234626371</v>
      </c>
      <c r="BA45" s="33" t="n">
        <v>0.00184936102137888</v>
      </c>
      <c r="BB45" s="33" t="n">
        <v>0.00164321835268366</v>
      </c>
      <c r="BC45" s="33" t="n">
        <v>0.000340174668678354</v>
      </c>
      <c r="BD45" s="33" t="n">
        <v>0.00093492707551372</v>
      </c>
      <c r="BE45" s="33" t="n">
        <v>0.00100771293624674</v>
      </c>
      <c r="BF45" s="33" t="n">
        <v>0.000734440014889925</v>
      </c>
      <c r="BG45" s="33" t="n">
        <v>0.00353583527289066</v>
      </c>
      <c r="BH45" s="33" t="n">
        <v>0.00144688786706127</v>
      </c>
      <c r="BI45" s="33" t="n">
        <v>0.000526273041007569</v>
      </c>
      <c r="BJ45" s="33" t="n">
        <v>0.00128774236980407</v>
      </c>
      <c r="BK45" s="33" t="n">
        <v>0.0239206857895322</v>
      </c>
      <c r="BL45" s="33" t="n">
        <v>0.000888311691712805</v>
      </c>
      <c r="BM45" s="33" t="n">
        <v>0.011856510917237</v>
      </c>
      <c r="BN45" s="33" t="n">
        <v>0.00417878786308067</v>
      </c>
      <c r="BO45" s="33" t="n">
        <v>0.00248215846428464</v>
      </c>
      <c r="BP45" s="33" t="n">
        <v>0.00813828359544702</v>
      </c>
      <c r="BQ45" s="33" t="n">
        <v>0.00709301208304541</v>
      </c>
      <c r="BR45" s="33" t="n">
        <v>0.00396771562805919</v>
      </c>
      <c r="BS45" s="33" t="n">
        <v>0.0146069564871594</v>
      </c>
      <c r="BT45" s="33" t="n">
        <v>0</v>
      </c>
    </row>
    <row r="46" customFormat="false" ht="11.25" hidden="false" customHeight="true" outlineLevel="0" collapsed="false">
      <c r="B46" s="24" t="s">
        <v>143</v>
      </c>
      <c r="C46" s="25" t="s">
        <v>144</v>
      </c>
      <c r="D46" s="24" t="n">
        <v>40</v>
      </c>
      <c r="E46" s="34" t="n">
        <v>0.000210409865409804</v>
      </c>
      <c r="F46" s="34" t="n">
        <v>0.000985162860910975</v>
      </c>
      <c r="G46" s="34" t="n">
        <v>0.000298849815119998</v>
      </c>
      <c r="H46" s="34" t="n">
        <v>0.000326408346150339</v>
      </c>
      <c r="I46" s="34" t="n">
        <v>0.00743909023992317</v>
      </c>
      <c r="J46" s="34" t="n">
        <v>0.0243029850072562</v>
      </c>
      <c r="K46" s="34" t="n">
        <v>0.0171615878402095</v>
      </c>
      <c r="L46" s="34" t="n">
        <v>6.52034242158454E-005</v>
      </c>
      <c r="M46" s="34" t="n">
        <v>0.00019598215298663</v>
      </c>
      <c r="N46" s="34" t="n">
        <v>9.753685615844E-005</v>
      </c>
      <c r="O46" s="34" t="n">
        <v>9.08750908334074E-005</v>
      </c>
      <c r="P46" s="34" t="n">
        <v>8.34639292214594E-005</v>
      </c>
      <c r="Q46" s="34" t="n">
        <v>0.00054028692229495</v>
      </c>
      <c r="R46" s="34" t="n">
        <v>0.000136063605049338</v>
      </c>
      <c r="S46" s="34" t="n">
        <v>6.55563262401239E-005</v>
      </c>
      <c r="T46" s="34" t="n">
        <v>8.74493375334349E-005</v>
      </c>
      <c r="U46" s="34" t="n">
        <v>0.000407041924824067</v>
      </c>
      <c r="V46" s="34" t="n">
        <v>0.000900059549761818</v>
      </c>
      <c r="W46" s="34" t="n">
        <v>9.43051260735925E-005</v>
      </c>
      <c r="X46" s="34" t="n">
        <v>0.000450506015645429</v>
      </c>
      <c r="Y46" s="34" t="n">
        <v>0.00039974707162092</v>
      </c>
      <c r="Z46" s="34" t="n">
        <v>0.000113421602180195</v>
      </c>
      <c r="AA46" s="34" t="n">
        <v>8.58780664442468E-005</v>
      </c>
      <c r="AB46" s="34" t="n">
        <v>0.000108763902355121</v>
      </c>
      <c r="AC46" s="34" t="n">
        <v>0.000142388716371502</v>
      </c>
      <c r="AD46" s="34" t="n">
        <v>0.000369121362812662</v>
      </c>
      <c r="AE46" s="34" t="n">
        <v>0.000808546949423775</v>
      </c>
      <c r="AF46" s="34" t="n">
        <v>0.0257181180433108</v>
      </c>
      <c r="AG46" s="34" t="n">
        <v>0.000670935609019219</v>
      </c>
      <c r="AH46" s="34" t="n">
        <v>0.000682220678711931</v>
      </c>
      <c r="AI46" s="34" t="n">
        <v>0.000150594220461209</v>
      </c>
      <c r="AJ46" s="34" t="n">
        <v>0.00057401682177411</v>
      </c>
      <c r="AK46" s="34" t="n">
        <v>0.00132477488652736</v>
      </c>
      <c r="AL46" s="34" t="n">
        <v>0.00038753867169671</v>
      </c>
      <c r="AM46" s="34" t="n">
        <v>0.00448008500814242</v>
      </c>
      <c r="AN46" s="34" t="n">
        <v>0.000269488801988861</v>
      </c>
      <c r="AO46" s="34" t="n">
        <v>9.28475307373798E-005</v>
      </c>
      <c r="AP46" s="34" t="n">
        <v>6.94245751755116E-005</v>
      </c>
      <c r="AQ46" s="34" t="n">
        <v>0.0466920126523963</v>
      </c>
      <c r="AR46" s="34" t="n">
        <v>0.0958181628022107</v>
      </c>
      <c r="AS46" s="34" t="n">
        <v>0.00304568587379065</v>
      </c>
      <c r="AT46" s="34" t="n">
        <v>0.00133452353154771</v>
      </c>
      <c r="AU46" s="34" t="n">
        <v>0.000812960127333677</v>
      </c>
      <c r="AV46" s="34" t="n">
        <v>0.000971395045995917</v>
      </c>
      <c r="AW46" s="34" t="n">
        <v>0.000995064549243568</v>
      </c>
      <c r="AX46" s="34" t="n">
        <v>0.0107395148524389</v>
      </c>
      <c r="AY46" s="34" t="n">
        <v>0.0107817334026526</v>
      </c>
      <c r="AZ46" s="34" t="n">
        <v>0.00213559546424634</v>
      </c>
      <c r="BA46" s="34" t="n">
        <v>0.000959296777977496</v>
      </c>
      <c r="BB46" s="34" t="n">
        <v>0.0049383776804284</v>
      </c>
      <c r="BC46" s="34" t="n">
        <v>0.020138375518126</v>
      </c>
      <c r="BD46" s="34" t="n">
        <v>0.00526044972277901</v>
      </c>
      <c r="BE46" s="34" t="n">
        <v>0.00167301455328592</v>
      </c>
      <c r="BF46" s="34" t="n">
        <v>0.00274207857648698</v>
      </c>
      <c r="BG46" s="34" t="n">
        <v>0.00158974589120652</v>
      </c>
      <c r="BH46" s="34" t="n">
        <v>0.0105492812370106</v>
      </c>
      <c r="BI46" s="34" t="n">
        <v>0.000274160192837027</v>
      </c>
      <c r="BJ46" s="34" t="n">
        <v>0.0039454617035593</v>
      </c>
      <c r="BK46" s="34" t="n">
        <v>0.010143439009062</v>
      </c>
      <c r="BL46" s="34" t="n">
        <v>0.000436800960784737</v>
      </c>
      <c r="BM46" s="34" t="n">
        <v>0.0158583532217864</v>
      </c>
      <c r="BN46" s="34" t="n">
        <v>0.00408664053695733</v>
      </c>
      <c r="BO46" s="34" t="n">
        <v>0.00390201379309897</v>
      </c>
      <c r="BP46" s="34" t="n">
        <v>0.0178511553742453</v>
      </c>
      <c r="BQ46" s="34" t="n">
        <v>0.000182959377893939</v>
      </c>
      <c r="BR46" s="34" t="n">
        <v>0.00430486931726326</v>
      </c>
      <c r="BS46" s="34" t="n">
        <v>0.00252006536460873</v>
      </c>
      <c r="BT46" s="34" t="n">
        <v>0</v>
      </c>
    </row>
    <row r="47" customFormat="false" ht="11.25" hidden="false" customHeight="true" outlineLevel="0" collapsed="false">
      <c r="B47" s="19" t="s">
        <v>145</v>
      </c>
      <c r="C47" s="20" t="s">
        <v>146</v>
      </c>
      <c r="D47" s="19" t="n">
        <v>41</v>
      </c>
      <c r="E47" s="33" t="n">
        <v>0.00102281510412147</v>
      </c>
      <c r="F47" s="33" t="n">
        <v>0.000526676182496214</v>
      </c>
      <c r="G47" s="33" t="n">
        <v>0.00109109043811049</v>
      </c>
      <c r="H47" s="33" t="n">
        <v>0.0058663667210997</v>
      </c>
      <c r="I47" s="33" t="n">
        <v>0.00126650589601585</v>
      </c>
      <c r="J47" s="33" t="n">
        <v>0.0238929198554245</v>
      </c>
      <c r="K47" s="33" t="n">
        <v>0.0117160883108423</v>
      </c>
      <c r="L47" s="33" t="n">
        <v>0.000134792469701261</v>
      </c>
      <c r="M47" s="33" t="n">
        <v>0.000289248079990278</v>
      </c>
      <c r="N47" s="33" t="n">
        <v>0.000190109241870253</v>
      </c>
      <c r="O47" s="33" t="n">
        <v>0.000934215334215727</v>
      </c>
      <c r="P47" s="33" t="n">
        <v>4.05935355304814E-005</v>
      </c>
      <c r="Q47" s="33" t="n">
        <v>0.000168546891817209</v>
      </c>
      <c r="R47" s="33" t="n">
        <v>2.44246969456098E-005</v>
      </c>
      <c r="S47" s="33" t="n">
        <v>0.000202491236575367</v>
      </c>
      <c r="T47" s="33" t="n">
        <v>6.68853901240068E-005</v>
      </c>
      <c r="U47" s="33" t="n">
        <v>0.000120378141136682</v>
      </c>
      <c r="V47" s="33" t="n">
        <v>5.87027160352358E-005</v>
      </c>
      <c r="W47" s="33" t="n">
        <v>1.70918637190366E-005</v>
      </c>
      <c r="X47" s="33" t="n">
        <v>0.000184062185219612</v>
      </c>
      <c r="Y47" s="33" t="n">
        <v>5.07257423682502E-005</v>
      </c>
      <c r="Z47" s="33" t="n">
        <v>0.000249287803557837</v>
      </c>
      <c r="AA47" s="33" t="n">
        <v>4.65149262510115E-005</v>
      </c>
      <c r="AB47" s="33" t="n">
        <v>0.00140738807537475</v>
      </c>
      <c r="AC47" s="33" t="n">
        <v>0.00361240578333991</v>
      </c>
      <c r="AD47" s="33" t="n">
        <v>0.00784584705460302</v>
      </c>
      <c r="AE47" s="33" t="n">
        <v>0.000177906381821614</v>
      </c>
      <c r="AF47" s="33" t="n">
        <v>0.0016525420070963</v>
      </c>
      <c r="AG47" s="33" t="n">
        <v>0.000101767818906399</v>
      </c>
      <c r="AH47" s="33" t="n">
        <v>0.0090596479620322</v>
      </c>
      <c r="AI47" s="33" t="n">
        <v>0.000638409725670721</v>
      </c>
      <c r="AJ47" s="33" t="n">
        <v>0.0380466558676959</v>
      </c>
      <c r="AK47" s="33" t="n">
        <v>0.00644773717642763</v>
      </c>
      <c r="AL47" s="33" t="n">
        <v>0.00131390165205804</v>
      </c>
      <c r="AM47" s="33" t="n">
        <v>8.85257825540385E-005</v>
      </c>
      <c r="AN47" s="33" t="n">
        <v>0.00130993942067688</v>
      </c>
      <c r="AO47" s="33" t="n">
        <v>0.00166761350170123</v>
      </c>
      <c r="AP47" s="33" t="n">
        <v>0.00170504384828491</v>
      </c>
      <c r="AQ47" s="33" t="n">
        <v>0.0206149617287944</v>
      </c>
      <c r="AR47" s="33" t="n">
        <v>0.00164476812503165</v>
      </c>
      <c r="AS47" s="33" t="n">
        <v>0.0167613725093481</v>
      </c>
      <c r="AT47" s="33" t="n">
        <v>0.00762794589135095</v>
      </c>
      <c r="AU47" s="33" t="n">
        <v>0.0385739504847721</v>
      </c>
      <c r="AV47" s="33" t="n">
        <v>0.000746195605807777</v>
      </c>
      <c r="AW47" s="33" t="n">
        <v>0.000938111981798937</v>
      </c>
      <c r="AX47" s="33" t="n">
        <v>0.00700256807438001</v>
      </c>
      <c r="AY47" s="33" t="n">
        <v>2.35796442770916E-005</v>
      </c>
      <c r="AZ47" s="33" t="n">
        <v>0.000876056714554595</v>
      </c>
      <c r="BA47" s="33" t="n">
        <v>0.000673551425222239</v>
      </c>
      <c r="BB47" s="33" t="n">
        <v>0.00268868015821097</v>
      </c>
      <c r="BC47" s="33" t="n">
        <v>0.000361593324186223</v>
      </c>
      <c r="BD47" s="33" t="n">
        <v>0.000119571721651786</v>
      </c>
      <c r="BE47" s="33" t="n">
        <v>0.00027416291348204</v>
      </c>
      <c r="BF47" s="33" t="n">
        <v>7.30313165378946E-005</v>
      </c>
      <c r="BG47" s="33" t="n">
        <v>1.91417593352673E-005</v>
      </c>
      <c r="BH47" s="33" t="n">
        <v>0.00301735754073068</v>
      </c>
      <c r="BI47" s="33" t="n">
        <v>0.000525637951424986</v>
      </c>
      <c r="BJ47" s="33" t="n">
        <v>0.0347982383655806</v>
      </c>
      <c r="BK47" s="33" t="n">
        <v>0.000561814681452464</v>
      </c>
      <c r="BL47" s="33" t="n">
        <v>0.00911599235047311</v>
      </c>
      <c r="BM47" s="33" t="n">
        <v>0.00388870567525597</v>
      </c>
      <c r="BN47" s="33" t="n">
        <v>0.00192635707422012</v>
      </c>
      <c r="BO47" s="33" t="n">
        <v>7.59517710629233E-005</v>
      </c>
      <c r="BP47" s="33" t="n">
        <v>0.0118302779162749</v>
      </c>
      <c r="BQ47" s="33" t="n">
        <v>0.00408879304862989</v>
      </c>
      <c r="BR47" s="33" t="n">
        <v>0.00241940638019415</v>
      </c>
      <c r="BS47" s="33" t="n">
        <v>0.000541635986957</v>
      </c>
      <c r="BT47" s="33" t="n">
        <v>0</v>
      </c>
    </row>
    <row r="48" customFormat="false" ht="11.25" hidden="false" customHeight="true" outlineLevel="0" collapsed="false">
      <c r="B48" s="24" t="s">
        <v>147</v>
      </c>
      <c r="C48" s="25" t="s">
        <v>148</v>
      </c>
      <c r="D48" s="24" t="n">
        <v>42</v>
      </c>
      <c r="E48" s="34" t="n">
        <v>0.00188621623808806</v>
      </c>
      <c r="F48" s="34" t="n">
        <v>0.00461619385251681</v>
      </c>
      <c r="G48" s="34" t="n">
        <v>0.00111092421189561</v>
      </c>
      <c r="H48" s="34" t="n">
        <v>0.0368598953970537</v>
      </c>
      <c r="I48" s="34" t="n">
        <v>0.0120823966977999</v>
      </c>
      <c r="J48" s="34" t="n">
        <v>0.0221905730723036</v>
      </c>
      <c r="K48" s="34" t="n">
        <v>0.0602044512936343</v>
      </c>
      <c r="L48" s="34" t="n">
        <v>0.493080379377327</v>
      </c>
      <c r="M48" s="34" t="n">
        <v>0.125103082938845</v>
      </c>
      <c r="N48" s="34" t="n">
        <v>0.29196791305791</v>
      </c>
      <c r="O48" s="34" t="n">
        <v>0.0531879909746435</v>
      </c>
      <c r="P48" s="34" t="n">
        <v>0.253631499813484</v>
      </c>
      <c r="Q48" s="34" t="n">
        <v>0.217595396079392</v>
      </c>
      <c r="R48" s="34" t="n">
        <v>0.220937478227702</v>
      </c>
      <c r="S48" s="34" t="n">
        <v>0.39289018637787</v>
      </c>
      <c r="T48" s="34" t="n">
        <v>0.212338630094598</v>
      </c>
      <c r="U48" s="34" t="n">
        <v>0.404074789713857</v>
      </c>
      <c r="V48" s="34" t="n">
        <v>0.059258989148096</v>
      </c>
      <c r="W48" s="34" t="n">
        <v>0.0338458799789907</v>
      </c>
      <c r="X48" s="34" t="n">
        <v>0.140033631789144</v>
      </c>
      <c r="Y48" s="34" t="n">
        <v>0.126508728518983</v>
      </c>
      <c r="Z48" s="34" t="n">
        <v>0.265181524473891</v>
      </c>
      <c r="AA48" s="34" t="n">
        <v>0.0371476088448522</v>
      </c>
      <c r="AB48" s="34" t="n">
        <v>0.371251015689626</v>
      </c>
      <c r="AC48" s="34" t="n">
        <v>0.262581352653197</v>
      </c>
      <c r="AD48" s="34" t="n">
        <v>0.265684377713192</v>
      </c>
      <c r="AE48" s="34" t="n">
        <v>0.226737519098149</v>
      </c>
      <c r="AF48" s="34" t="n">
        <v>0.129924057850106</v>
      </c>
      <c r="AG48" s="34" t="n">
        <v>0.270327809953777</v>
      </c>
      <c r="AH48" s="34" t="n">
        <v>0.141762451983151</v>
      </c>
      <c r="AI48" s="34" t="n">
        <v>0.258379694300267</v>
      </c>
      <c r="AJ48" s="34" t="n">
        <v>0.37851295721176</v>
      </c>
      <c r="AK48" s="34" t="n">
        <v>0.0132146660279946</v>
      </c>
      <c r="AL48" s="34" t="n">
        <v>0.00762855840534825</v>
      </c>
      <c r="AM48" s="34" t="n">
        <v>0.0706297125550165</v>
      </c>
      <c r="AN48" s="34" t="n">
        <v>0.180868650669473</v>
      </c>
      <c r="AO48" s="34" t="n">
        <v>0.00626330336907543</v>
      </c>
      <c r="AP48" s="34" t="n">
        <v>0.00117261325211539</v>
      </c>
      <c r="AQ48" s="34" t="n">
        <v>0.00552926568306403</v>
      </c>
      <c r="AR48" s="34" t="n">
        <v>0.00263586831487277</v>
      </c>
      <c r="AS48" s="34" t="n">
        <v>0.0014776661304275</v>
      </c>
      <c r="AT48" s="34" t="n">
        <v>0.110115678423128</v>
      </c>
      <c r="AU48" s="34" t="n">
        <v>0.00199913900477293</v>
      </c>
      <c r="AV48" s="34" t="n">
        <v>0.0090170330341345</v>
      </c>
      <c r="AW48" s="34" t="n">
        <v>0.00613094137815994</v>
      </c>
      <c r="AX48" s="34" t="n">
        <v>0.0039946948867698</v>
      </c>
      <c r="AY48" s="34" t="n">
        <v>0.00405392504302492</v>
      </c>
      <c r="AZ48" s="34" t="n">
        <v>0.00918445660124595</v>
      </c>
      <c r="BA48" s="34" t="n">
        <v>0.367697151267832</v>
      </c>
      <c r="BB48" s="34" t="n">
        <v>0.225482326489022</v>
      </c>
      <c r="BC48" s="34" t="n">
        <v>0.298610285880561</v>
      </c>
      <c r="BD48" s="34" t="n">
        <v>0.0500524835809098</v>
      </c>
      <c r="BE48" s="34" t="n">
        <v>0.00274140977035082</v>
      </c>
      <c r="BF48" s="34" t="n">
        <v>0.000209832621195816</v>
      </c>
      <c r="BG48" s="34" t="n">
        <v>0.0345645942967274</v>
      </c>
      <c r="BH48" s="34" t="n">
        <v>0.0139061944665976</v>
      </c>
      <c r="BI48" s="34" t="n">
        <v>0.0394242671296409</v>
      </c>
      <c r="BJ48" s="34" t="n">
        <v>0.00422528804636323</v>
      </c>
      <c r="BK48" s="34" t="n">
        <v>0.0331347139404823</v>
      </c>
      <c r="BL48" s="34" t="n">
        <v>0.0245371110076999</v>
      </c>
      <c r="BM48" s="34" t="n">
        <v>0.0014073115390975</v>
      </c>
      <c r="BN48" s="34" t="n">
        <v>0.00129930617161664</v>
      </c>
      <c r="BO48" s="34" t="n">
        <v>0.00500762530904181</v>
      </c>
      <c r="BP48" s="34" t="n">
        <v>0.00672532500517659</v>
      </c>
      <c r="BQ48" s="34" t="n">
        <v>0.00628146066765759</v>
      </c>
      <c r="BR48" s="34" t="n">
        <v>0.0122923705928419</v>
      </c>
      <c r="BS48" s="34" t="n">
        <v>0.00484924824391441</v>
      </c>
      <c r="BT48" s="34" t="n">
        <v>0</v>
      </c>
    </row>
    <row r="49" customFormat="false" ht="11.25" hidden="false" customHeight="true" outlineLevel="0" collapsed="false">
      <c r="B49" s="19" t="s">
        <v>149</v>
      </c>
      <c r="C49" s="20" t="s">
        <v>150</v>
      </c>
      <c r="D49" s="19" t="n">
        <v>43</v>
      </c>
      <c r="E49" s="33" t="n">
        <v>0.0194960737645867</v>
      </c>
      <c r="F49" s="33" t="n">
        <v>0.00752421425294776</v>
      </c>
      <c r="G49" s="33" t="n">
        <v>0.0246040275950022</v>
      </c>
      <c r="H49" s="33" t="n">
        <v>0.0559038797681242</v>
      </c>
      <c r="I49" s="33" t="n">
        <v>0.0342445037340585</v>
      </c>
      <c r="J49" s="33" t="n">
        <v>0.037704132238035</v>
      </c>
      <c r="K49" s="33" t="n">
        <v>0.0576105824529302</v>
      </c>
      <c r="L49" s="33" t="n">
        <v>0.0519081954397464</v>
      </c>
      <c r="M49" s="33" t="n">
        <v>0.0549187875433373</v>
      </c>
      <c r="N49" s="33" t="n">
        <v>0.0583559216237852</v>
      </c>
      <c r="O49" s="33" t="n">
        <v>0.0568051456274521</v>
      </c>
      <c r="P49" s="33" t="n">
        <v>0.0151596836641516</v>
      </c>
      <c r="Q49" s="33" t="n">
        <v>0.0248961488745605</v>
      </c>
      <c r="R49" s="33" t="n">
        <v>0.0160059397942909</v>
      </c>
      <c r="S49" s="33" t="n">
        <v>0.0295490827752788</v>
      </c>
      <c r="T49" s="33" t="n">
        <v>0.0505735771227909</v>
      </c>
      <c r="U49" s="33" t="n">
        <v>0.0489629624162239</v>
      </c>
      <c r="V49" s="33" t="n">
        <v>0.0186732869677712</v>
      </c>
      <c r="W49" s="33" t="n">
        <v>0.0130166376753651</v>
      </c>
      <c r="X49" s="33" t="n">
        <v>0.0218732192216152</v>
      </c>
      <c r="Y49" s="33" t="n">
        <v>0.0463931373081674</v>
      </c>
      <c r="Z49" s="33" t="n">
        <v>0.0329204916398536</v>
      </c>
      <c r="AA49" s="33" t="n">
        <v>0.0431032507621251</v>
      </c>
      <c r="AB49" s="33" t="n">
        <v>0.0586651211887818</v>
      </c>
      <c r="AC49" s="33" t="n">
        <v>0.0318906896920505</v>
      </c>
      <c r="AD49" s="33" t="n">
        <v>0.0413366012316951</v>
      </c>
      <c r="AE49" s="33" t="n">
        <v>0.0464560961212061</v>
      </c>
      <c r="AF49" s="33" t="n">
        <v>0.0125739641126437</v>
      </c>
      <c r="AG49" s="33" t="n">
        <v>0.0338346987104196</v>
      </c>
      <c r="AH49" s="33" t="n">
        <v>0.0162587989882231</v>
      </c>
      <c r="AI49" s="33" t="n">
        <v>0.0219079915298092</v>
      </c>
      <c r="AJ49" s="33" t="n">
        <v>0.0196506875052169</v>
      </c>
      <c r="AK49" s="33" t="n">
        <v>0.0320206265065108</v>
      </c>
      <c r="AL49" s="33" t="n">
        <v>0.0245921078553574</v>
      </c>
      <c r="AM49" s="33" t="n">
        <v>0.0181553791398725</v>
      </c>
      <c r="AN49" s="33" t="n">
        <v>0.0253198570852893</v>
      </c>
      <c r="AO49" s="33" t="n">
        <v>0.00241306828132077</v>
      </c>
      <c r="AP49" s="33" t="n">
        <v>0.015269410451824</v>
      </c>
      <c r="AQ49" s="33" t="n">
        <v>0.00649914134472343</v>
      </c>
      <c r="AR49" s="33" t="n">
        <v>0.00419990820797136</v>
      </c>
      <c r="AS49" s="33" t="n">
        <v>0.0108299089507747</v>
      </c>
      <c r="AT49" s="33" t="n">
        <v>0.0608032127831812</v>
      </c>
      <c r="AU49" s="33" t="n">
        <v>0.166851754685146</v>
      </c>
      <c r="AV49" s="33" t="n">
        <v>0.016946246329649</v>
      </c>
      <c r="AW49" s="33" t="n">
        <v>0.00700122592420431</v>
      </c>
      <c r="AX49" s="33" t="n">
        <v>0.0634254500348632</v>
      </c>
      <c r="AY49" s="33" t="n">
        <v>0.00365077865654581</v>
      </c>
      <c r="AZ49" s="33" t="n">
        <v>0.00610261512288455</v>
      </c>
      <c r="BA49" s="33" t="n">
        <v>0.0283469151578241</v>
      </c>
      <c r="BB49" s="33" t="n">
        <v>0.0110147356167388</v>
      </c>
      <c r="BC49" s="33" t="n">
        <v>0.00335909154686319</v>
      </c>
      <c r="BD49" s="33" t="n">
        <v>0.00451322536967855</v>
      </c>
      <c r="BE49" s="33" t="n">
        <v>0.00313321165799959</v>
      </c>
      <c r="BF49" s="33" t="n">
        <v>0.000259828020727878</v>
      </c>
      <c r="BG49" s="33" t="n">
        <v>0.00603506910946631</v>
      </c>
      <c r="BH49" s="33" t="n">
        <v>0.0185535308509475</v>
      </c>
      <c r="BI49" s="33" t="n">
        <v>0.00363431184340666</v>
      </c>
      <c r="BJ49" s="33" t="n">
        <v>0.0128330305239524</v>
      </c>
      <c r="BK49" s="33" t="n">
        <v>0.00266159031590999</v>
      </c>
      <c r="BL49" s="33" t="n">
        <v>0.00407269959574839</v>
      </c>
      <c r="BM49" s="33" t="n">
        <v>0.00362214529721114</v>
      </c>
      <c r="BN49" s="33" t="n">
        <v>0.0036423821095154</v>
      </c>
      <c r="BO49" s="33" t="n">
        <v>0.0126385249400859</v>
      </c>
      <c r="BP49" s="33" t="n">
        <v>0.00663627196957588</v>
      </c>
      <c r="BQ49" s="33" t="n">
        <v>0.000120715067872074</v>
      </c>
      <c r="BR49" s="33" t="n">
        <v>0.00790188078540079</v>
      </c>
      <c r="BS49" s="33" t="n">
        <v>0.0175799842326068</v>
      </c>
      <c r="BT49" s="33" t="n">
        <v>0</v>
      </c>
    </row>
    <row r="50" customFormat="false" ht="11.25" hidden="false" customHeight="true" outlineLevel="0" collapsed="false">
      <c r="B50" s="24" t="s">
        <v>151</v>
      </c>
      <c r="C50" s="25" t="s">
        <v>152</v>
      </c>
      <c r="D50" s="24" t="n">
        <v>44</v>
      </c>
      <c r="E50" s="34" t="n">
        <v>5.53824727667345E-008</v>
      </c>
      <c r="F50" s="34" t="n">
        <v>1.32407847314431E-007</v>
      </c>
      <c r="G50" s="34" t="n">
        <v>7.94559953597699E-007</v>
      </c>
      <c r="H50" s="34" t="n">
        <v>4.65388535641436E-006</v>
      </c>
      <c r="I50" s="34" t="n">
        <v>0.03234158515615</v>
      </c>
      <c r="J50" s="34" t="n">
        <v>1.83570651582771E-006</v>
      </c>
      <c r="K50" s="34" t="n">
        <v>0.000919054831322188</v>
      </c>
      <c r="L50" s="34" t="n">
        <v>0.00578362751569066</v>
      </c>
      <c r="M50" s="34" t="n">
        <v>0.0022774911872361</v>
      </c>
      <c r="N50" s="34" t="n">
        <v>0.00190099401278424</v>
      </c>
      <c r="O50" s="34" t="n">
        <v>1.81746995039233E-005</v>
      </c>
      <c r="P50" s="34" t="n">
        <v>4.71592318668982E-005</v>
      </c>
      <c r="Q50" s="34" t="n">
        <v>0.000211044243535522</v>
      </c>
      <c r="R50" s="34" t="n">
        <v>0.000256034716829963</v>
      </c>
      <c r="S50" s="34" t="n">
        <v>0.000160662361696049</v>
      </c>
      <c r="T50" s="34" t="n">
        <v>0.00716278602138855</v>
      </c>
      <c r="U50" s="34" t="n">
        <v>0.0185805730654002</v>
      </c>
      <c r="V50" s="34" t="n">
        <v>0.000962542358543471</v>
      </c>
      <c r="W50" s="34" t="n">
        <v>0.000200871867255072</v>
      </c>
      <c r="X50" s="34" t="n">
        <v>0.000164399825845459</v>
      </c>
      <c r="Y50" s="34" t="n">
        <v>0.00575726630672091</v>
      </c>
      <c r="Z50" s="34" t="n">
        <v>0.00016291367159612</v>
      </c>
      <c r="AA50" s="34" t="n">
        <v>0.000970500078716324</v>
      </c>
      <c r="AB50" s="34" t="n">
        <v>3.97466325071633E-005</v>
      </c>
      <c r="AC50" s="34" t="n">
        <v>0.000418137206924512</v>
      </c>
      <c r="AD50" s="34" t="n">
        <v>0.00161313243654782</v>
      </c>
      <c r="AE50" s="34" t="n">
        <v>0.00302656123886145</v>
      </c>
      <c r="AF50" s="34" t="n">
        <v>0.000195458572783224</v>
      </c>
      <c r="AG50" s="34" t="n">
        <v>0.000371342309699377</v>
      </c>
      <c r="AH50" s="34" t="n">
        <v>0.000389183684711667</v>
      </c>
      <c r="AI50" s="34" t="n">
        <v>0.000558219127190915</v>
      </c>
      <c r="AJ50" s="34" t="n">
        <v>0.00231571785411024</v>
      </c>
      <c r="AK50" s="34" t="n">
        <v>0.00117089052999949</v>
      </c>
      <c r="AL50" s="34" t="n">
        <v>0.000936254716931609</v>
      </c>
      <c r="AM50" s="34" t="n">
        <v>0.0026693260869516</v>
      </c>
      <c r="AN50" s="34" t="n">
        <v>2.1333370584939E-005</v>
      </c>
      <c r="AO50" s="34" t="n">
        <v>9.71283261405377E-005</v>
      </c>
      <c r="AP50" s="34" t="n">
        <v>1.06021490757179E-005</v>
      </c>
      <c r="AQ50" s="34" t="n">
        <v>1.7270264549783E-005</v>
      </c>
      <c r="AR50" s="34" t="n">
        <v>1.50838973821816E-005</v>
      </c>
      <c r="AS50" s="34" t="n">
        <v>9.9452932763743E-005</v>
      </c>
      <c r="AT50" s="34" t="n">
        <v>0.00139327695514497</v>
      </c>
      <c r="AU50" s="34" t="n">
        <v>0.00245726613747039</v>
      </c>
      <c r="AV50" s="34" t="n">
        <v>0.0589314257282903</v>
      </c>
      <c r="AW50" s="34" t="n">
        <v>1.21513749748145E-005</v>
      </c>
      <c r="AX50" s="34" t="n">
        <v>0.000600650875677094</v>
      </c>
      <c r="AY50" s="34" t="n">
        <v>0.000187541746439246</v>
      </c>
      <c r="AZ50" s="34" t="n">
        <v>0.000166651660109647</v>
      </c>
      <c r="BA50" s="34" t="n">
        <v>4.42941736831723E-005</v>
      </c>
      <c r="BB50" s="34" t="n">
        <v>0.000103756781541195</v>
      </c>
      <c r="BC50" s="34" t="n">
        <v>5.11916520898997E-005</v>
      </c>
      <c r="BD50" s="34" t="n">
        <v>0.000156131304108362</v>
      </c>
      <c r="BE50" s="34" t="n">
        <v>3.29930964642787E-005</v>
      </c>
      <c r="BF50" s="34" t="n">
        <v>1.39687905224302E-005</v>
      </c>
      <c r="BG50" s="34" t="n">
        <v>0.00010435025019113</v>
      </c>
      <c r="BH50" s="34" t="n">
        <v>8.40450079951516E-005</v>
      </c>
      <c r="BI50" s="34" t="n">
        <v>4.83369159603719E-005</v>
      </c>
      <c r="BJ50" s="34" t="n">
        <v>8.70168714660571E-005</v>
      </c>
      <c r="BK50" s="34" t="n">
        <v>0.000933177786037016</v>
      </c>
      <c r="BL50" s="34" t="n">
        <v>4.53297268350626E-005</v>
      </c>
      <c r="BM50" s="34" t="n">
        <v>1.28203249179876E-005</v>
      </c>
      <c r="BN50" s="34" t="n">
        <v>6.36470525355035E-006</v>
      </c>
      <c r="BO50" s="34" t="n">
        <v>0.000168216907988786</v>
      </c>
      <c r="BP50" s="34" t="n">
        <v>8.39564053705133E-006</v>
      </c>
      <c r="BQ50" s="34" t="n">
        <v>3.73147223566819E-005</v>
      </c>
      <c r="BR50" s="34" t="n">
        <v>0.000434087575278767</v>
      </c>
      <c r="BS50" s="34" t="n">
        <v>0.000102316162833056</v>
      </c>
      <c r="BT50" s="34" t="n">
        <v>0</v>
      </c>
    </row>
    <row r="51" customFormat="false" ht="11.25" hidden="false" customHeight="true" outlineLevel="0" collapsed="false">
      <c r="B51" s="19" t="s">
        <v>153</v>
      </c>
      <c r="C51" s="20" t="s">
        <v>154</v>
      </c>
      <c r="D51" s="19" t="n">
        <v>45</v>
      </c>
      <c r="E51" s="33" t="n">
        <v>1.50903388288954E-006</v>
      </c>
      <c r="F51" s="33" t="n">
        <v>4.7806827407735E-008</v>
      </c>
      <c r="G51" s="33" t="n">
        <v>5.78299762126424E-005</v>
      </c>
      <c r="H51" s="33" t="n">
        <v>3.77519556564297E-005</v>
      </c>
      <c r="I51" s="33" t="n">
        <v>0.00925962265580009</v>
      </c>
      <c r="J51" s="33" t="n">
        <v>6.38756942163962E-005</v>
      </c>
      <c r="K51" s="33" t="n">
        <v>0.000832824220018566</v>
      </c>
      <c r="L51" s="33" t="n">
        <v>0.000449369843342512</v>
      </c>
      <c r="M51" s="33" t="n">
        <v>5.39977909630008E-005</v>
      </c>
      <c r="N51" s="33" t="n">
        <v>0.00035457576259128</v>
      </c>
      <c r="O51" s="33" t="n">
        <v>0.000237946007310922</v>
      </c>
      <c r="P51" s="33" t="n">
        <v>0.000673084484582211</v>
      </c>
      <c r="Q51" s="33" t="n">
        <v>0.000261065414123257</v>
      </c>
      <c r="R51" s="33" t="n">
        <v>0.000246175031494454</v>
      </c>
      <c r="S51" s="33" t="n">
        <v>0.00043835465150624</v>
      </c>
      <c r="T51" s="33" t="n">
        <v>0.0006309172775967</v>
      </c>
      <c r="U51" s="33" t="n">
        <v>0.00043006560748275</v>
      </c>
      <c r="V51" s="33" t="n">
        <v>0.000262761964975946</v>
      </c>
      <c r="W51" s="33" t="n">
        <v>5.67380555072603E-005</v>
      </c>
      <c r="X51" s="33" t="n">
        <v>7.5612732790877E-005</v>
      </c>
      <c r="Y51" s="33" t="n">
        <v>0.000777464355268548</v>
      </c>
      <c r="Z51" s="33" t="n">
        <v>0.00145005500571907</v>
      </c>
      <c r="AA51" s="33" t="n">
        <v>0.000100231262497631</v>
      </c>
      <c r="AB51" s="33" t="n">
        <v>0.000757371169298652</v>
      </c>
      <c r="AC51" s="33" t="n">
        <v>0.00015776057479024</v>
      </c>
      <c r="AD51" s="33" t="n">
        <v>0.000542838160956659</v>
      </c>
      <c r="AE51" s="33" t="n">
        <v>0.000280692090585901</v>
      </c>
      <c r="AF51" s="33" t="n">
        <v>8.09972296573032E-005</v>
      </c>
      <c r="AG51" s="33" t="n">
        <v>0.000221176000101014</v>
      </c>
      <c r="AH51" s="33" t="n">
        <v>0.000889172764252913</v>
      </c>
      <c r="AI51" s="33" t="n">
        <v>0.000822189569378819</v>
      </c>
      <c r="AJ51" s="33" t="n">
        <v>0.000569857864574503</v>
      </c>
      <c r="AK51" s="33" t="n">
        <v>0.000497502527938915</v>
      </c>
      <c r="AL51" s="33" t="n">
        <v>0.000376160760641326</v>
      </c>
      <c r="AM51" s="33" t="n">
        <v>0.000335994030182042</v>
      </c>
      <c r="AN51" s="33" t="n">
        <v>0.000223825567910966</v>
      </c>
      <c r="AO51" s="33" t="n">
        <v>0.000323139666144696</v>
      </c>
      <c r="AP51" s="33" t="n">
        <v>0.000578007678482902</v>
      </c>
      <c r="AQ51" s="33" t="n">
        <v>0.000258245231947962</v>
      </c>
      <c r="AR51" s="33" t="n">
        <v>0.000743524148349094</v>
      </c>
      <c r="AS51" s="33" t="n">
        <v>0.000474359809864768</v>
      </c>
      <c r="AT51" s="33" t="n">
        <v>0.00140949825395056</v>
      </c>
      <c r="AU51" s="33" t="n">
        <v>0.000237141499860821</v>
      </c>
      <c r="AV51" s="33" t="n">
        <v>0.0017996804140199</v>
      </c>
      <c r="AW51" s="33" t="n">
        <v>0.000161543251727324</v>
      </c>
      <c r="AX51" s="33" t="n">
        <v>0.00245637937273934</v>
      </c>
      <c r="AY51" s="33" t="n">
        <v>0.00100782421294397</v>
      </c>
      <c r="AZ51" s="33" t="n">
        <v>0.000113259960247735</v>
      </c>
      <c r="BA51" s="33" t="n">
        <v>0.000373665312835285</v>
      </c>
      <c r="BB51" s="33" t="n">
        <v>0.00141114470587938</v>
      </c>
      <c r="BC51" s="33" t="n">
        <v>0.000374585647884187</v>
      </c>
      <c r="BD51" s="33" t="n">
        <v>0.00180004505696028</v>
      </c>
      <c r="BE51" s="33" t="n">
        <v>0.00121437501397127</v>
      </c>
      <c r="BF51" s="33" t="n">
        <v>3.86806747483888E-005</v>
      </c>
      <c r="BG51" s="33" t="n">
        <v>0.00165651147701105</v>
      </c>
      <c r="BH51" s="33" t="n">
        <v>0.00184684442728871</v>
      </c>
      <c r="BI51" s="33" t="n">
        <v>0.00233771026061796</v>
      </c>
      <c r="BJ51" s="33" t="n">
        <v>0.000707262639026916</v>
      </c>
      <c r="BK51" s="33" t="n">
        <v>0.000519094797290466</v>
      </c>
      <c r="BL51" s="33" t="n">
        <v>0.000294034390225531</v>
      </c>
      <c r="BM51" s="33" t="n">
        <v>0.000805644495018974</v>
      </c>
      <c r="BN51" s="33" t="n">
        <v>0.000433676559994295</v>
      </c>
      <c r="BO51" s="33" t="n">
        <v>0.00687903887298244</v>
      </c>
      <c r="BP51" s="33" t="n">
        <v>0.00156458816160266</v>
      </c>
      <c r="BQ51" s="33" t="n">
        <v>1.14017207200972E-005</v>
      </c>
      <c r="BR51" s="33" t="n">
        <v>0.00114530018342821</v>
      </c>
      <c r="BS51" s="33" t="n">
        <v>0.0216167620087221</v>
      </c>
      <c r="BT51" s="33" t="n">
        <v>0</v>
      </c>
    </row>
    <row r="52" customFormat="false" ht="11.25" hidden="false" customHeight="true" outlineLevel="0" collapsed="false">
      <c r="B52" s="24" t="s">
        <v>155</v>
      </c>
      <c r="C52" s="25" t="s">
        <v>156</v>
      </c>
      <c r="D52" s="24" t="n">
        <v>46</v>
      </c>
      <c r="E52" s="34" t="n">
        <v>0.00421962183230875</v>
      </c>
      <c r="F52" s="34" t="n">
        <v>0.000318967449680158</v>
      </c>
      <c r="G52" s="34" t="n">
        <v>0.00812539499917162</v>
      </c>
      <c r="H52" s="34" t="n">
        <v>0.0019846405518821</v>
      </c>
      <c r="I52" s="34" t="n">
        <v>0.0200750894622179</v>
      </c>
      <c r="J52" s="34" t="n">
        <v>0.0261311458525392</v>
      </c>
      <c r="K52" s="34" t="n">
        <v>0.0295110643899015</v>
      </c>
      <c r="L52" s="34" t="n">
        <v>0.0108401335244143</v>
      </c>
      <c r="M52" s="34" t="n">
        <v>0.0377894861374917</v>
      </c>
      <c r="N52" s="34" t="n">
        <v>0.0113544372560341</v>
      </c>
      <c r="O52" s="34" t="n">
        <v>0.0270473790732019</v>
      </c>
      <c r="P52" s="34" t="n">
        <v>0.00240793844790414</v>
      </c>
      <c r="Q52" s="34" t="n">
        <v>0.00347896826499704</v>
      </c>
      <c r="R52" s="34" t="n">
        <v>0.00188331256094049</v>
      </c>
      <c r="S52" s="34" t="n">
        <v>0.00379151021880586</v>
      </c>
      <c r="T52" s="34" t="n">
        <v>0.00891783827476658</v>
      </c>
      <c r="U52" s="34" t="n">
        <v>0.0164011177013384</v>
      </c>
      <c r="V52" s="34" t="n">
        <v>0.00811368292094057</v>
      </c>
      <c r="W52" s="34" t="n">
        <v>0.00215458188308653</v>
      </c>
      <c r="X52" s="34" t="n">
        <v>0.0139606540027264</v>
      </c>
      <c r="Y52" s="34" t="n">
        <v>0.00708748568089634</v>
      </c>
      <c r="Z52" s="34" t="n">
        <v>0.0103350936880678</v>
      </c>
      <c r="AA52" s="34" t="n">
        <v>0.00846514683246739</v>
      </c>
      <c r="AB52" s="34" t="n">
        <v>0.00897345517957463</v>
      </c>
      <c r="AC52" s="34" t="n">
        <v>0.00217616980270417</v>
      </c>
      <c r="AD52" s="34" t="n">
        <v>0.004097258692394</v>
      </c>
      <c r="AE52" s="34" t="n">
        <v>0.0218471138768185</v>
      </c>
      <c r="AF52" s="34" t="n">
        <v>0.0021343881562024</v>
      </c>
      <c r="AG52" s="34" t="n">
        <v>0.00946808137133479</v>
      </c>
      <c r="AH52" s="34" t="n">
        <v>0.00639778038565673</v>
      </c>
      <c r="AI52" s="34" t="n">
        <v>0.0108899439392634</v>
      </c>
      <c r="AJ52" s="34" t="n">
        <v>0.00250796026607715</v>
      </c>
      <c r="AK52" s="34" t="n">
        <v>0.0199834927809255</v>
      </c>
      <c r="AL52" s="34" t="n">
        <v>0.00679654368170556</v>
      </c>
      <c r="AM52" s="34" t="n">
        <v>0.00643312694444722</v>
      </c>
      <c r="AN52" s="34" t="n">
        <v>0.00512290179773333</v>
      </c>
      <c r="AO52" s="34" t="n">
        <v>0.00239991335339737</v>
      </c>
      <c r="AP52" s="34" t="n">
        <v>0.0016350871809743</v>
      </c>
      <c r="AQ52" s="34" t="n">
        <v>0.000300066085076173</v>
      </c>
      <c r="AR52" s="34" t="n">
        <v>0.00104291516167751</v>
      </c>
      <c r="AS52" s="34" t="n">
        <v>0.00412182943660549</v>
      </c>
      <c r="AT52" s="34" t="n">
        <v>0.0165588079577483</v>
      </c>
      <c r="AU52" s="34" t="n">
        <v>0.0233479638283719</v>
      </c>
      <c r="AV52" s="34" t="n">
        <v>0.123967447370174</v>
      </c>
      <c r="AW52" s="34" t="n">
        <v>0.143931858695525</v>
      </c>
      <c r="AX52" s="34" t="n">
        <v>0.0403563307836264</v>
      </c>
      <c r="AY52" s="34" t="n">
        <v>0.00261919234615723</v>
      </c>
      <c r="AZ52" s="34" t="n">
        <v>0.00118204548618502</v>
      </c>
      <c r="BA52" s="34" t="n">
        <v>0.0031877189398173</v>
      </c>
      <c r="BB52" s="34" t="n">
        <v>0.00184709789635488</v>
      </c>
      <c r="BC52" s="34" t="n">
        <v>0.00287849129302319</v>
      </c>
      <c r="BD52" s="34" t="n">
        <v>0.00108061028356832</v>
      </c>
      <c r="BE52" s="34" t="n">
        <v>0.00531816718538239</v>
      </c>
      <c r="BF52" s="34" t="n">
        <v>0.000334845691587278</v>
      </c>
      <c r="BG52" s="34" t="n">
        <v>0.00292055777074952</v>
      </c>
      <c r="BH52" s="34" t="n">
        <v>0.00339100533394911</v>
      </c>
      <c r="BI52" s="34" t="n">
        <v>0.00281257367131878</v>
      </c>
      <c r="BJ52" s="34" t="n">
        <v>0.0042193613012797</v>
      </c>
      <c r="BK52" s="34" t="n">
        <v>0.00306129704739143</v>
      </c>
      <c r="BL52" s="34" t="n">
        <v>0.00200493018263376</v>
      </c>
      <c r="BM52" s="34" t="n">
        <v>0.00404736981364041</v>
      </c>
      <c r="BN52" s="34" t="n">
        <v>0.00089057330901371</v>
      </c>
      <c r="BO52" s="34" t="n">
        <v>0.00396069376394499</v>
      </c>
      <c r="BP52" s="34" t="n">
        <v>0.00221899698641636</v>
      </c>
      <c r="BQ52" s="34" t="n">
        <v>0.00100025243709767</v>
      </c>
      <c r="BR52" s="34" t="n">
        <v>0.00225435524947321</v>
      </c>
      <c r="BS52" s="34" t="n">
        <v>0.00983805788001622</v>
      </c>
      <c r="BT52" s="34" t="n">
        <v>0</v>
      </c>
    </row>
    <row r="53" customFormat="false" ht="11.25" hidden="false" customHeight="true" outlineLevel="0" collapsed="false">
      <c r="B53" s="19" t="s">
        <v>157</v>
      </c>
      <c r="C53" s="20" t="s">
        <v>158</v>
      </c>
      <c r="D53" s="19" t="n">
        <v>47</v>
      </c>
      <c r="E53" s="33" t="n">
        <v>5.91400237985849E-006</v>
      </c>
      <c r="F53" s="33" t="n">
        <v>3.19187109192881E-006</v>
      </c>
      <c r="G53" s="33" t="n">
        <v>7.63108241536983E-005</v>
      </c>
      <c r="H53" s="33" t="n">
        <v>0.000252519511950868</v>
      </c>
      <c r="I53" s="33" t="n">
        <v>0.00103864835753002</v>
      </c>
      <c r="J53" s="33" t="n">
        <v>0.000477411654308482</v>
      </c>
      <c r="K53" s="33" t="n">
        <v>0.000523488243218122</v>
      </c>
      <c r="L53" s="33" t="n">
        <v>0.000596424902004361</v>
      </c>
      <c r="M53" s="33" t="n">
        <v>0.000322836980025709</v>
      </c>
      <c r="N53" s="33" t="n">
        <v>0.000504753210831758</v>
      </c>
      <c r="O53" s="33" t="n">
        <v>0.000361789763268448</v>
      </c>
      <c r="P53" s="33" t="n">
        <v>0.00109695878785774</v>
      </c>
      <c r="Q53" s="33" t="n">
        <v>0.000271526626527678</v>
      </c>
      <c r="R53" s="33" t="n">
        <v>0.00020102240388774</v>
      </c>
      <c r="S53" s="33" t="n">
        <v>0.000311565507270574</v>
      </c>
      <c r="T53" s="33" t="n">
        <v>0.000154716782846786</v>
      </c>
      <c r="U53" s="33" t="n">
        <v>0.000485775943130699</v>
      </c>
      <c r="V53" s="33" t="n">
        <v>0.000240885980506223</v>
      </c>
      <c r="W53" s="33" t="n">
        <v>4.1790418603773E-005</v>
      </c>
      <c r="X53" s="33" t="n">
        <v>0.000182704309457112</v>
      </c>
      <c r="Y53" s="33" t="n">
        <v>0.00048752533259309</v>
      </c>
      <c r="Z53" s="33" t="n">
        <v>0.00093354974775947</v>
      </c>
      <c r="AA53" s="33" t="n">
        <v>0.000388176256952621</v>
      </c>
      <c r="AB53" s="33" t="n">
        <v>0.00153590101071995</v>
      </c>
      <c r="AC53" s="33" t="n">
        <v>0.000436923645055681</v>
      </c>
      <c r="AD53" s="33" t="n">
        <v>0.000512747168229326</v>
      </c>
      <c r="AE53" s="33" t="n">
        <v>0.000759146162805493</v>
      </c>
      <c r="AF53" s="33" t="n">
        <v>0.000359212890785408</v>
      </c>
      <c r="AG53" s="33" t="n">
        <v>0.000886281037117546</v>
      </c>
      <c r="AH53" s="33" t="n">
        <v>0.000694149305352658</v>
      </c>
      <c r="AI53" s="33" t="n">
        <v>0.000801892770318017</v>
      </c>
      <c r="AJ53" s="33" t="n">
        <v>0.00112431891366598</v>
      </c>
      <c r="AK53" s="33" t="n">
        <v>0.000375087832418524</v>
      </c>
      <c r="AL53" s="33" t="n">
        <v>0.00047773880784711</v>
      </c>
      <c r="AM53" s="33" t="n">
        <v>0.000591807661791554</v>
      </c>
      <c r="AN53" s="33" t="n">
        <v>0.000794148213657845</v>
      </c>
      <c r="AO53" s="33" t="n">
        <v>0.000409784991791006</v>
      </c>
      <c r="AP53" s="33" t="n">
        <v>0.000325099911234403</v>
      </c>
      <c r="AQ53" s="33" t="n">
        <v>9.50185499073719E-005</v>
      </c>
      <c r="AR53" s="33" t="n">
        <v>0.000938728547733146</v>
      </c>
      <c r="AS53" s="33" t="n">
        <v>0.00109242747608417</v>
      </c>
      <c r="AT53" s="33" t="n">
        <v>0.00158340229852243</v>
      </c>
      <c r="AU53" s="33" t="n">
        <v>0.000281384115905909</v>
      </c>
      <c r="AV53" s="33" t="n">
        <v>0.000130713040446752</v>
      </c>
      <c r="AW53" s="33" t="n">
        <v>0.000928780407461338</v>
      </c>
      <c r="AX53" s="33" t="n">
        <v>0.000846971425328836</v>
      </c>
      <c r="AY53" s="33" t="n">
        <v>1.28233672778972E-005</v>
      </c>
      <c r="AZ53" s="33" t="n">
        <v>7.34644175087051E-005</v>
      </c>
      <c r="BA53" s="33" t="n">
        <v>0.00174567652769064</v>
      </c>
      <c r="BB53" s="33" t="n">
        <v>0.0016304218371557</v>
      </c>
      <c r="BC53" s="33" t="n">
        <v>0.000262271938022404</v>
      </c>
      <c r="BD53" s="33" t="n">
        <v>0.00174084647365554</v>
      </c>
      <c r="BE53" s="33" t="n">
        <v>0.000684265321996901</v>
      </c>
      <c r="BF53" s="33" t="n">
        <v>4.56124226347092E-005</v>
      </c>
      <c r="BG53" s="33" t="n">
        <v>0.000800655843090273</v>
      </c>
      <c r="BH53" s="33" t="n">
        <v>0.0022198921751917</v>
      </c>
      <c r="BI53" s="33" t="n">
        <v>0.00081556162367862</v>
      </c>
      <c r="BJ53" s="33" t="n">
        <v>0.00140996522496828</v>
      </c>
      <c r="BK53" s="33" t="n">
        <v>0.000337075986770574</v>
      </c>
      <c r="BL53" s="33" t="n">
        <v>0.000594976264253258</v>
      </c>
      <c r="BM53" s="33" t="n">
        <v>0.00162904293719821</v>
      </c>
      <c r="BN53" s="33" t="n">
        <v>0.000390765384027958</v>
      </c>
      <c r="BO53" s="33" t="n">
        <v>0.00154691460282215</v>
      </c>
      <c r="BP53" s="33" t="n">
        <v>0.00141891780453468</v>
      </c>
      <c r="BQ53" s="33" t="n">
        <v>2.55143400729449E-006</v>
      </c>
      <c r="BR53" s="33" t="n">
        <v>0.00194301144426457</v>
      </c>
      <c r="BS53" s="33" t="n">
        <v>0.0231146737907794</v>
      </c>
      <c r="BT53" s="33" t="n">
        <v>0</v>
      </c>
    </row>
    <row r="54" customFormat="false" ht="11.25" hidden="false" customHeight="true" outlineLevel="0" collapsed="false">
      <c r="B54" s="24" t="s">
        <v>159</v>
      </c>
      <c r="C54" s="25" t="s">
        <v>160</v>
      </c>
      <c r="D54" s="24" t="n">
        <v>48</v>
      </c>
      <c r="E54" s="34" t="n">
        <v>8.0578199545037E-006</v>
      </c>
      <c r="F54" s="34" t="n">
        <v>2.41132172563847E-006</v>
      </c>
      <c r="G54" s="34" t="n">
        <v>5.6158757775753E-005</v>
      </c>
      <c r="H54" s="34" t="n">
        <v>9.22626638007993E-005</v>
      </c>
      <c r="I54" s="34" t="n">
        <v>0.00109568481584853</v>
      </c>
      <c r="J54" s="34" t="n">
        <v>0.000110641246616477</v>
      </c>
      <c r="K54" s="34" t="n">
        <v>0.00052324533303368</v>
      </c>
      <c r="L54" s="34" t="n">
        <v>-5.9354990552809E-005</v>
      </c>
      <c r="M54" s="34" t="n">
        <v>3.45160524458704E-005</v>
      </c>
      <c r="N54" s="34" t="n">
        <v>0.000323920502593021</v>
      </c>
      <c r="O54" s="34" t="n">
        <v>3.41908373537237E-005</v>
      </c>
      <c r="P54" s="34" t="n">
        <v>-1.5002306691345E-005</v>
      </c>
      <c r="Q54" s="34" t="n">
        <v>0.000135778178290072</v>
      </c>
      <c r="R54" s="34" t="n">
        <v>2.90158029952119E-005</v>
      </c>
      <c r="S54" s="34" t="n">
        <v>-4.73128019623616E-005</v>
      </c>
      <c r="T54" s="34" t="n">
        <v>-4.84567813102179E-006</v>
      </c>
      <c r="U54" s="34" t="n">
        <v>1.5579752654051E-005</v>
      </c>
      <c r="V54" s="34" t="n">
        <v>0.000587202775972935</v>
      </c>
      <c r="W54" s="34" t="n">
        <v>5.3163634329569E-006</v>
      </c>
      <c r="X54" s="34" t="n">
        <v>1.97934678009545E-005</v>
      </c>
      <c r="Y54" s="34" t="n">
        <v>0.000647406650491949</v>
      </c>
      <c r="Z54" s="34" t="n">
        <v>0.00127600244232047</v>
      </c>
      <c r="AA54" s="34" t="n">
        <v>3.49389401245809E-005</v>
      </c>
      <c r="AB54" s="34" t="n">
        <v>0.003763283859976</v>
      </c>
      <c r="AC54" s="34" t="n">
        <v>8.63599388678654E-005</v>
      </c>
      <c r="AD54" s="34" t="n">
        <v>-1.12852498449471E-005</v>
      </c>
      <c r="AE54" s="34" t="n">
        <v>0.000196122362789275</v>
      </c>
      <c r="AF54" s="34" t="n">
        <v>0.000798521097594525</v>
      </c>
      <c r="AG54" s="34" t="n">
        <v>0.000268246626319011</v>
      </c>
      <c r="AH54" s="34" t="n">
        <v>1.92025557090427E-005</v>
      </c>
      <c r="AI54" s="34" t="n">
        <v>-2.16069271625009E-005</v>
      </c>
      <c r="AJ54" s="34" t="n">
        <v>0.000637973785810997</v>
      </c>
      <c r="AK54" s="34" t="n">
        <v>0.00203383887081602</v>
      </c>
      <c r="AL54" s="34" t="n">
        <v>0.000165814643827935</v>
      </c>
      <c r="AM54" s="34" t="n">
        <v>6.35444492262621E-005</v>
      </c>
      <c r="AN54" s="34" t="n">
        <v>1.43559633521142E-006</v>
      </c>
      <c r="AO54" s="34" t="n">
        <v>0.000702928058034897</v>
      </c>
      <c r="AP54" s="34" t="n">
        <v>0.000683682653329446</v>
      </c>
      <c r="AQ54" s="34" t="n">
        <v>0.000137397328946043</v>
      </c>
      <c r="AR54" s="34" t="n">
        <v>3.71985045773512E-005</v>
      </c>
      <c r="AS54" s="34" t="n">
        <v>0.000922989463834185</v>
      </c>
      <c r="AT54" s="34" t="n">
        <v>0.000718954949309698</v>
      </c>
      <c r="AU54" s="34" t="n">
        <v>9.45248419431336E-005</v>
      </c>
      <c r="AV54" s="34" t="n">
        <v>0.000274736553611901</v>
      </c>
      <c r="AW54" s="34" t="n">
        <v>0.0134644211507439</v>
      </c>
      <c r="AX54" s="34" t="n">
        <v>0.000353663268350095</v>
      </c>
      <c r="AY54" s="34" t="n">
        <v>0.00796119729775327</v>
      </c>
      <c r="AZ54" s="34" t="n">
        <v>0.000134663988470786</v>
      </c>
      <c r="BA54" s="34" t="n">
        <v>0.00017935070554557</v>
      </c>
      <c r="BB54" s="34" t="n">
        <v>0.0148573297661389</v>
      </c>
      <c r="BC54" s="34" t="n">
        <v>0.000349776331120228</v>
      </c>
      <c r="BD54" s="34" t="n">
        <v>0.000237798884673066</v>
      </c>
      <c r="BE54" s="34" t="n">
        <v>0.00324674610102919</v>
      </c>
      <c r="BF54" s="34" t="n">
        <v>0.000113249692218535</v>
      </c>
      <c r="BG54" s="34" t="n">
        <v>0.00596021734386571</v>
      </c>
      <c r="BH54" s="34" t="n">
        <v>0.000141335350509002</v>
      </c>
      <c r="BI54" s="34" t="n">
        <v>0.00241148031462262</v>
      </c>
      <c r="BJ54" s="34" t="n">
        <v>0.000261747586000963</v>
      </c>
      <c r="BK54" s="34" t="n">
        <v>0.00423823305883157</v>
      </c>
      <c r="BL54" s="34" t="n">
        <v>0.000150912760228101</v>
      </c>
      <c r="BM54" s="34" t="n">
        <v>0.0105077895024121</v>
      </c>
      <c r="BN54" s="34" t="n">
        <v>0.00459162350726883</v>
      </c>
      <c r="BO54" s="34" t="n">
        <v>0.00215530158314475</v>
      </c>
      <c r="BP54" s="34" t="n">
        <v>0.0234512276730988</v>
      </c>
      <c r="BQ54" s="34" t="n">
        <v>0.0102953380278056</v>
      </c>
      <c r="BR54" s="34" t="n">
        <v>0.00143072633739087</v>
      </c>
      <c r="BS54" s="34" t="n">
        <v>0.0598514607123503</v>
      </c>
      <c r="BT54" s="34" t="n">
        <v>0</v>
      </c>
    </row>
    <row r="55" customFormat="false" ht="11.25" hidden="false" customHeight="true" outlineLevel="0" collapsed="false">
      <c r="B55" s="19" t="s">
        <v>161</v>
      </c>
      <c r="C55" s="20" t="s">
        <v>162</v>
      </c>
      <c r="D55" s="19" t="n">
        <v>49</v>
      </c>
      <c r="E55" s="33" t="n">
        <v>4.31398422642843E-007</v>
      </c>
      <c r="F55" s="33" t="n">
        <v>4.09067283461012E-008</v>
      </c>
      <c r="G55" s="33" t="n">
        <v>1.45895298758695E-006</v>
      </c>
      <c r="H55" s="33" t="n">
        <v>3.71509864460188E-006</v>
      </c>
      <c r="I55" s="33" t="n">
        <v>2.94296171537422E-006</v>
      </c>
      <c r="J55" s="33" t="n">
        <v>5.83473175482487E-006</v>
      </c>
      <c r="K55" s="33" t="n">
        <v>1.12043514880402E-005</v>
      </c>
      <c r="L55" s="33" t="n">
        <v>4.78093457568352E-005</v>
      </c>
      <c r="M55" s="33" t="n">
        <v>1.83282301003758E-005</v>
      </c>
      <c r="N55" s="33" t="n">
        <v>3.02428117668697E-005</v>
      </c>
      <c r="O55" s="33" t="n">
        <v>6.96043814796234E-005</v>
      </c>
      <c r="P55" s="33" t="n">
        <v>2.39778323008681E-005</v>
      </c>
      <c r="Q55" s="33" t="n">
        <v>2.79681902724882E-005</v>
      </c>
      <c r="R55" s="33" t="n">
        <v>2.75424650179051E-005</v>
      </c>
      <c r="S55" s="33" t="n">
        <v>3.78262318653378E-005</v>
      </c>
      <c r="T55" s="33" t="n">
        <v>3.22731796469629E-005</v>
      </c>
      <c r="U55" s="33" t="n">
        <v>6.50024025779604E-005</v>
      </c>
      <c r="V55" s="33" t="n">
        <v>0.00107274520694528</v>
      </c>
      <c r="W55" s="33" t="n">
        <v>3.06805920011721E-006</v>
      </c>
      <c r="X55" s="33" t="n">
        <v>1.58133600081642E-005</v>
      </c>
      <c r="Y55" s="33" t="n">
        <v>0.000721970769734383</v>
      </c>
      <c r="Z55" s="33" t="n">
        <v>2.89380237135599E-005</v>
      </c>
      <c r="AA55" s="33" t="n">
        <v>6.02461084939692E-006</v>
      </c>
      <c r="AB55" s="33" t="n">
        <v>3.82481005689139E-005</v>
      </c>
      <c r="AC55" s="33" t="n">
        <v>2.90443079497358E-005</v>
      </c>
      <c r="AD55" s="33" t="n">
        <v>2.65860378743248E-005</v>
      </c>
      <c r="AE55" s="33" t="n">
        <v>2.33299836325942E-005</v>
      </c>
      <c r="AF55" s="33" t="n">
        <v>1.22293541522831E-005</v>
      </c>
      <c r="AG55" s="33" t="n">
        <v>2.91362617491376E-005</v>
      </c>
      <c r="AH55" s="33" t="n">
        <v>4.76233018884311E-005</v>
      </c>
      <c r="AI55" s="33" t="n">
        <v>2.61749598388978E-005</v>
      </c>
      <c r="AJ55" s="33" t="n">
        <v>3.70844348150775E-005</v>
      </c>
      <c r="AK55" s="33" t="n">
        <v>4.41931654789188E-006</v>
      </c>
      <c r="AL55" s="33" t="n">
        <v>3.23683218390414E-005</v>
      </c>
      <c r="AM55" s="33" t="n">
        <v>9.22071106624043E-006</v>
      </c>
      <c r="AN55" s="33" t="n">
        <v>2.41664252555069E-005</v>
      </c>
      <c r="AO55" s="33" t="n">
        <v>0.000132314095718865</v>
      </c>
      <c r="AP55" s="33" t="n">
        <v>0.000189805951136173</v>
      </c>
      <c r="AQ55" s="33" t="n">
        <v>5.49179975976747E-005</v>
      </c>
      <c r="AR55" s="33" t="n">
        <v>2.52684838349994E-006</v>
      </c>
      <c r="AS55" s="33" t="n">
        <v>2.59576792498185E-005</v>
      </c>
      <c r="AT55" s="33" t="n">
        <v>0.000355824917793919</v>
      </c>
      <c r="AU55" s="33" t="n">
        <v>4.67051120183758E-006</v>
      </c>
      <c r="AV55" s="33" t="n">
        <v>3.22542850316938E-006</v>
      </c>
      <c r="AW55" s="33" t="n">
        <v>2.00348202517835E-005</v>
      </c>
      <c r="AX55" s="33" t="n">
        <v>2.44662031831384E-005</v>
      </c>
      <c r="AY55" s="33" t="n">
        <v>0.00162905920701036</v>
      </c>
      <c r="AZ55" s="33" t="n">
        <v>2.12776523074889E-005</v>
      </c>
      <c r="BA55" s="33" t="n">
        <v>0.0021300177103911</v>
      </c>
      <c r="BB55" s="33" t="n">
        <v>0.000158536699919807</v>
      </c>
      <c r="BC55" s="33" t="n">
        <v>0.000546891809779632</v>
      </c>
      <c r="BD55" s="33" t="n">
        <v>8.24836924132845E-005</v>
      </c>
      <c r="BE55" s="33" t="n">
        <v>0.0014616762858666</v>
      </c>
      <c r="BF55" s="33" t="n">
        <v>6.31700280379471E-005</v>
      </c>
      <c r="BG55" s="33" t="n">
        <v>0.00105499728337245</v>
      </c>
      <c r="BH55" s="33" t="n">
        <v>0.00146853785913298</v>
      </c>
      <c r="BI55" s="33" t="n">
        <v>0.0194588182393912</v>
      </c>
      <c r="BJ55" s="33" t="n">
        <v>0.000325726319766216</v>
      </c>
      <c r="BK55" s="33" t="n">
        <v>0.00013669276914085</v>
      </c>
      <c r="BL55" s="33" t="n">
        <v>7.95921673713386E-006</v>
      </c>
      <c r="BM55" s="33" t="n">
        <v>0.000919120367732139</v>
      </c>
      <c r="BN55" s="33" t="n">
        <v>0.00605927956323612</v>
      </c>
      <c r="BO55" s="33" t="n">
        <v>0.00963624025213248</v>
      </c>
      <c r="BP55" s="33" t="n">
        <v>0.000195966648595647</v>
      </c>
      <c r="BQ55" s="33" t="n">
        <v>0.000311687193655215</v>
      </c>
      <c r="BR55" s="33" t="n">
        <v>0.00028217134598628</v>
      </c>
      <c r="BS55" s="33" t="n">
        <v>0.000846295417608028</v>
      </c>
      <c r="BT55" s="33" t="n">
        <v>0</v>
      </c>
    </row>
    <row r="56" customFormat="false" ht="11.25" hidden="false" customHeight="true" outlineLevel="0" collapsed="false">
      <c r="B56" s="24" t="s">
        <v>163</v>
      </c>
      <c r="C56" s="25" t="s">
        <v>164</v>
      </c>
      <c r="D56" s="24" t="n">
        <v>50</v>
      </c>
      <c r="E56" s="34" t="n">
        <v>8.68961172310454E-009</v>
      </c>
      <c r="F56" s="34" t="n">
        <v>1.47804244899998E-008</v>
      </c>
      <c r="G56" s="34" t="n">
        <v>4.2444441965689E-008</v>
      </c>
      <c r="H56" s="34" t="n">
        <v>1.50151273998671E-006</v>
      </c>
      <c r="I56" s="34" t="n">
        <v>7.31322063380598E-007</v>
      </c>
      <c r="J56" s="34" t="n">
        <v>8.37246557607579E-007</v>
      </c>
      <c r="K56" s="34" t="n">
        <v>2.4362137197547E-006</v>
      </c>
      <c r="L56" s="34" t="n">
        <v>1.91561948051714E-005</v>
      </c>
      <c r="M56" s="34" t="n">
        <v>5.38769484120254E-006</v>
      </c>
      <c r="N56" s="34" t="n">
        <v>1.12289041869492E-005</v>
      </c>
      <c r="O56" s="34" t="n">
        <v>2.03426881687133E-006</v>
      </c>
      <c r="P56" s="34" t="n">
        <v>1.01138534960017E-005</v>
      </c>
      <c r="Q56" s="34" t="n">
        <v>9.7864322731892E-006</v>
      </c>
      <c r="R56" s="34" t="n">
        <v>9.94122848432725E-006</v>
      </c>
      <c r="S56" s="34" t="n">
        <v>1.56052883891064E-005</v>
      </c>
      <c r="T56" s="34" t="n">
        <v>8.34742695751552E-006</v>
      </c>
      <c r="U56" s="34" t="n">
        <v>1.5826337294691E-005</v>
      </c>
      <c r="V56" s="34" t="n">
        <v>2.63260884514843E-006</v>
      </c>
      <c r="W56" s="34" t="n">
        <v>1.21038863050529E-006</v>
      </c>
      <c r="X56" s="34" t="n">
        <v>5.73364239380603E-006</v>
      </c>
      <c r="Y56" s="34" t="n">
        <v>5.08391794670272E-006</v>
      </c>
      <c r="Z56" s="34" t="n">
        <v>1.04102842229472E-005</v>
      </c>
      <c r="AA56" s="34" t="n">
        <v>2.07340356146785E-006</v>
      </c>
      <c r="AB56" s="34" t="n">
        <v>1.47868721428895E-005</v>
      </c>
      <c r="AC56" s="34" t="n">
        <v>1.08124188829258E-005</v>
      </c>
      <c r="AD56" s="34" t="n">
        <v>1.05936988173761E-005</v>
      </c>
      <c r="AE56" s="34" t="n">
        <v>9.01197163566604E-006</v>
      </c>
      <c r="AF56" s="34" t="n">
        <v>4.92289475443074E-006</v>
      </c>
      <c r="AG56" s="34" t="n">
        <v>1.09333151194749E-005</v>
      </c>
      <c r="AH56" s="34" t="n">
        <v>5.72996434346001E-006</v>
      </c>
      <c r="AI56" s="34" t="n">
        <v>1.02229590864962E-005</v>
      </c>
      <c r="AJ56" s="34" t="n">
        <v>1.48496609052863E-005</v>
      </c>
      <c r="AK56" s="34" t="n">
        <v>5.95499826040976E-007</v>
      </c>
      <c r="AL56" s="34" t="n">
        <v>7.14608728228213E-007</v>
      </c>
      <c r="AM56" s="34" t="n">
        <v>2.9292284996218E-006</v>
      </c>
      <c r="AN56" s="34" t="n">
        <v>7.57780910989664E-006</v>
      </c>
      <c r="AO56" s="34" t="n">
        <v>2.8974228166853E-007</v>
      </c>
      <c r="AP56" s="34" t="n">
        <v>5.66354117292624E-007</v>
      </c>
      <c r="AQ56" s="34" t="n">
        <v>1.02816292059721E-006</v>
      </c>
      <c r="AR56" s="34" t="n">
        <v>4.42722899540554E-007</v>
      </c>
      <c r="AS56" s="34" t="n">
        <v>4.88894146897172E-006</v>
      </c>
      <c r="AT56" s="34" t="n">
        <v>1.21632621045885E-005</v>
      </c>
      <c r="AU56" s="34" t="n">
        <v>3.03925998026755E-006</v>
      </c>
      <c r="AV56" s="34" t="n">
        <v>8.35847665738735E-007</v>
      </c>
      <c r="AW56" s="34" t="n">
        <v>6.49111911047781E-007</v>
      </c>
      <c r="AX56" s="34" t="n">
        <v>5.17833442308694E-006</v>
      </c>
      <c r="AY56" s="34" t="n">
        <v>0.000148488965408285</v>
      </c>
      <c r="AZ56" s="34" t="n">
        <v>5.06101835760736E-006</v>
      </c>
      <c r="BA56" s="34" t="n">
        <v>0.0005359929953965</v>
      </c>
      <c r="BB56" s="34" t="n">
        <v>0.11998547027114</v>
      </c>
      <c r="BC56" s="34" t="n">
        <v>0.025950213740778</v>
      </c>
      <c r="BD56" s="34" t="n">
        <v>8.9363130123996E-006</v>
      </c>
      <c r="BE56" s="34" t="n">
        <v>4.53767596267409E-006</v>
      </c>
      <c r="BF56" s="34" t="n">
        <v>7.46196074916144E-007</v>
      </c>
      <c r="BG56" s="34" t="n">
        <v>6.67559420374628E-006</v>
      </c>
      <c r="BH56" s="34" t="n">
        <v>3.40563410246969E-006</v>
      </c>
      <c r="BI56" s="34" t="n">
        <v>0.235229166215228</v>
      </c>
      <c r="BJ56" s="34" t="n">
        <v>4.64833715096459E-006</v>
      </c>
      <c r="BK56" s="34" t="n">
        <v>0.000141504622309969</v>
      </c>
      <c r="BL56" s="34" t="n">
        <v>6.45529494903489E-005</v>
      </c>
      <c r="BM56" s="34" t="n">
        <v>6.84846416559166E-007</v>
      </c>
      <c r="BN56" s="34" t="n">
        <v>3.39994938758032E-007</v>
      </c>
      <c r="BO56" s="34" t="n">
        <v>9.06448207146266E-006</v>
      </c>
      <c r="BP56" s="34" t="n">
        <v>4.48485071423682E-007</v>
      </c>
      <c r="BQ56" s="34" t="n">
        <v>1.99330781819882E-006</v>
      </c>
      <c r="BR56" s="34" t="n">
        <v>0.00324204785116794</v>
      </c>
      <c r="BS56" s="34" t="n">
        <v>5.52499310930939E-006</v>
      </c>
      <c r="BT56" s="34" t="n">
        <v>0</v>
      </c>
    </row>
    <row r="57" customFormat="false" ht="11.25" hidden="false" customHeight="true" outlineLevel="0" collapsed="false">
      <c r="B57" s="19" t="s">
        <v>165</v>
      </c>
      <c r="C57" s="20" t="s">
        <v>166</v>
      </c>
      <c r="D57" s="19" t="n">
        <v>51</v>
      </c>
      <c r="E57" s="33" t="n">
        <v>1.01383969511163E-005</v>
      </c>
      <c r="F57" s="33" t="n">
        <v>1.55867307077642E-005</v>
      </c>
      <c r="G57" s="33" t="n">
        <v>0.000164875275974626</v>
      </c>
      <c r="H57" s="33" t="n">
        <v>0.00108374128774446</v>
      </c>
      <c r="I57" s="33" t="n">
        <v>0.00272413531547585</v>
      </c>
      <c r="J57" s="33" t="n">
        <v>0.000937864810218557</v>
      </c>
      <c r="K57" s="33" t="n">
        <v>0.00135964226718843</v>
      </c>
      <c r="L57" s="33" t="n">
        <v>0.00265590609114189</v>
      </c>
      <c r="M57" s="33" t="n">
        <v>0.00284359665141426</v>
      </c>
      <c r="N57" s="33" t="n">
        <v>0.00372276558512467</v>
      </c>
      <c r="O57" s="33" t="n">
        <v>0.0039851880774695</v>
      </c>
      <c r="P57" s="33" t="n">
        <v>0.00130168137582587</v>
      </c>
      <c r="Q57" s="33" t="n">
        <v>0.00347845159861046</v>
      </c>
      <c r="R57" s="33" t="n">
        <v>0.00712525893198633</v>
      </c>
      <c r="S57" s="33" t="n">
        <v>0.00336222434799179</v>
      </c>
      <c r="T57" s="33" t="n">
        <v>0.00294757493017092</v>
      </c>
      <c r="U57" s="33" t="n">
        <v>0.00377154135863363</v>
      </c>
      <c r="V57" s="33" t="n">
        <v>0.0113300512239603</v>
      </c>
      <c r="W57" s="33" t="n">
        <v>0.000494973969823918</v>
      </c>
      <c r="X57" s="33" t="n">
        <v>0.00176427017868206</v>
      </c>
      <c r="Y57" s="33" t="n">
        <v>0.00165780262617999</v>
      </c>
      <c r="Z57" s="33" t="n">
        <v>0.00280861417482138</v>
      </c>
      <c r="AA57" s="33" t="n">
        <v>0.000556708566128422</v>
      </c>
      <c r="AB57" s="33" t="n">
        <v>0.00326739172179876</v>
      </c>
      <c r="AC57" s="33" t="n">
        <v>0.00243703763434483</v>
      </c>
      <c r="AD57" s="33" t="n">
        <v>0.0041812438088911</v>
      </c>
      <c r="AE57" s="33" t="n">
        <v>0.00142267847647423</v>
      </c>
      <c r="AF57" s="33" t="n">
        <v>0.000954079388539514</v>
      </c>
      <c r="AG57" s="33" t="n">
        <v>0.00337225099448238</v>
      </c>
      <c r="AH57" s="33" t="n">
        <v>0.00584932303358391</v>
      </c>
      <c r="AI57" s="33" t="n">
        <v>0.00449822610095375</v>
      </c>
      <c r="AJ57" s="33" t="n">
        <v>0.00301200600674959</v>
      </c>
      <c r="AK57" s="33" t="n">
        <v>0.00539541046723341</v>
      </c>
      <c r="AL57" s="33" t="n">
        <v>0.00950119912807283</v>
      </c>
      <c r="AM57" s="33" t="n">
        <v>0.00251423573285152</v>
      </c>
      <c r="AN57" s="33" t="n">
        <v>0.00498344797097021</v>
      </c>
      <c r="AO57" s="33" t="n">
        <v>0.0010655306352669</v>
      </c>
      <c r="AP57" s="33" t="n">
        <v>0.000791835861487547</v>
      </c>
      <c r="AQ57" s="33" t="n">
        <v>0.00182253912448886</v>
      </c>
      <c r="AR57" s="33" t="n">
        <v>0.00145400672811856</v>
      </c>
      <c r="AS57" s="33" t="n">
        <v>0.00523943999621406</v>
      </c>
      <c r="AT57" s="33" t="n">
        <v>0.0055655618226673</v>
      </c>
      <c r="AU57" s="33" t="n">
        <v>0.00210071894444804</v>
      </c>
      <c r="AV57" s="33" t="n">
        <v>0.00128042095885927</v>
      </c>
      <c r="AW57" s="33" t="n">
        <v>0.00127077224207009</v>
      </c>
      <c r="AX57" s="33" t="n">
        <v>0.00520499604491844</v>
      </c>
      <c r="AY57" s="33" t="n">
        <v>0.00773475955864536</v>
      </c>
      <c r="AZ57" s="33" t="n">
        <v>0.00241270320836615</v>
      </c>
      <c r="BA57" s="33" t="n">
        <v>0.00500180698075004</v>
      </c>
      <c r="BB57" s="33" t="n">
        <v>0.00609776268552714</v>
      </c>
      <c r="BC57" s="33" t="n">
        <v>0.0884017659766934</v>
      </c>
      <c r="BD57" s="33" t="n">
        <v>0.00921407590190203</v>
      </c>
      <c r="BE57" s="33" t="n">
        <v>0.00944716085466722</v>
      </c>
      <c r="BF57" s="33" t="n">
        <v>0.000763678630422659</v>
      </c>
      <c r="BG57" s="33" t="n">
        <v>0.0099758278647928</v>
      </c>
      <c r="BH57" s="33" t="n">
        <v>0.00467676790465506</v>
      </c>
      <c r="BI57" s="33" t="n">
        <v>0.020505591934196</v>
      </c>
      <c r="BJ57" s="33" t="n">
        <v>0.00197474077612439</v>
      </c>
      <c r="BK57" s="33" t="n">
        <v>0.00608478090674826</v>
      </c>
      <c r="BL57" s="33" t="n">
        <v>0.0059268915659145</v>
      </c>
      <c r="BM57" s="33" t="n">
        <v>0.00425265430477242</v>
      </c>
      <c r="BN57" s="33" t="n">
        <v>0.00226298961401753</v>
      </c>
      <c r="BO57" s="33" t="n">
        <v>0.00911552702407909</v>
      </c>
      <c r="BP57" s="33" t="n">
        <v>0.00181460667509136</v>
      </c>
      <c r="BQ57" s="33" t="n">
        <v>0.00288048008956155</v>
      </c>
      <c r="BR57" s="33" t="n">
        <v>0.00581851783936505</v>
      </c>
      <c r="BS57" s="33" t="n">
        <v>0.00954847999411096</v>
      </c>
      <c r="BT57" s="33" t="n">
        <v>0</v>
      </c>
    </row>
    <row r="58" customFormat="false" ht="11.25" hidden="false" customHeight="true" outlineLevel="0" collapsed="false">
      <c r="B58" s="24" t="s">
        <v>167</v>
      </c>
      <c r="C58" s="25" t="s">
        <v>168</v>
      </c>
      <c r="D58" s="24" t="n">
        <v>52</v>
      </c>
      <c r="E58" s="34" t="n">
        <v>4.52934659932652E-005</v>
      </c>
      <c r="F58" s="34" t="n">
        <v>4.89277552803609E-005</v>
      </c>
      <c r="G58" s="34" t="n">
        <v>2.00135507091097E-005</v>
      </c>
      <c r="H58" s="34" t="n">
        <v>0.000105465242274159</v>
      </c>
      <c r="I58" s="34" t="n">
        <v>0.000413238158018115</v>
      </c>
      <c r="J58" s="34" t="n">
        <v>0.00314595431126228</v>
      </c>
      <c r="K58" s="34" t="n">
        <v>0.0022570545267257</v>
      </c>
      <c r="L58" s="34" t="n">
        <v>0.00262227586894296</v>
      </c>
      <c r="M58" s="34" t="n">
        <v>0.000632162812609478</v>
      </c>
      <c r="N58" s="34" t="n">
        <v>0.00366432405769861</v>
      </c>
      <c r="O58" s="34" t="n">
        <v>0.00109632383630323</v>
      </c>
      <c r="P58" s="34" t="n">
        <v>0.00345370681533623</v>
      </c>
      <c r="Q58" s="34" t="n">
        <v>0.00122940531006009</v>
      </c>
      <c r="R58" s="34" t="n">
        <v>0.00115424209370243</v>
      </c>
      <c r="S58" s="34" t="n">
        <v>0.00109405199341787</v>
      </c>
      <c r="T58" s="34" t="n">
        <v>0.000840052111946323</v>
      </c>
      <c r="U58" s="34" t="n">
        <v>0.00307458215655395</v>
      </c>
      <c r="V58" s="34" t="n">
        <v>0.000201317128620131</v>
      </c>
      <c r="W58" s="34" t="n">
        <v>0.000170235315684916</v>
      </c>
      <c r="X58" s="34" t="n">
        <v>0.000283604613923766</v>
      </c>
      <c r="Y58" s="34" t="n">
        <v>0.00283613910564227</v>
      </c>
      <c r="Z58" s="34" t="n">
        <v>0.00365536912220467</v>
      </c>
      <c r="AA58" s="34" t="n">
        <v>0.000612920132305598</v>
      </c>
      <c r="AB58" s="34" t="n">
        <v>0.0070804726659947</v>
      </c>
      <c r="AC58" s="34" t="n">
        <v>0.00182328497140579</v>
      </c>
      <c r="AD58" s="34" t="n">
        <v>0.00161576657768998</v>
      </c>
      <c r="AE58" s="34" t="n">
        <v>0.00192541860616801</v>
      </c>
      <c r="AF58" s="34" t="n">
        <v>0.000724124492086357</v>
      </c>
      <c r="AG58" s="34" t="n">
        <v>0.00181659122257807</v>
      </c>
      <c r="AH58" s="34" t="n">
        <v>0.00234742931956849</v>
      </c>
      <c r="AI58" s="34" t="n">
        <v>0.00485178313151384</v>
      </c>
      <c r="AJ58" s="34" t="n">
        <v>0.00228653343584653</v>
      </c>
      <c r="AK58" s="34" t="n">
        <v>0.0049101890963453</v>
      </c>
      <c r="AL58" s="34" t="n">
        <v>0.00157150781634922</v>
      </c>
      <c r="AM58" s="34" t="n">
        <v>0.00162453048695136</v>
      </c>
      <c r="AN58" s="34" t="n">
        <v>0.00238867063134299</v>
      </c>
      <c r="AO58" s="34" t="n">
        <v>0.00153825774872372</v>
      </c>
      <c r="AP58" s="34" t="n">
        <v>0.00411452531543493</v>
      </c>
      <c r="AQ58" s="34" t="n">
        <v>0.00631689632230904</v>
      </c>
      <c r="AR58" s="34" t="n">
        <v>0.00083314867033686</v>
      </c>
      <c r="AS58" s="34" t="n">
        <v>0.0028964316628957</v>
      </c>
      <c r="AT58" s="34" t="n">
        <v>0.0100350571757884</v>
      </c>
      <c r="AU58" s="34" t="n">
        <v>0.00291930867470166</v>
      </c>
      <c r="AV58" s="34" t="n">
        <v>3.96574782192737E-005</v>
      </c>
      <c r="AW58" s="34" t="n">
        <v>0.0221866650025956</v>
      </c>
      <c r="AX58" s="34" t="n">
        <v>0.012181379216107</v>
      </c>
      <c r="AY58" s="34" t="n">
        <v>0.00284872758584166</v>
      </c>
      <c r="AZ58" s="34" t="n">
        <v>0.000529758821948984</v>
      </c>
      <c r="BA58" s="34" t="n">
        <v>0.0280476079859813</v>
      </c>
      <c r="BB58" s="34" t="n">
        <v>0.0302548512873325</v>
      </c>
      <c r="BC58" s="34" t="n">
        <v>0.0179861086573964</v>
      </c>
      <c r="BD58" s="34" t="n">
        <v>0.0753581767670691</v>
      </c>
      <c r="BE58" s="34" t="n">
        <v>0.0279697044272562</v>
      </c>
      <c r="BF58" s="34" t="n">
        <v>0.000604890578988465</v>
      </c>
      <c r="BG58" s="34" t="n">
        <v>0.0145693869166953</v>
      </c>
      <c r="BH58" s="34" t="n">
        <v>0.00108544830315361</v>
      </c>
      <c r="BI58" s="34" t="n">
        <v>0.10536662894868</v>
      </c>
      <c r="BJ58" s="34" t="n">
        <v>0.00808199647421449</v>
      </c>
      <c r="BK58" s="34" t="n">
        <v>0.00473424754278186</v>
      </c>
      <c r="BL58" s="34" t="n">
        <v>0.00619913253428</v>
      </c>
      <c r="BM58" s="34" t="n">
        <v>0.0178133605393916</v>
      </c>
      <c r="BN58" s="34" t="n">
        <v>0.00422419037249208</v>
      </c>
      <c r="BO58" s="34" t="n">
        <v>0.00370423628012914</v>
      </c>
      <c r="BP58" s="34" t="n">
        <v>0.0099442662811546</v>
      </c>
      <c r="BQ58" s="34" t="n">
        <v>2.28619324387638E-005</v>
      </c>
      <c r="BR58" s="34" t="n">
        <v>0.00501710327629765</v>
      </c>
      <c r="BS58" s="34" t="n">
        <v>0.0136589352227825</v>
      </c>
      <c r="BT58" s="34" t="n">
        <v>0</v>
      </c>
    </row>
    <row r="59" customFormat="false" ht="11.25" hidden="false" customHeight="true" outlineLevel="0" collapsed="false">
      <c r="B59" s="19" t="s">
        <v>169</v>
      </c>
      <c r="C59" s="20" t="s">
        <v>170</v>
      </c>
      <c r="D59" s="19" t="n">
        <v>53</v>
      </c>
      <c r="E59" s="33" t="n">
        <v>0.0136210460187597</v>
      </c>
      <c r="F59" s="33" t="n">
        <v>0.0118092379120194</v>
      </c>
      <c r="G59" s="33" t="n">
        <v>0.0131489129693515</v>
      </c>
      <c r="H59" s="33" t="n">
        <v>0.0330202681333429</v>
      </c>
      <c r="I59" s="33" t="n">
        <v>0.0205777999962096</v>
      </c>
      <c r="J59" s="33" t="n">
        <v>0.00938892205477774</v>
      </c>
      <c r="K59" s="33" t="n">
        <v>0.0252168180000879</v>
      </c>
      <c r="L59" s="33" t="n">
        <v>0.016349561064625</v>
      </c>
      <c r="M59" s="33" t="n">
        <v>0.0311562319676849</v>
      </c>
      <c r="N59" s="33" t="n">
        <v>0.0162575835483619</v>
      </c>
      <c r="O59" s="33" t="n">
        <v>0.0170776829189975</v>
      </c>
      <c r="P59" s="33" t="n">
        <v>0.0205753439549794</v>
      </c>
      <c r="Q59" s="33" t="n">
        <v>0.0140041430168514</v>
      </c>
      <c r="R59" s="33" t="n">
        <v>0.0133749787339903</v>
      </c>
      <c r="S59" s="33" t="n">
        <v>0.0182667524916769</v>
      </c>
      <c r="T59" s="33" t="n">
        <v>0.0153220022927785</v>
      </c>
      <c r="U59" s="33" t="n">
        <v>0.0220256967991237</v>
      </c>
      <c r="V59" s="33" t="n">
        <v>0.0179135221339889</v>
      </c>
      <c r="W59" s="33" t="n">
        <v>0.0081883728176012</v>
      </c>
      <c r="X59" s="33" t="n">
        <v>0.0208479680060732</v>
      </c>
      <c r="Y59" s="33" t="n">
        <v>0.0216706927855956</v>
      </c>
      <c r="Z59" s="33" t="n">
        <v>0.0149178760075366</v>
      </c>
      <c r="AA59" s="33" t="n">
        <v>0.0162028940765446</v>
      </c>
      <c r="AB59" s="33" t="n">
        <v>0.0148261575776991</v>
      </c>
      <c r="AC59" s="33" t="n">
        <v>0.0146004966699573</v>
      </c>
      <c r="AD59" s="33" t="n">
        <v>0.0221010575338975</v>
      </c>
      <c r="AE59" s="33" t="n">
        <v>0.0172325725706487</v>
      </c>
      <c r="AF59" s="33" t="n">
        <v>0.015815178841037</v>
      </c>
      <c r="AG59" s="33" t="n">
        <v>0.0134933239899662</v>
      </c>
      <c r="AH59" s="33" t="n">
        <v>0.0176869949345502</v>
      </c>
      <c r="AI59" s="33" t="n">
        <v>0.014751145484979</v>
      </c>
      <c r="AJ59" s="33" t="n">
        <v>0.0151174291674706</v>
      </c>
      <c r="AK59" s="33" t="n">
        <v>0.0166776830669959</v>
      </c>
      <c r="AL59" s="33" t="n">
        <v>0.0113001760498313</v>
      </c>
      <c r="AM59" s="33" t="n">
        <v>0.0156814541491349</v>
      </c>
      <c r="AN59" s="33" t="n">
        <v>0.0123012216961291</v>
      </c>
      <c r="AO59" s="33" t="n">
        <v>0.00791132866174145</v>
      </c>
      <c r="AP59" s="33" t="n">
        <v>0.0240258539614015</v>
      </c>
      <c r="AQ59" s="33" t="n">
        <v>0.0155666215989762</v>
      </c>
      <c r="AR59" s="33" t="n">
        <v>0.0136277062327004</v>
      </c>
      <c r="AS59" s="33" t="n">
        <v>0.0151610063671787</v>
      </c>
      <c r="AT59" s="33" t="n">
        <v>0.0261354331565171</v>
      </c>
      <c r="AU59" s="33" t="n">
        <v>0.0225553127906282</v>
      </c>
      <c r="AV59" s="33" t="n">
        <v>0.0249717418650145</v>
      </c>
      <c r="AW59" s="33" t="n">
        <v>0.0328656582795952</v>
      </c>
      <c r="AX59" s="33" t="n">
        <v>0.0236525317528103</v>
      </c>
      <c r="AY59" s="33" t="n">
        <v>0.023672754754219</v>
      </c>
      <c r="AZ59" s="33" t="n">
        <v>0.0107822137265276</v>
      </c>
      <c r="BA59" s="33" t="n">
        <v>0.0240323746148754</v>
      </c>
      <c r="BB59" s="33" t="n">
        <v>0.0248495285053389</v>
      </c>
      <c r="BC59" s="33" t="n">
        <v>0.0473771095716279</v>
      </c>
      <c r="BD59" s="33" t="n">
        <v>0.016062409431624</v>
      </c>
      <c r="BE59" s="33" t="n">
        <v>0.137137700990676</v>
      </c>
      <c r="BF59" s="33" t="n">
        <v>0.0340706719623395</v>
      </c>
      <c r="BG59" s="33" t="n">
        <v>0.0193088667244539</v>
      </c>
      <c r="BH59" s="33" t="n">
        <v>0.0196294549981681</v>
      </c>
      <c r="BI59" s="33" t="n">
        <v>0.00903559248411505</v>
      </c>
      <c r="BJ59" s="33" t="n">
        <v>0.0271273203366995</v>
      </c>
      <c r="BK59" s="33" t="n">
        <v>0.019933901769337</v>
      </c>
      <c r="BL59" s="33" t="n">
        <v>0.0217408841711752</v>
      </c>
      <c r="BM59" s="33" t="n">
        <v>0.0564825269492174</v>
      </c>
      <c r="BN59" s="33" t="n">
        <v>0.00215100549567784</v>
      </c>
      <c r="BO59" s="33" t="n">
        <v>0.0139789590172146</v>
      </c>
      <c r="BP59" s="33" t="n">
        <v>0.00215200344529453</v>
      </c>
      <c r="BQ59" s="33" t="n">
        <v>0.0158812970552001</v>
      </c>
      <c r="BR59" s="33" t="n">
        <v>0.0226784784427923</v>
      </c>
      <c r="BS59" s="33" t="n">
        <v>0.0146091960603063</v>
      </c>
      <c r="BT59" s="33" t="n">
        <v>0</v>
      </c>
    </row>
    <row r="60" customFormat="false" ht="11.25" hidden="false" customHeight="true" outlineLevel="0" collapsed="false">
      <c r="B60" s="24" t="s">
        <v>171</v>
      </c>
      <c r="C60" s="25" t="s">
        <v>172</v>
      </c>
      <c r="D60" s="24" t="n">
        <v>54</v>
      </c>
      <c r="E60" s="34" t="n">
        <v>1.15742267765454E-005</v>
      </c>
      <c r="F60" s="34" t="n">
        <v>2.7671542552212E-005</v>
      </c>
      <c r="G60" s="34" t="n">
        <v>0.000166052843635847</v>
      </c>
      <c r="H60" s="34" t="n">
        <v>0.000972602374293724</v>
      </c>
      <c r="I60" s="34" t="n">
        <v>0.00173936967792339</v>
      </c>
      <c r="J60" s="34" t="n">
        <v>0.00038363912710907</v>
      </c>
      <c r="K60" s="34" t="n">
        <v>0.00119527691178781</v>
      </c>
      <c r="L60" s="34" t="n">
        <v>0.00219707220988317</v>
      </c>
      <c r="M60" s="34" t="n">
        <v>0.0025155961270229</v>
      </c>
      <c r="N60" s="34" t="n">
        <v>0.00138494295742185</v>
      </c>
      <c r="O60" s="34" t="n">
        <v>0.000805971235764361</v>
      </c>
      <c r="P60" s="34" t="n">
        <v>0.00143100515978521</v>
      </c>
      <c r="Q60" s="34" t="n">
        <v>0.00558361002996144</v>
      </c>
      <c r="R60" s="34" t="n">
        <v>0.00574034507061374</v>
      </c>
      <c r="S60" s="34" t="n">
        <v>0.00197459930794452</v>
      </c>
      <c r="T60" s="34" t="n">
        <v>0.00109340075571133</v>
      </c>
      <c r="U60" s="34" t="n">
        <v>0.00158735733448758</v>
      </c>
      <c r="V60" s="34" t="n">
        <v>0.00237470137795871</v>
      </c>
      <c r="W60" s="34" t="n">
        <v>0.000461684770851036</v>
      </c>
      <c r="X60" s="34" t="n">
        <v>0.00241267875561286</v>
      </c>
      <c r="Y60" s="34" t="n">
        <v>0.00106622554158039</v>
      </c>
      <c r="Z60" s="34" t="n">
        <v>0.00107277334317003</v>
      </c>
      <c r="AA60" s="34" t="n">
        <v>0.00307174689820637</v>
      </c>
      <c r="AB60" s="34" t="n">
        <v>0.0033026687388526</v>
      </c>
      <c r="AC60" s="34" t="n">
        <v>0.00305647822109671</v>
      </c>
      <c r="AD60" s="34" t="n">
        <v>0.00196715662505919</v>
      </c>
      <c r="AE60" s="34" t="n">
        <v>0.00200336299700043</v>
      </c>
      <c r="AF60" s="34" t="n">
        <v>0.000131734804185659</v>
      </c>
      <c r="AG60" s="34" t="n">
        <v>0.00232691402133511</v>
      </c>
      <c r="AH60" s="34" t="n">
        <v>0.00148943967589356</v>
      </c>
      <c r="AI60" s="34" t="n">
        <v>0.00133195142824299</v>
      </c>
      <c r="AJ60" s="34" t="n">
        <v>0.00144659075970463</v>
      </c>
      <c r="AK60" s="34" t="n">
        <v>0.000570931885904737</v>
      </c>
      <c r="AL60" s="34" t="n">
        <v>0.00190871331216671</v>
      </c>
      <c r="AM60" s="34" t="n">
        <v>0.0010808347146565</v>
      </c>
      <c r="AN60" s="34" t="n">
        <v>0.00280627797373117</v>
      </c>
      <c r="AO60" s="34" t="n">
        <v>0.000613023791966165</v>
      </c>
      <c r="AP60" s="34" t="n">
        <v>0.0022157132318369</v>
      </c>
      <c r="AQ60" s="34" t="n">
        <v>0.00360926387725658</v>
      </c>
      <c r="AR60" s="34" t="n">
        <v>0.00172701317533692</v>
      </c>
      <c r="AS60" s="34" t="n">
        <v>0.0191267123725699</v>
      </c>
      <c r="AT60" s="34" t="n">
        <v>0.0314275010933072</v>
      </c>
      <c r="AU60" s="34" t="n">
        <v>0.00304943182288804</v>
      </c>
      <c r="AV60" s="34" t="n">
        <v>0.00327003667180971</v>
      </c>
      <c r="AW60" s="34" t="n">
        <v>0.00253948158287757</v>
      </c>
      <c r="AX60" s="34" t="n">
        <v>0.0202588870633777</v>
      </c>
      <c r="AY60" s="34" t="n">
        <v>0.0391938206244378</v>
      </c>
      <c r="AZ60" s="34" t="n">
        <v>0.0197999184593658</v>
      </c>
      <c r="BA60" s="34" t="n">
        <v>0.00925691442576144</v>
      </c>
      <c r="BB60" s="34" t="n">
        <v>0.0104403111011583</v>
      </c>
      <c r="BC60" s="34" t="n">
        <v>0.0106983989835571</v>
      </c>
      <c r="BD60" s="34" t="n">
        <v>0.0103727424704053</v>
      </c>
      <c r="BE60" s="34" t="n">
        <v>0.00689513417261804</v>
      </c>
      <c r="BF60" s="34" t="n">
        <v>0.00291929813212994</v>
      </c>
      <c r="BG60" s="34" t="n">
        <v>0.0212169962893179</v>
      </c>
      <c r="BH60" s="34" t="n">
        <v>0.0115991573809562</v>
      </c>
      <c r="BI60" s="34" t="n">
        <v>0.010101795731667</v>
      </c>
      <c r="BJ60" s="34" t="n">
        <v>0.0181854105354897</v>
      </c>
      <c r="BK60" s="34" t="n">
        <v>0.0117895490775532</v>
      </c>
      <c r="BL60" s="34" t="n">
        <v>0.00630989072546477</v>
      </c>
      <c r="BM60" s="34" t="n">
        <v>0.00267928354471943</v>
      </c>
      <c r="BN60" s="34" t="n">
        <v>0.00133014179920672</v>
      </c>
      <c r="BO60" s="34" t="n">
        <v>0.0351551771426309</v>
      </c>
      <c r="BP60" s="34" t="n">
        <v>0.00175458123582659</v>
      </c>
      <c r="BQ60" s="34" t="n">
        <v>0.00779829857867014</v>
      </c>
      <c r="BR60" s="34" t="n">
        <v>0.0870164792791546</v>
      </c>
      <c r="BS60" s="34" t="n">
        <v>0.0213827662864313</v>
      </c>
      <c r="BT60" s="34" t="n">
        <v>0</v>
      </c>
    </row>
    <row r="61" customFormat="false" ht="11.25" hidden="false" customHeight="true" outlineLevel="0" collapsed="false">
      <c r="B61" s="19" t="s">
        <v>173</v>
      </c>
      <c r="C61" s="20" t="s">
        <v>174</v>
      </c>
      <c r="D61" s="19" t="n">
        <v>55</v>
      </c>
      <c r="E61" s="33" t="n">
        <v>5.36994849004795E-005</v>
      </c>
      <c r="F61" s="33" t="n">
        <v>5.25424268433017E-005</v>
      </c>
      <c r="G61" s="33" t="n">
        <v>0.000945242100893587</v>
      </c>
      <c r="H61" s="33" t="n">
        <v>0.0204926998825385</v>
      </c>
      <c r="I61" s="33" t="n">
        <v>0.0391736256362169</v>
      </c>
      <c r="J61" s="33" t="n">
        <v>0.0212142340423474</v>
      </c>
      <c r="K61" s="33" t="n">
        <v>0.0180712031325939</v>
      </c>
      <c r="L61" s="33" t="n">
        <v>0.0138280798891252</v>
      </c>
      <c r="M61" s="33" t="n">
        <v>0.0121760532399043</v>
      </c>
      <c r="N61" s="33" t="n">
        <v>0.0217667952228999</v>
      </c>
      <c r="O61" s="33" t="n">
        <v>0.0285560482351555</v>
      </c>
      <c r="P61" s="33" t="n">
        <v>0.0409264591370297</v>
      </c>
      <c r="Q61" s="33" t="n">
        <v>0.00670819054136325</v>
      </c>
      <c r="R61" s="33" t="n">
        <v>0.00586105808764448</v>
      </c>
      <c r="S61" s="33" t="n">
        <v>0.00541880300373815</v>
      </c>
      <c r="T61" s="33" t="n">
        <v>0.00795389188883695</v>
      </c>
      <c r="U61" s="33" t="n">
        <v>0.0191939486619647</v>
      </c>
      <c r="V61" s="33" t="n">
        <v>0.00451213474936482</v>
      </c>
      <c r="W61" s="33" t="n">
        <v>0.0141734583419995</v>
      </c>
      <c r="X61" s="33" t="n">
        <v>0.0106266754686909</v>
      </c>
      <c r="Y61" s="33" t="n">
        <v>0.0197646733635002</v>
      </c>
      <c r="Z61" s="33" t="n">
        <v>0.0412899521562253</v>
      </c>
      <c r="AA61" s="33" t="n">
        <v>0.0311894695643689</v>
      </c>
      <c r="AB61" s="33" t="n">
        <v>0.0518385654126829</v>
      </c>
      <c r="AC61" s="33" t="n">
        <v>0.0127563453076321</v>
      </c>
      <c r="AD61" s="33" t="n">
        <v>0.0226978097871404</v>
      </c>
      <c r="AE61" s="33" t="n">
        <v>0.0091959911715814</v>
      </c>
      <c r="AF61" s="33" t="n">
        <v>0.00815432082886875</v>
      </c>
      <c r="AG61" s="33" t="n">
        <v>0.00807979358943939</v>
      </c>
      <c r="AH61" s="33" t="n">
        <v>0.0234612068651057</v>
      </c>
      <c r="AI61" s="33" t="n">
        <v>0.0148982262190391</v>
      </c>
      <c r="AJ61" s="33" t="n">
        <v>0.0152768362055511</v>
      </c>
      <c r="AK61" s="33" t="n">
        <v>0.0158929544704267</v>
      </c>
      <c r="AL61" s="33" t="n">
        <v>0.0110609583612953</v>
      </c>
      <c r="AM61" s="33" t="n">
        <v>0.0106012581151931</v>
      </c>
      <c r="AN61" s="33" t="n">
        <v>0.00577829341998067</v>
      </c>
      <c r="AO61" s="33" t="n">
        <v>0.00826769063165676</v>
      </c>
      <c r="AP61" s="33" t="n">
        <v>0.00277966224548268</v>
      </c>
      <c r="AQ61" s="33" t="n">
        <v>0.019941642510972</v>
      </c>
      <c r="AR61" s="33" t="n">
        <v>0.00715963153086016</v>
      </c>
      <c r="AS61" s="33" t="n">
        <v>0.0392638965227281</v>
      </c>
      <c r="AT61" s="33" t="n">
        <v>0.027139707110995</v>
      </c>
      <c r="AU61" s="33" t="n">
        <v>0.00682145293071666</v>
      </c>
      <c r="AV61" s="33" t="n">
        <v>0.00845347192154814</v>
      </c>
      <c r="AW61" s="33" t="n">
        <v>0.014127700604315</v>
      </c>
      <c r="AX61" s="33" t="n">
        <v>0.0168323631911913</v>
      </c>
      <c r="AY61" s="33" t="n">
        <v>0.00948659473341581</v>
      </c>
      <c r="AZ61" s="33" t="n">
        <v>0.00472481325540095</v>
      </c>
      <c r="BA61" s="33" t="n">
        <v>0.0219388577279596</v>
      </c>
      <c r="BB61" s="33" t="n">
        <v>0.0621183858694626</v>
      </c>
      <c r="BC61" s="33" t="n">
        <v>0.0172722790271973</v>
      </c>
      <c r="BD61" s="33" t="n">
        <v>0.0205874303595559</v>
      </c>
      <c r="BE61" s="33" t="n">
        <v>0.0240501674799771</v>
      </c>
      <c r="BF61" s="33" t="n">
        <v>0.00403028634560241</v>
      </c>
      <c r="BG61" s="33" t="n">
        <v>0.0763893520886059</v>
      </c>
      <c r="BH61" s="33" t="n">
        <v>0.0720695706183292</v>
      </c>
      <c r="BI61" s="33" t="n">
        <v>0.00470344738067062</v>
      </c>
      <c r="BJ61" s="33" t="n">
        <v>0.0172186827615985</v>
      </c>
      <c r="BK61" s="33" t="n">
        <v>0.0169526964184433</v>
      </c>
      <c r="BL61" s="33" t="n">
        <v>0.0391146592454128</v>
      </c>
      <c r="BM61" s="33" t="n">
        <v>0.0056019709003576</v>
      </c>
      <c r="BN61" s="33" t="n">
        <v>0.000359705748565125</v>
      </c>
      <c r="BO61" s="33" t="n">
        <v>0.0201535401284666</v>
      </c>
      <c r="BP61" s="33" t="n">
        <v>0.00140834164165108</v>
      </c>
      <c r="BQ61" s="33" t="n">
        <v>0.0115082231750057</v>
      </c>
      <c r="BR61" s="33" t="n">
        <v>0.0296323489894484</v>
      </c>
      <c r="BS61" s="33" t="n">
        <v>0.0248414107624195</v>
      </c>
      <c r="BT61" s="33" t="n">
        <v>0</v>
      </c>
    </row>
    <row r="62" customFormat="false" ht="11.25" hidden="false" customHeight="true" outlineLevel="0" collapsed="false">
      <c r="B62" s="24" t="s">
        <v>175</v>
      </c>
      <c r="C62" s="25" t="s">
        <v>176</v>
      </c>
      <c r="D62" s="24" t="n">
        <v>56</v>
      </c>
      <c r="E62" s="34" t="n">
        <v>0.00178700975271693</v>
      </c>
      <c r="F62" s="34" t="n">
        <v>0.000151312190235135</v>
      </c>
      <c r="G62" s="34" t="n">
        <v>5.08204721650658E-006</v>
      </c>
      <c r="H62" s="34" t="n">
        <v>0.00218807650426268</v>
      </c>
      <c r="I62" s="34" t="n">
        <v>0.0077856650826104</v>
      </c>
      <c r="J62" s="34" t="n">
        <v>0.00484898710032378</v>
      </c>
      <c r="K62" s="34" t="n">
        <v>0.00797859266621544</v>
      </c>
      <c r="L62" s="34" t="n">
        <v>0.00344890950121965</v>
      </c>
      <c r="M62" s="34" t="n">
        <v>0.00587626820749835</v>
      </c>
      <c r="N62" s="34" t="n">
        <v>0.00311044568292932</v>
      </c>
      <c r="O62" s="34" t="n">
        <v>0.00255063094860728</v>
      </c>
      <c r="P62" s="34" t="n">
        <v>0.00712952067805039</v>
      </c>
      <c r="Q62" s="34" t="n">
        <v>0.00116328840713762</v>
      </c>
      <c r="R62" s="34" t="n">
        <v>0.00225580495062506</v>
      </c>
      <c r="S62" s="34" t="n">
        <v>0.00219676246525014</v>
      </c>
      <c r="T62" s="34" t="n">
        <v>0.00174655121946672</v>
      </c>
      <c r="U62" s="34" t="n">
        <v>0.00477638570518232</v>
      </c>
      <c r="V62" s="34" t="n">
        <v>0.00154000905404522</v>
      </c>
      <c r="W62" s="34" t="n">
        <v>0.000452059654607707</v>
      </c>
      <c r="X62" s="34" t="n">
        <v>0.00333779788997473</v>
      </c>
      <c r="Y62" s="34" t="n">
        <v>0.00460654342060438</v>
      </c>
      <c r="Z62" s="34" t="n">
        <v>0.00594491673572277</v>
      </c>
      <c r="AA62" s="34" t="n">
        <v>0.00706108924994124</v>
      </c>
      <c r="AB62" s="34" t="n">
        <v>0.011173201201904</v>
      </c>
      <c r="AC62" s="34" t="n">
        <v>0.00609268822975695</v>
      </c>
      <c r="AD62" s="34" t="n">
        <v>0.00528628617831128</v>
      </c>
      <c r="AE62" s="34" t="n">
        <v>0.00271505996333268</v>
      </c>
      <c r="AF62" s="34" t="n">
        <v>0.00348154143851206</v>
      </c>
      <c r="AG62" s="34" t="n">
        <v>0.00392442292447771</v>
      </c>
      <c r="AH62" s="34" t="n">
        <v>0.00472061041806954</v>
      </c>
      <c r="AI62" s="34" t="n">
        <v>0.00383164925954254</v>
      </c>
      <c r="AJ62" s="34" t="n">
        <v>0.0107142377841391</v>
      </c>
      <c r="AK62" s="34" t="n">
        <v>0.00781541061107203</v>
      </c>
      <c r="AL62" s="34" t="n">
        <v>0.00607660705466216</v>
      </c>
      <c r="AM62" s="34" t="n">
        <v>0.0026502855296291</v>
      </c>
      <c r="AN62" s="34" t="n">
        <v>0.00297413180958222</v>
      </c>
      <c r="AO62" s="34" t="n">
        <v>0.00235135454843733</v>
      </c>
      <c r="AP62" s="34" t="n">
        <v>0.00609585195998261</v>
      </c>
      <c r="AQ62" s="34" t="n">
        <v>0.00576405841519869</v>
      </c>
      <c r="AR62" s="34" t="n">
        <v>0.0043063841235725</v>
      </c>
      <c r="AS62" s="34" t="n">
        <v>0.000504196844843813</v>
      </c>
      <c r="AT62" s="34" t="n">
        <v>0.00148867592722083</v>
      </c>
      <c r="AU62" s="34" t="n">
        <v>0.000861014695263413</v>
      </c>
      <c r="AV62" s="34" t="n">
        <v>0.000585375719722009</v>
      </c>
      <c r="AW62" s="34" t="n">
        <v>1.28707598695136E-005</v>
      </c>
      <c r="AX62" s="34" t="n">
        <v>0.0313488079869444</v>
      </c>
      <c r="AY62" s="34" t="n">
        <v>0.000349016054966062</v>
      </c>
      <c r="AZ62" s="34" t="n">
        <v>0.00011609887939533</v>
      </c>
      <c r="BA62" s="34" t="n">
        <v>0.000131055319166647</v>
      </c>
      <c r="BB62" s="34" t="n">
        <v>9.6377659439113E-005</v>
      </c>
      <c r="BC62" s="34" t="n">
        <v>0.000158002279756871</v>
      </c>
      <c r="BD62" s="34" t="n">
        <v>0.00193404622796442</v>
      </c>
      <c r="BE62" s="34" t="n">
        <v>0.000712273202902964</v>
      </c>
      <c r="BF62" s="34" t="n">
        <v>3.4424533309901E-005</v>
      </c>
      <c r="BG62" s="34" t="n">
        <v>0.000113995945079745</v>
      </c>
      <c r="BH62" s="34" t="n">
        <v>0.0345442215491037</v>
      </c>
      <c r="BI62" s="34" t="n">
        <v>5.81110284676324E-005</v>
      </c>
      <c r="BJ62" s="34" t="n">
        <v>0.00132186095021664</v>
      </c>
      <c r="BK62" s="34" t="n">
        <v>0.000150823417094103</v>
      </c>
      <c r="BL62" s="34" t="n">
        <v>4.09711383869061E-005</v>
      </c>
      <c r="BM62" s="34" t="n">
        <v>0.00514653158191512</v>
      </c>
      <c r="BN62" s="34" t="n">
        <v>0.00360896730640519</v>
      </c>
      <c r="BO62" s="34" t="n">
        <v>0.000938487828160504</v>
      </c>
      <c r="BP62" s="34" t="n">
        <v>0.0120317852005071</v>
      </c>
      <c r="BQ62" s="34" t="n">
        <v>4.26395954187932E-005</v>
      </c>
      <c r="BR62" s="34" t="n">
        <v>0.000438209852794622</v>
      </c>
      <c r="BS62" s="34" t="n">
        <v>0.000108933981486471</v>
      </c>
      <c r="BT62" s="34" t="n">
        <v>0</v>
      </c>
    </row>
    <row r="63" customFormat="false" ht="11.25" hidden="false" customHeight="true" outlineLevel="0" collapsed="false">
      <c r="B63" s="19" t="s">
        <v>177</v>
      </c>
      <c r="C63" s="20" t="s">
        <v>178</v>
      </c>
      <c r="D63" s="19" t="n">
        <v>57</v>
      </c>
      <c r="E63" s="33" t="n">
        <v>3.35140351485006E-005</v>
      </c>
      <c r="F63" s="33" t="n">
        <v>0.00245944534972372</v>
      </c>
      <c r="G63" s="33" t="n">
        <v>0.00274002934726132</v>
      </c>
      <c r="H63" s="33" t="n">
        <v>0.00181567706354059</v>
      </c>
      <c r="I63" s="33" t="n">
        <v>0.00336326658488265</v>
      </c>
      <c r="J63" s="33" t="n">
        <v>0.000132764849364067</v>
      </c>
      <c r="K63" s="33" t="n">
        <v>3.38713389357277E-005</v>
      </c>
      <c r="L63" s="33" t="n">
        <v>0.00830592222767136</v>
      </c>
      <c r="M63" s="33" t="n">
        <v>0.00417455962276035</v>
      </c>
      <c r="N63" s="33" t="n">
        <v>0.0112878524555324</v>
      </c>
      <c r="O63" s="33" t="n">
        <v>0.065730478390833</v>
      </c>
      <c r="P63" s="33" t="n">
        <v>0.0170917315322759</v>
      </c>
      <c r="Q63" s="33" t="n">
        <v>0.00177855770430145</v>
      </c>
      <c r="R63" s="33" t="n">
        <v>0.0061059113395396</v>
      </c>
      <c r="S63" s="33" t="n">
        <v>0.0174040471644054</v>
      </c>
      <c r="T63" s="33" t="n">
        <v>0.00128753219604362</v>
      </c>
      <c r="U63" s="33" t="n">
        <v>0.00565870599442511</v>
      </c>
      <c r="V63" s="33" t="n">
        <v>0.00270081756587276</v>
      </c>
      <c r="W63" s="33" t="n">
        <v>0.000605158502899552</v>
      </c>
      <c r="X63" s="33" t="n">
        <v>0.00179128433314091</v>
      </c>
      <c r="Y63" s="33" t="n">
        <v>0.000792050756919865</v>
      </c>
      <c r="Z63" s="33" t="n">
        <v>0.00610335877385774</v>
      </c>
      <c r="AA63" s="33" t="n">
        <v>0.0251951274456999</v>
      </c>
      <c r="AB63" s="33" t="n">
        <v>0.0278534352885081</v>
      </c>
      <c r="AC63" s="33" t="n">
        <v>0.00439160400086017</v>
      </c>
      <c r="AD63" s="33" t="n">
        <v>0.00324916815741997</v>
      </c>
      <c r="AE63" s="33" t="n">
        <v>0.00187587763141546</v>
      </c>
      <c r="AF63" s="33" t="n">
        <v>0.000260868896826858</v>
      </c>
      <c r="AG63" s="33" t="n">
        <v>0.00507506326647628</v>
      </c>
      <c r="AH63" s="33" t="n">
        <v>0.0126943429439276</v>
      </c>
      <c r="AI63" s="33" t="n">
        <v>0.00721045463236861</v>
      </c>
      <c r="AJ63" s="33" t="n">
        <v>0.00358795576014021</v>
      </c>
      <c r="AK63" s="33" t="n">
        <v>0.0217345278116614</v>
      </c>
      <c r="AL63" s="33" t="n">
        <v>0.00160857794837128</v>
      </c>
      <c r="AM63" s="33" t="n">
        <v>0.00564802873375323</v>
      </c>
      <c r="AN63" s="33" t="n">
        <v>0.00553962162482911</v>
      </c>
      <c r="AO63" s="33" t="n">
        <v>0.00180668940084981</v>
      </c>
      <c r="AP63" s="33" t="n">
        <v>0.00820668023528052</v>
      </c>
      <c r="AQ63" s="33" t="n">
        <v>0.0027725906165235</v>
      </c>
      <c r="AR63" s="33" t="n">
        <v>0.00272809983287732</v>
      </c>
      <c r="AS63" s="33" t="n">
        <v>0.0150109441896253</v>
      </c>
      <c r="AT63" s="33" t="n">
        <v>0.0188183613241422</v>
      </c>
      <c r="AU63" s="33" t="n">
        <v>0.00229069425276427</v>
      </c>
      <c r="AV63" s="33" t="n">
        <v>0.00250474657086822</v>
      </c>
      <c r="AW63" s="33" t="n">
        <v>0.0047739728998591</v>
      </c>
      <c r="AX63" s="33" t="n">
        <v>0.0109429862644086</v>
      </c>
      <c r="AY63" s="33" t="n">
        <v>0.0122601606236243</v>
      </c>
      <c r="AZ63" s="33" t="n">
        <v>0.00335016203983376</v>
      </c>
      <c r="BA63" s="33" t="n">
        <v>0.0384842538870708</v>
      </c>
      <c r="BB63" s="33" t="n">
        <v>0.0440004376201281</v>
      </c>
      <c r="BC63" s="33" t="n">
        <v>0.0156548741420368</v>
      </c>
      <c r="BD63" s="33" t="n">
        <v>0.0142057861636992</v>
      </c>
      <c r="BE63" s="33" t="n">
        <v>0.0149185063979167</v>
      </c>
      <c r="BF63" s="33" t="n">
        <v>0.00141290031408249</v>
      </c>
      <c r="BG63" s="33" t="n">
        <v>0.0203529738599046</v>
      </c>
      <c r="BH63" s="33" t="n">
        <v>0.00730867872182798</v>
      </c>
      <c r="BI63" s="33" t="n">
        <v>0.0216760324771512</v>
      </c>
      <c r="BJ63" s="33" t="n">
        <v>0.0201826088805673</v>
      </c>
      <c r="BK63" s="33" t="n">
        <v>0.00666812155095022</v>
      </c>
      <c r="BL63" s="33" t="n">
        <v>0.00535394996800061</v>
      </c>
      <c r="BM63" s="33" t="n">
        <v>0.00413397633988091</v>
      </c>
      <c r="BN63" s="33" t="n">
        <v>0.00177628091133657</v>
      </c>
      <c r="BO63" s="33" t="n">
        <v>0.0221585030787875</v>
      </c>
      <c r="BP63" s="33" t="n">
        <v>0.0057557899871952</v>
      </c>
      <c r="BQ63" s="33" t="n">
        <v>0.000118307856886752</v>
      </c>
      <c r="BR63" s="33" t="n">
        <v>0.0396481852512063</v>
      </c>
      <c r="BS63" s="33" t="n">
        <v>0.0119686599235875</v>
      </c>
      <c r="BT63" s="33" t="n">
        <v>0</v>
      </c>
    </row>
    <row r="64" customFormat="false" ht="11.25" hidden="false" customHeight="true" outlineLevel="0" collapsed="false">
      <c r="B64" s="24" t="s">
        <v>179</v>
      </c>
      <c r="C64" s="25" t="s">
        <v>180</v>
      </c>
      <c r="D64" s="24" t="n">
        <v>58</v>
      </c>
      <c r="E64" s="34" t="n">
        <v>0.000695347935792606</v>
      </c>
      <c r="F64" s="34" t="n">
        <v>0.000253599895761788</v>
      </c>
      <c r="G64" s="34" t="n">
        <v>0.00163052017925816</v>
      </c>
      <c r="H64" s="34" t="n">
        <v>0.00745818803968342</v>
      </c>
      <c r="I64" s="34" t="n">
        <v>0.0325958654925525</v>
      </c>
      <c r="J64" s="34" t="n">
        <v>0.0124333540844712</v>
      </c>
      <c r="K64" s="34" t="n">
        <v>0.0104309725156667</v>
      </c>
      <c r="L64" s="34" t="n">
        <v>0.000928336429798061</v>
      </c>
      <c r="M64" s="34" t="n">
        <v>0.00494327620758153</v>
      </c>
      <c r="N64" s="34" t="n">
        <v>0.00242554853849405</v>
      </c>
      <c r="O64" s="34" t="n">
        <v>0.00330697639976923</v>
      </c>
      <c r="P64" s="34" t="n">
        <v>0.00222652367823854</v>
      </c>
      <c r="Q64" s="34" t="n">
        <v>0.000805926032858601</v>
      </c>
      <c r="R64" s="34" t="n">
        <v>0.00120299721799385</v>
      </c>
      <c r="S64" s="34" t="n">
        <v>0.00117353553239396</v>
      </c>
      <c r="T64" s="34" t="n">
        <v>0.00348555787294404</v>
      </c>
      <c r="U64" s="34" t="n">
        <v>0.00613624369105772</v>
      </c>
      <c r="V64" s="34" t="n">
        <v>0.00613850433508533</v>
      </c>
      <c r="W64" s="34" t="n">
        <v>0.000905615068694253</v>
      </c>
      <c r="X64" s="34" t="n">
        <v>0.000952703824893783</v>
      </c>
      <c r="Y64" s="34" t="n">
        <v>0.00228407315011784</v>
      </c>
      <c r="Z64" s="34" t="n">
        <v>0.00335384599816237</v>
      </c>
      <c r="AA64" s="34" t="n">
        <v>0.00124279632570656</v>
      </c>
      <c r="AB64" s="34" t="n">
        <v>0.00204578653992127</v>
      </c>
      <c r="AC64" s="34" t="n">
        <v>0.00356555418364801</v>
      </c>
      <c r="AD64" s="34" t="n">
        <v>0.00359847163868382</v>
      </c>
      <c r="AE64" s="34" t="n">
        <v>0.00464450773001868</v>
      </c>
      <c r="AF64" s="34" t="n">
        <v>0.00306160857375454</v>
      </c>
      <c r="AG64" s="34" t="n">
        <v>0.00436018117590511</v>
      </c>
      <c r="AH64" s="34" t="n">
        <v>0.00297266864291309</v>
      </c>
      <c r="AI64" s="34" t="n">
        <v>0.00180856129943925</v>
      </c>
      <c r="AJ64" s="34" t="n">
        <v>0.00322409828016069</v>
      </c>
      <c r="AK64" s="34" t="n">
        <v>0.00630543869192995</v>
      </c>
      <c r="AL64" s="34" t="n">
        <v>0.00402866702952456</v>
      </c>
      <c r="AM64" s="34" t="n">
        <v>0.00761355969543524</v>
      </c>
      <c r="AN64" s="34" t="n">
        <v>0.00223469594558816</v>
      </c>
      <c r="AO64" s="34" t="n">
        <v>0.00284575037857141</v>
      </c>
      <c r="AP64" s="34" t="n">
        <v>0.00129902274491194</v>
      </c>
      <c r="AQ64" s="34" t="n">
        <v>0.0122664872248689</v>
      </c>
      <c r="AR64" s="34" t="n">
        <v>0.00311775528376065</v>
      </c>
      <c r="AS64" s="34" t="n">
        <v>0.00298147865737379</v>
      </c>
      <c r="AT64" s="34" t="n">
        <v>0.00559392674518095</v>
      </c>
      <c r="AU64" s="34" t="n">
        <v>0.00638631530274346</v>
      </c>
      <c r="AV64" s="34" t="n">
        <v>0.0298306296833946</v>
      </c>
      <c r="AW64" s="34" t="n">
        <v>0.0382740542599884</v>
      </c>
      <c r="AX64" s="34" t="n">
        <v>0.0103446072884087</v>
      </c>
      <c r="AY64" s="34" t="n">
        <v>0.00318727065920598</v>
      </c>
      <c r="AZ64" s="34" t="n">
        <v>0.00347638901265803</v>
      </c>
      <c r="BA64" s="34" t="n">
        <v>0.0214250658012351</v>
      </c>
      <c r="BB64" s="34" t="n">
        <v>0.0164280954773258</v>
      </c>
      <c r="BC64" s="34" t="n">
        <v>0.0123018932187321</v>
      </c>
      <c r="BD64" s="34" t="n">
        <v>0.0113695893265939</v>
      </c>
      <c r="BE64" s="34" t="n">
        <v>0.00116930535335211</v>
      </c>
      <c r="BF64" s="34" t="n">
        <v>0.000303570377938647</v>
      </c>
      <c r="BG64" s="34" t="n">
        <v>0.00228560827021247</v>
      </c>
      <c r="BH64" s="34" t="n">
        <v>0.00767697513264922</v>
      </c>
      <c r="BI64" s="34" t="n">
        <v>0.00185011546487725</v>
      </c>
      <c r="BJ64" s="34" t="n">
        <v>0.0186289704836185</v>
      </c>
      <c r="BK64" s="34" t="n">
        <v>0.00270516767265879</v>
      </c>
      <c r="BL64" s="34" t="n">
        <v>0.00516612916994796</v>
      </c>
      <c r="BM64" s="34" t="n">
        <v>0.00223323417974548</v>
      </c>
      <c r="BN64" s="34" t="n">
        <v>0.00205028016490955</v>
      </c>
      <c r="BO64" s="34" t="n">
        <v>0.00985642602161205</v>
      </c>
      <c r="BP64" s="34" t="n">
        <v>0.00482529631228143</v>
      </c>
      <c r="BQ64" s="34" t="n">
        <v>0.00152762634897116</v>
      </c>
      <c r="BR64" s="34" t="n">
        <v>0.00849869432357633</v>
      </c>
      <c r="BS64" s="34" t="n">
        <v>0.00127667855412059</v>
      </c>
      <c r="BT64" s="34" t="n">
        <v>0</v>
      </c>
    </row>
    <row r="65" customFormat="false" ht="11.25" hidden="false" customHeight="true" outlineLevel="0" collapsed="false">
      <c r="B65" s="19" t="s">
        <v>181</v>
      </c>
      <c r="C65" s="20" t="s">
        <v>182</v>
      </c>
      <c r="D65" s="19" t="n">
        <v>59</v>
      </c>
      <c r="E65" s="33" t="n">
        <v>7.31913015194315E-005</v>
      </c>
      <c r="F65" s="33" t="n">
        <v>9.86558257894E-005</v>
      </c>
      <c r="G65" s="33" t="n">
        <v>0.000781336816424563</v>
      </c>
      <c r="H65" s="33" t="n">
        <v>0.0295169459679849</v>
      </c>
      <c r="I65" s="33" t="n">
        <v>0.00472160268670502</v>
      </c>
      <c r="J65" s="33" t="n">
        <v>0.00862108230635062</v>
      </c>
      <c r="K65" s="33" t="n">
        <v>0.0149463943327418</v>
      </c>
      <c r="L65" s="33" t="n">
        <v>0.0034404436415313</v>
      </c>
      <c r="M65" s="33" t="n">
        <v>0.0111912779793667</v>
      </c>
      <c r="N65" s="33" t="n">
        <v>0.00453717475558455</v>
      </c>
      <c r="O65" s="33" t="n">
        <v>0.0163564495694704</v>
      </c>
      <c r="P65" s="33" t="n">
        <v>0.0134306822401538</v>
      </c>
      <c r="Q65" s="33" t="n">
        <v>0.00349927295773448</v>
      </c>
      <c r="R65" s="33" t="n">
        <v>0.00380042091227068</v>
      </c>
      <c r="S65" s="33" t="n">
        <v>0.00697347257563428</v>
      </c>
      <c r="T65" s="33" t="n">
        <v>0.00189751836773131</v>
      </c>
      <c r="U65" s="33" t="n">
        <v>0.00776443577753961</v>
      </c>
      <c r="V65" s="33" t="n">
        <v>0.00163212454323878</v>
      </c>
      <c r="W65" s="33" t="n">
        <v>0.000836605727910187</v>
      </c>
      <c r="X65" s="33" t="n">
        <v>0.00769059506195546</v>
      </c>
      <c r="Y65" s="33" t="n">
        <v>0.00328217098132718</v>
      </c>
      <c r="Z65" s="33" t="n">
        <v>0.0101460713598404</v>
      </c>
      <c r="AA65" s="33" t="n">
        <v>0.00718324989798379</v>
      </c>
      <c r="AB65" s="33" t="n">
        <v>0.0137972451873928</v>
      </c>
      <c r="AC65" s="33" t="n">
        <v>0.00620077196325944</v>
      </c>
      <c r="AD65" s="33" t="n">
        <v>0.0109370414500333</v>
      </c>
      <c r="AE65" s="33" t="n">
        <v>0.00475238696064036</v>
      </c>
      <c r="AF65" s="33" t="n">
        <v>0.0105648216589063</v>
      </c>
      <c r="AG65" s="33" t="n">
        <v>0.00913124642150277</v>
      </c>
      <c r="AH65" s="33" t="n">
        <v>0.00857421294003279</v>
      </c>
      <c r="AI65" s="33" t="n">
        <v>0.00852195931627753</v>
      </c>
      <c r="AJ65" s="33" t="n">
        <v>0.0153359040910363</v>
      </c>
      <c r="AK65" s="33" t="n">
        <v>0.00834927928313622</v>
      </c>
      <c r="AL65" s="33" t="n">
        <v>0.00416901749021765</v>
      </c>
      <c r="AM65" s="33" t="n">
        <v>0.0029810327067956</v>
      </c>
      <c r="AN65" s="33" t="n">
        <v>0.00395744306593302</v>
      </c>
      <c r="AO65" s="33" t="n">
        <v>0.00473992370488911</v>
      </c>
      <c r="AP65" s="33" t="n">
        <v>0.00866569605951773</v>
      </c>
      <c r="AQ65" s="33" t="n">
        <v>0.00596004660142459</v>
      </c>
      <c r="AR65" s="33" t="n">
        <v>0.00367626131413994</v>
      </c>
      <c r="AS65" s="33" t="n">
        <v>0.0121777375995527</v>
      </c>
      <c r="AT65" s="33" t="n">
        <v>0.0348833288099382</v>
      </c>
      <c r="AU65" s="33" t="n">
        <v>0.00619348442963501</v>
      </c>
      <c r="AV65" s="33" t="n">
        <v>0.00452996763850083</v>
      </c>
      <c r="AW65" s="33" t="n">
        <v>0.0282741501365812</v>
      </c>
      <c r="AX65" s="33" t="n">
        <v>0.0251342021502751</v>
      </c>
      <c r="AY65" s="33" t="n">
        <v>0.033956206103532</v>
      </c>
      <c r="AZ65" s="33" t="n">
        <v>0.00935538901252414</v>
      </c>
      <c r="BA65" s="33" t="n">
        <v>0.0126975389791359</v>
      </c>
      <c r="BB65" s="33" t="n">
        <v>0.0232904796478753</v>
      </c>
      <c r="BC65" s="33" t="n">
        <v>0.11026687361842</v>
      </c>
      <c r="BD65" s="33" t="n">
        <v>0.0436984776604958</v>
      </c>
      <c r="BE65" s="33" t="n">
        <v>0.0321896122839819</v>
      </c>
      <c r="BF65" s="33" t="n">
        <v>0.00244909532201586</v>
      </c>
      <c r="BG65" s="33" t="n">
        <v>0.0216025121456673</v>
      </c>
      <c r="BH65" s="33" t="n">
        <v>0.00891836837034539</v>
      </c>
      <c r="BI65" s="33" t="n">
        <v>0.00759560172084471</v>
      </c>
      <c r="BJ65" s="33" t="n">
        <v>0.0130830991896553</v>
      </c>
      <c r="BK65" s="33" t="n">
        <v>0.0260835956402202</v>
      </c>
      <c r="BL65" s="33" t="n">
        <v>0.0120791037896467</v>
      </c>
      <c r="BM65" s="33" t="n">
        <v>0.0267555182212976</v>
      </c>
      <c r="BN65" s="33" t="n">
        <v>0.0308372297561041</v>
      </c>
      <c r="BO65" s="33" t="n">
        <v>0.0388946873022967</v>
      </c>
      <c r="BP65" s="33" t="n">
        <v>0.052189905617708</v>
      </c>
      <c r="BQ65" s="33" t="n">
        <v>0.0133717053805064</v>
      </c>
      <c r="BR65" s="33" t="n">
        <v>0.0320179938742197</v>
      </c>
      <c r="BS65" s="33" t="n">
        <v>0.0395882308222313</v>
      </c>
      <c r="BT65" s="33" t="n">
        <v>0</v>
      </c>
    </row>
    <row r="66" customFormat="false" ht="11.25" hidden="false" customHeight="true" outlineLevel="0" collapsed="false">
      <c r="B66" s="24" t="s">
        <v>183</v>
      </c>
      <c r="C66" s="25" t="s">
        <v>184</v>
      </c>
      <c r="D66" s="24" t="n">
        <v>60</v>
      </c>
      <c r="E66" s="34" t="n">
        <v>1.77429562634988E-006</v>
      </c>
      <c r="F66" s="34" t="n">
        <v>3.33643785420513E-008</v>
      </c>
      <c r="G66" s="34" t="n">
        <v>4.53033509794848E-005</v>
      </c>
      <c r="H66" s="34" t="n">
        <v>0.00041845996170425</v>
      </c>
      <c r="I66" s="34" t="n">
        <v>0.000565749448025447</v>
      </c>
      <c r="J66" s="34" t="n">
        <v>0.000924962547723029</v>
      </c>
      <c r="K66" s="34" t="n">
        <v>0.00122869290879882</v>
      </c>
      <c r="L66" s="34" t="n">
        <v>0.0013747659964017</v>
      </c>
      <c r="M66" s="34" t="n">
        <v>0.0024450648411616</v>
      </c>
      <c r="N66" s="34" t="n">
        <v>0.00107909065929508</v>
      </c>
      <c r="O66" s="34" t="n">
        <v>0.00162866745404416</v>
      </c>
      <c r="P66" s="34" t="n">
        <v>0.00944666275497345</v>
      </c>
      <c r="Q66" s="34" t="n">
        <v>0.000656910493470212</v>
      </c>
      <c r="R66" s="34" t="n">
        <v>0.000555439059836503</v>
      </c>
      <c r="S66" s="34" t="n">
        <v>0.000989454141856722</v>
      </c>
      <c r="T66" s="34" t="n">
        <v>0.00200453220991335</v>
      </c>
      <c r="U66" s="34" t="n">
        <v>0.00508605830334459</v>
      </c>
      <c r="V66" s="34" t="n">
        <v>0.000765605184120565</v>
      </c>
      <c r="W66" s="34" t="n">
        <v>0.000349533264446328</v>
      </c>
      <c r="X66" s="34" t="n">
        <v>4.35792682116718E-005</v>
      </c>
      <c r="Y66" s="34" t="n">
        <v>0.00182949180874696</v>
      </c>
      <c r="Z66" s="34" t="n">
        <v>0.00187415162594183</v>
      </c>
      <c r="AA66" s="34" t="n">
        <v>0.000753063432284439</v>
      </c>
      <c r="AB66" s="34" t="n">
        <v>0.00344291190148064</v>
      </c>
      <c r="AC66" s="34" t="n">
        <v>0.00173430028580892</v>
      </c>
      <c r="AD66" s="34" t="n">
        <v>0.00503384726171686</v>
      </c>
      <c r="AE66" s="34" t="n">
        <v>0.000613732267545609</v>
      </c>
      <c r="AF66" s="34" t="n">
        <v>0.000980529919826213</v>
      </c>
      <c r="AG66" s="34" t="n">
        <v>0.00204040257711868</v>
      </c>
      <c r="AH66" s="34" t="n">
        <v>0.00128810606118873</v>
      </c>
      <c r="AI66" s="34" t="n">
        <v>0.00117125233142405</v>
      </c>
      <c r="AJ66" s="34" t="n">
        <v>0.00187016528977098</v>
      </c>
      <c r="AK66" s="34" t="n">
        <v>0.00314259431441761</v>
      </c>
      <c r="AL66" s="34" t="n">
        <v>0.00293672427472372</v>
      </c>
      <c r="AM66" s="34" t="n">
        <v>0.00180371392926727</v>
      </c>
      <c r="AN66" s="34" t="n">
        <v>0.000722090163755598</v>
      </c>
      <c r="AO66" s="34" t="n">
        <v>0.00221358088669303</v>
      </c>
      <c r="AP66" s="34" t="n">
        <v>0.000820647731739848</v>
      </c>
      <c r="AQ66" s="34" t="n">
        <v>0.00717458219747132</v>
      </c>
      <c r="AR66" s="34" t="n">
        <v>0.00104046081643372</v>
      </c>
      <c r="AS66" s="34" t="n">
        <v>0.00419880719036759</v>
      </c>
      <c r="AT66" s="34" t="n">
        <v>0.00524408838877312</v>
      </c>
      <c r="AU66" s="34" t="n">
        <v>0.00437312402222271</v>
      </c>
      <c r="AV66" s="34" t="n">
        <v>0.00118705300934966</v>
      </c>
      <c r="AW66" s="34" t="n">
        <v>0.00539574221471443</v>
      </c>
      <c r="AX66" s="34" t="n">
        <v>0.0236362000942801</v>
      </c>
      <c r="AY66" s="34" t="n">
        <v>0.00370009559106158</v>
      </c>
      <c r="AZ66" s="34" t="n">
        <v>0.00271716031259721</v>
      </c>
      <c r="BA66" s="34" t="n">
        <v>0.00174121649193063</v>
      </c>
      <c r="BB66" s="34" t="n">
        <v>0.00664783745426167</v>
      </c>
      <c r="BC66" s="34" t="n">
        <v>0.00315966867640536</v>
      </c>
      <c r="BD66" s="34" t="n">
        <v>0.00379400503718847</v>
      </c>
      <c r="BE66" s="34" t="n">
        <v>0.00682351739757157</v>
      </c>
      <c r="BF66" s="34" t="n">
        <v>0.000314586215852856</v>
      </c>
      <c r="BG66" s="34" t="n">
        <v>0.0038670646576129</v>
      </c>
      <c r="BH66" s="34" t="n">
        <v>0.000189112060076075</v>
      </c>
      <c r="BI66" s="34" t="n">
        <v>0.00218374410977471</v>
      </c>
      <c r="BJ66" s="34" t="n">
        <v>0.00241257899075031</v>
      </c>
      <c r="BK66" s="34" t="n">
        <v>0.00311472973825818</v>
      </c>
      <c r="BL66" s="34" t="n">
        <v>0.00130178947959443</v>
      </c>
      <c r="BM66" s="34" t="n">
        <v>0.00839447643799123</v>
      </c>
      <c r="BN66" s="34" t="n">
        <v>0.00926298288231626</v>
      </c>
      <c r="BO66" s="34" t="n">
        <v>0.0122506570234504</v>
      </c>
      <c r="BP66" s="34" t="n">
        <v>0.00687831664647826</v>
      </c>
      <c r="BQ66" s="34" t="n">
        <v>2.43183553820256E-006</v>
      </c>
      <c r="BR66" s="34" t="n">
        <v>0.00450840743567785</v>
      </c>
      <c r="BS66" s="34" t="n">
        <v>2.36191743707051E-005</v>
      </c>
      <c r="BT66" s="34" t="n">
        <v>0</v>
      </c>
    </row>
    <row r="67" customFormat="false" ht="11.25" hidden="false" customHeight="true" outlineLevel="0" collapsed="false">
      <c r="B67" s="19" t="s">
        <v>185</v>
      </c>
      <c r="C67" s="20" t="s">
        <v>186</v>
      </c>
      <c r="D67" s="19" t="n">
        <v>61</v>
      </c>
      <c r="E67" s="33" t="n">
        <v>0.000448216721932208</v>
      </c>
      <c r="F67" s="33" t="n">
        <v>0.000467081009977204</v>
      </c>
      <c r="G67" s="33" t="n">
        <v>0.000428258026468893</v>
      </c>
      <c r="H67" s="33" t="n">
        <v>0.0012101618016152</v>
      </c>
      <c r="I67" s="33" t="n">
        <v>0.00207795313063224</v>
      </c>
      <c r="J67" s="33" t="n">
        <v>0.00199763236436994</v>
      </c>
      <c r="K67" s="33" t="n">
        <v>0.00213435958298439</v>
      </c>
      <c r="L67" s="33" t="n">
        <v>0.00151818992199288</v>
      </c>
      <c r="M67" s="33" t="n">
        <v>0.00165190612900209</v>
      </c>
      <c r="N67" s="33" t="n">
        <v>0.00214636332954114</v>
      </c>
      <c r="O67" s="33" t="n">
        <v>0.00618393951183152</v>
      </c>
      <c r="P67" s="33" t="n">
        <v>0.0035857460520688</v>
      </c>
      <c r="Q67" s="33" t="n">
        <v>0.000710339383431359</v>
      </c>
      <c r="R67" s="33" t="n">
        <v>0.000899380097702715</v>
      </c>
      <c r="S67" s="33" t="n">
        <v>0.00171925760167381</v>
      </c>
      <c r="T67" s="33" t="n">
        <v>0.00208123786403595</v>
      </c>
      <c r="U67" s="33" t="n">
        <v>0.00234855731321284</v>
      </c>
      <c r="V67" s="33" t="n">
        <v>0.000547253408302473</v>
      </c>
      <c r="W67" s="33" t="n">
        <v>0.000494390088581402</v>
      </c>
      <c r="X67" s="33" t="n">
        <v>0.000915361547044562</v>
      </c>
      <c r="Y67" s="33" t="n">
        <v>0.00412635897308606</v>
      </c>
      <c r="Z67" s="33" t="n">
        <v>0.00288647214977089</v>
      </c>
      <c r="AA67" s="33" t="n">
        <v>0.00359476632103751</v>
      </c>
      <c r="AB67" s="33" t="n">
        <v>0.00461630119179799</v>
      </c>
      <c r="AC67" s="33" t="n">
        <v>0.00149616825363042</v>
      </c>
      <c r="AD67" s="33" t="n">
        <v>0.00244478445561759</v>
      </c>
      <c r="AE67" s="33" t="n">
        <v>0.004020304620067</v>
      </c>
      <c r="AF67" s="33" t="n">
        <v>0.00334470998863636</v>
      </c>
      <c r="AG67" s="33" t="n">
        <v>0.00144228831060334</v>
      </c>
      <c r="AH67" s="33" t="n">
        <v>0.00175541070275557</v>
      </c>
      <c r="AI67" s="33" t="n">
        <v>0.00174887068766435</v>
      </c>
      <c r="AJ67" s="33" t="n">
        <v>0.00182482443519163</v>
      </c>
      <c r="AK67" s="33" t="n">
        <v>0.00273085809737985</v>
      </c>
      <c r="AL67" s="33" t="n">
        <v>0.00135209575892377</v>
      </c>
      <c r="AM67" s="33" t="n">
        <v>0.00123066924502114</v>
      </c>
      <c r="AN67" s="33" t="n">
        <v>0.000987516515723381</v>
      </c>
      <c r="AO67" s="33" t="n">
        <v>0.000869727068696563</v>
      </c>
      <c r="AP67" s="33" t="n">
        <v>0.00147712192718876</v>
      </c>
      <c r="AQ67" s="33" t="n">
        <v>0.00231355524148416</v>
      </c>
      <c r="AR67" s="33" t="n">
        <v>0.000689676794168678</v>
      </c>
      <c r="AS67" s="33" t="n">
        <v>0.00237567807901718</v>
      </c>
      <c r="AT67" s="33" t="n">
        <v>0.00313700707674402</v>
      </c>
      <c r="AU67" s="33" t="n">
        <v>0.0010474871599974</v>
      </c>
      <c r="AV67" s="33" t="n">
        <v>0.00284376898567149</v>
      </c>
      <c r="AW67" s="33" t="n">
        <v>0.00352849734685009</v>
      </c>
      <c r="AX67" s="33" t="n">
        <v>0.00369282542979447</v>
      </c>
      <c r="AY67" s="33" t="n">
        <v>0.00367427570794818</v>
      </c>
      <c r="AZ67" s="33" t="n">
        <v>0.00106581960464138</v>
      </c>
      <c r="BA67" s="33" t="n">
        <v>0.0035789703384673</v>
      </c>
      <c r="BB67" s="33" t="n">
        <v>0.00615464777328613</v>
      </c>
      <c r="BC67" s="33" t="n">
        <v>0.00242828022281174</v>
      </c>
      <c r="BD67" s="33" t="n">
        <v>0.00257114675301958</v>
      </c>
      <c r="BE67" s="33" t="n">
        <v>0.00226674173362051</v>
      </c>
      <c r="BF67" s="33" t="n">
        <v>0.000302096573759234</v>
      </c>
      <c r="BG67" s="33" t="n">
        <v>0.00412321236952924</v>
      </c>
      <c r="BH67" s="33" t="n">
        <v>0.00624235555955161</v>
      </c>
      <c r="BI67" s="33" t="n">
        <v>0.00357923433636655</v>
      </c>
      <c r="BJ67" s="33" t="n">
        <v>0.00233002190147189</v>
      </c>
      <c r="BK67" s="33" t="n">
        <v>0.0033308854796079</v>
      </c>
      <c r="BL67" s="33" t="n">
        <v>0.00163028595836592</v>
      </c>
      <c r="BM67" s="33" t="n">
        <v>0.00203297653849872</v>
      </c>
      <c r="BN67" s="33" t="n">
        <v>0.00105554282774725</v>
      </c>
      <c r="BO67" s="33" t="n">
        <v>0.00327581975604309</v>
      </c>
      <c r="BP67" s="33" t="n">
        <v>0.0022219963823672</v>
      </c>
      <c r="BQ67" s="33" t="n">
        <v>0.00146354142779248</v>
      </c>
      <c r="BR67" s="33" t="n">
        <v>0.00524061761791048</v>
      </c>
      <c r="BS67" s="33" t="n">
        <v>0.00495437782230568</v>
      </c>
      <c r="BT67" s="33" t="n">
        <v>0</v>
      </c>
    </row>
    <row r="68" customFormat="false" ht="11.25" hidden="false" customHeight="true" outlineLevel="0" collapsed="false">
      <c r="B68" s="24" t="s">
        <v>187</v>
      </c>
      <c r="C68" s="25" t="s">
        <v>188</v>
      </c>
      <c r="D68" s="24" t="n">
        <v>62</v>
      </c>
      <c r="E68" s="34" t="n">
        <v>2.63663856762539E-006</v>
      </c>
      <c r="F68" s="34" t="n">
        <v>7.46656565795731E-007</v>
      </c>
      <c r="G68" s="34" t="n">
        <v>1.14707020371647E-006</v>
      </c>
      <c r="H68" s="34" t="n">
        <v>5.59739359810879E-005</v>
      </c>
      <c r="I68" s="34" t="n">
        <v>2.52098282879544E-005</v>
      </c>
      <c r="J68" s="34" t="n">
        <v>0.000390391255878023</v>
      </c>
      <c r="K68" s="34" t="n">
        <v>3.75109171269165E-005</v>
      </c>
      <c r="L68" s="34" t="n">
        <v>9.01089566636154E-005</v>
      </c>
      <c r="M68" s="34" t="n">
        <v>6.59731572818795E-005</v>
      </c>
      <c r="N68" s="34" t="n">
        <v>4.65262082712588E-005</v>
      </c>
      <c r="O68" s="34" t="n">
        <v>0.000300969766163661</v>
      </c>
      <c r="P68" s="34" t="n">
        <v>0.000365240177114595</v>
      </c>
      <c r="Q68" s="34" t="n">
        <v>9.89598753560265E-006</v>
      </c>
      <c r="R68" s="34" t="n">
        <v>7.16637073743782E-005</v>
      </c>
      <c r="S68" s="34" t="n">
        <v>0.000146782798056206</v>
      </c>
      <c r="T68" s="34" t="n">
        <v>9.67601173333623E-005</v>
      </c>
      <c r="U68" s="34" t="n">
        <v>0.000103816076279522</v>
      </c>
      <c r="V68" s="34" t="n">
        <v>1.97545606669102E-005</v>
      </c>
      <c r="W68" s="34" t="n">
        <v>5.47035931228001E-006</v>
      </c>
      <c r="X68" s="34" t="n">
        <v>9.58594399131088E-006</v>
      </c>
      <c r="Y68" s="34" t="n">
        <v>0.000151357205428992</v>
      </c>
      <c r="Z68" s="34" t="n">
        <v>9.23597667990175E-005</v>
      </c>
      <c r="AA68" s="34" t="n">
        <v>0.000324106167952027</v>
      </c>
      <c r="AB68" s="34" t="n">
        <v>0.000806466397816457</v>
      </c>
      <c r="AC68" s="34" t="n">
        <v>7.9148371667308E-005</v>
      </c>
      <c r="AD68" s="34" t="n">
        <v>0.000103924867862942</v>
      </c>
      <c r="AE68" s="34" t="n">
        <v>7.56231793401609E-005</v>
      </c>
      <c r="AF68" s="34" t="n">
        <v>0.000412111378945449</v>
      </c>
      <c r="AG68" s="34" t="n">
        <v>4.43401477593298E-005</v>
      </c>
      <c r="AH68" s="34" t="n">
        <v>0.000112274187257348</v>
      </c>
      <c r="AI68" s="34" t="n">
        <v>0.000436767277785626</v>
      </c>
      <c r="AJ68" s="34" t="n">
        <v>0.000240546640829806</v>
      </c>
      <c r="AK68" s="34" t="n">
        <v>0.000337955911424441</v>
      </c>
      <c r="AL68" s="34" t="n">
        <v>0.000348060275553483</v>
      </c>
      <c r="AM68" s="34" t="n">
        <v>0.000159084476842806</v>
      </c>
      <c r="AN68" s="34" t="n">
        <v>7.83341901565509E-005</v>
      </c>
      <c r="AO68" s="34" t="n">
        <v>1.26118469762648E-005</v>
      </c>
      <c r="AP68" s="34" t="n">
        <v>7.17297472376916E-005</v>
      </c>
      <c r="AQ68" s="34" t="n">
        <v>4.74463593744234E-005</v>
      </c>
      <c r="AR68" s="34" t="n">
        <v>1.87124233005527E-005</v>
      </c>
      <c r="AS68" s="34" t="n">
        <v>3.25418129228106E-005</v>
      </c>
      <c r="AT68" s="34" t="n">
        <v>9.8939903180832E-005</v>
      </c>
      <c r="AU68" s="34" t="n">
        <v>3.0353337642514E-005</v>
      </c>
      <c r="AV68" s="34" t="n">
        <v>3.62338834405493E-005</v>
      </c>
      <c r="AW68" s="34" t="n">
        <v>2.19536478019085E-005</v>
      </c>
      <c r="AX68" s="34" t="n">
        <v>7.59534506660956E-005</v>
      </c>
      <c r="AY68" s="34" t="n">
        <v>4.75677173988623E-005</v>
      </c>
      <c r="AZ68" s="34" t="n">
        <v>1.71177011530584E-005</v>
      </c>
      <c r="BA68" s="34" t="n">
        <v>5.82199992174524E-005</v>
      </c>
      <c r="BB68" s="34" t="n">
        <v>3.74009640368645E-005</v>
      </c>
      <c r="BC68" s="34" t="n">
        <v>0.000179862527734235</v>
      </c>
      <c r="BD68" s="34" t="n">
        <v>0.000212910391304934</v>
      </c>
      <c r="BE68" s="34" t="n">
        <v>5.89760029630969E-005</v>
      </c>
      <c r="BF68" s="34" t="n">
        <v>3.8603447131893E-006</v>
      </c>
      <c r="BG68" s="34" t="n">
        <v>0.000130656180982087</v>
      </c>
      <c r="BH68" s="34" t="n">
        <v>0.00301486825054719</v>
      </c>
      <c r="BI68" s="34" t="n">
        <v>6.08913893827831E-005</v>
      </c>
      <c r="BJ68" s="34" t="n">
        <v>0.000172650833587608</v>
      </c>
      <c r="BK68" s="34" t="n">
        <v>8.22816661756548E-005</v>
      </c>
      <c r="BL68" s="34" t="n">
        <v>5.22708084955172E-005</v>
      </c>
      <c r="BM68" s="34" t="n">
        <v>2.81978465766246E-005</v>
      </c>
      <c r="BN68" s="34" t="n">
        <v>2.22306460576679E-005</v>
      </c>
      <c r="BO68" s="34" t="n">
        <v>4.98069052894366E-005</v>
      </c>
      <c r="BP68" s="34" t="n">
        <v>6.31015225834228E-005</v>
      </c>
      <c r="BQ68" s="34" t="n">
        <v>8.51213697631113E-005</v>
      </c>
      <c r="BR68" s="34" t="n">
        <v>8.07031236286875E-005</v>
      </c>
      <c r="BS68" s="34" t="n">
        <v>8.60330229370878E-005</v>
      </c>
      <c r="BT68" s="34" t="n">
        <v>0</v>
      </c>
    </row>
    <row r="69" customFormat="false" ht="11.25" hidden="false" customHeight="true" outlineLevel="0" collapsed="false">
      <c r="B69" s="19" t="s">
        <v>189</v>
      </c>
      <c r="C69" s="20" t="s">
        <v>190</v>
      </c>
      <c r="D69" s="19" t="n">
        <v>63</v>
      </c>
      <c r="E69" s="33" t="n">
        <v>6.89916837694115E-006</v>
      </c>
      <c r="F69" s="33" t="n">
        <v>4.67354542872426E-006</v>
      </c>
      <c r="G69" s="33" t="n">
        <v>1.30728881254322E-007</v>
      </c>
      <c r="H69" s="33" t="n">
        <v>4.88714146519887E-005</v>
      </c>
      <c r="I69" s="33" t="n">
        <v>0.000200070994242017</v>
      </c>
      <c r="J69" s="33" t="n">
        <v>0.00232589526359609</v>
      </c>
      <c r="K69" s="33" t="n">
        <v>0.00216386962358273</v>
      </c>
      <c r="L69" s="33" t="n">
        <v>0.000104307725470804</v>
      </c>
      <c r="M69" s="33" t="n">
        <v>2.82073971441015E-005</v>
      </c>
      <c r="N69" s="33" t="n">
        <v>0.000147011032169281</v>
      </c>
      <c r="O69" s="33" t="n">
        <v>2.6276345657336E-005</v>
      </c>
      <c r="P69" s="33" t="n">
        <v>6.91077488589249E-005</v>
      </c>
      <c r="Q69" s="33" t="n">
        <v>6.18457053180716E-005</v>
      </c>
      <c r="R69" s="33" t="n">
        <v>4.95709743321291E-005</v>
      </c>
      <c r="S69" s="33" t="n">
        <v>8.348998388525E-005</v>
      </c>
      <c r="T69" s="33" t="n">
        <v>4.5791853133059E-005</v>
      </c>
      <c r="U69" s="33" t="n">
        <v>0.000636467580253936</v>
      </c>
      <c r="V69" s="33" t="n">
        <v>1.26425595984082E-005</v>
      </c>
      <c r="W69" s="33" t="n">
        <v>4.16771666914484E-005</v>
      </c>
      <c r="X69" s="33" t="n">
        <v>2.68891545071594E-005</v>
      </c>
      <c r="Y69" s="33" t="n">
        <v>0.000135164714965486</v>
      </c>
      <c r="Z69" s="33" t="n">
        <v>0.000576102051548794</v>
      </c>
      <c r="AA69" s="33" t="n">
        <v>2.70017940605449E-005</v>
      </c>
      <c r="AB69" s="33" t="n">
        <v>0.000117561123658642</v>
      </c>
      <c r="AC69" s="33" t="n">
        <v>6.91505986563042E-005</v>
      </c>
      <c r="AD69" s="33" t="n">
        <v>5.57781033387193E-005</v>
      </c>
      <c r="AE69" s="33" t="n">
        <v>0.00201710351645456</v>
      </c>
      <c r="AF69" s="33" t="n">
        <v>0.00143169120647386</v>
      </c>
      <c r="AG69" s="33" t="n">
        <v>0.00087103400011997</v>
      </c>
      <c r="AH69" s="33" t="n">
        <v>4.09768109984049E-005</v>
      </c>
      <c r="AI69" s="33" t="n">
        <v>7.50343935238903E-005</v>
      </c>
      <c r="AJ69" s="33" t="n">
        <v>0.00028975853719093</v>
      </c>
      <c r="AK69" s="33" t="n">
        <v>0.000732067070177293</v>
      </c>
      <c r="AL69" s="33" t="n">
        <v>4.18134556295175E-005</v>
      </c>
      <c r="AM69" s="33" t="n">
        <v>2.3024372322578E-005</v>
      </c>
      <c r="AN69" s="33" t="n">
        <v>3.98998486632131E-005</v>
      </c>
      <c r="AO69" s="33" t="n">
        <v>0.000118143344619404</v>
      </c>
      <c r="AP69" s="33" t="n">
        <v>0.00037358974350497</v>
      </c>
      <c r="AQ69" s="33" t="n">
        <v>1.49870272661801E-005</v>
      </c>
      <c r="AR69" s="33" t="n">
        <v>4.96150092342161E-006</v>
      </c>
      <c r="AS69" s="33" t="n">
        <v>0.000181398049380525</v>
      </c>
      <c r="AT69" s="33" t="n">
        <v>0.00112654199386041</v>
      </c>
      <c r="AU69" s="33" t="n">
        <v>0.00396060649100232</v>
      </c>
      <c r="AV69" s="33" t="n">
        <v>0.0047726679415933</v>
      </c>
      <c r="AW69" s="33" t="n">
        <v>0.000329830335527959</v>
      </c>
      <c r="AX69" s="33" t="n">
        <v>0.00265522646468348</v>
      </c>
      <c r="AY69" s="33" t="n">
        <v>7.65584226292458E-005</v>
      </c>
      <c r="AZ69" s="33" t="n">
        <v>1.55879365414307E-005</v>
      </c>
      <c r="BA69" s="33" t="n">
        <v>7.76440077001506E-005</v>
      </c>
      <c r="BB69" s="33" t="n">
        <v>4.99828702298655E-005</v>
      </c>
      <c r="BC69" s="33" t="n">
        <v>0.000398898420375691</v>
      </c>
      <c r="BD69" s="33" t="n">
        <v>2.70639713814365E-005</v>
      </c>
      <c r="BE69" s="33" t="n">
        <v>0.00386968039722138</v>
      </c>
      <c r="BF69" s="33" t="n">
        <v>2.29828391074172E-006</v>
      </c>
      <c r="BG69" s="33" t="n">
        <v>0.0145357023849469</v>
      </c>
      <c r="BH69" s="33" t="n">
        <v>0.00329242862946612</v>
      </c>
      <c r="BI69" s="33" t="n">
        <v>0.00818910734124674</v>
      </c>
      <c r="BJ69" s="33" t="n">
        <v>0.00151804956764577</v>
      </c>
      <c r="BK69" s="33" t="n">
        <v>0.0096717326652814</v>
      </c>
      <c r="BL69" s="33" t="n">
        <v>0.00490398119214768</v>
      </c>
      <c r="BM69" s="33" t="n">
        <v>0.000458463014387406</v>
      </c>
      <c r="BN69" s="33" t="n">
        <v>0.000609682023910351</v>
      </c>
      <c r="BO69" s="33" t="n">
        <v>2.81797430979781E-005</v>
      </c>
      <c r="BP69" s="33" t="n">
        <v>0.0029068986449634</v>
      </c>
      <c r="BQ69" s="33" t="n">
        <v>6.56163601065873E-006</v>
      </c>
      <c r="BR69" s="33" t="n">
        <v>7.01676575270889E-005</v>
      </c>
      <c r="BS69" s="33" t="n">
        <v>0.00374191734962788</v>
      </c>
      <c r="BT69" s="33" t="n">
        <v>0</v>
      </c>
    </row>
    <row r="70" customFormat="false" ht="11.25" hidden="false" customHeight="true" outlineLevel="0" collapsed="false">
      <c r="B70" s="24" t="s">
        <v>191</v>
      </c>
      <c r="C70" s="25" t="s">
        <v>192</v>
      </c>
      <c r="D70" s="24" t="n">
        <v>64</v>
      </c>
      <c r="E70" s="34" t="n">
        <v>5.39939194236856E-008</v>
      </c>
      <c r="F70" s="34" t="n">
        <v>4.6389058254911E-009</v>
      </c>
      <c r="G70" s="34" t="n">
        <v>4.69137348210344E-009</v>
      </c>
      <c r="H70" s="34" t="n">
        <v>2.77468392005787E-006</v>
      </c>
      <c r="I70" s="34" t="n">
        <v>4.00342385373416E-007</v>
      </c>
      <c r="J70" s="34" t="n">
        <v>4.03232665744459E-005</v>
      </c>
      <c r="K70" s="34" t="n">
        <v>3.16421852705215E-007</v>
      </c>
      <c r="L70" s="34" t="n">
        <v>8.65467249529663E-006</v>
      </c>
      <c r="M70" s="34" t="n">
        <v>5.789810217549E-006</v>
      </c>
      <c r="N70" s="34" t="n">
        <v>3.59002063132165E-006</v>
      </c>
      <c r="O70" s="34" t="n">
        <v>3.0562964311387E-005</v>
      </c>
      <c r="P70" s="34" t="n">
        <v>3.74098344881589E-005</v>
      </c>
      <c r="Q70" s="34" t="n">
        <v>8.85206373623401E-008</v>
      </c>
      <c r="R70" s="34" t="n">
        <v>6.78290205420096E-006</v>
      </c>
      <c r="S70" s="34" t="n">
        <v>1.49751280911384E-005</v>
      </c>
      <c r="T70" s="34" t="n">
        <v>1.01356906176218E-005</v>
      </c>
      <c r="U70" s="34" t="n">
        <v>9.57226279976999E-006</v>
      </c>
      <c r="V70" s="34" t="n">
        <v>1.67540696254194E-006</v>
      </c>
      <c r="W70" s="34" t="n">
        <v>7.32877092361907E-008</v>
      </c>
      <c r="X70" s="34" t="n">
        <v>1.5478885550107E-007</v>
      </c>
      <c r="Y70" s="34" t="n">
        <v>1.46811132223405E-005</v>
      </c>
      <c r="Z70" s="34" t="n">
        <v>7.50584875356508E-006</v>
      </c>
      <c r="AA70" s="34" t="n">
        <v>3.35922436142671E-005</v>
      </c>
      <c r="AB70" s="34" t="n">
        <v>8.5729289100817E-005</v>
      </c>
      <c r="AC70" s="34" t="n">
        <v>7.39498009140389E-006</v>
      </c>
      <c r="AD70" s="34" t="n">
        <v>9.25104791213463E-006</v>
      </c>
      <c r="AE70" s="34" t="n">
        <v>6.04362424680815E-006</v>
      </c>
      <c r="AF70" s="34" t="n">
        <v>4.34511454094987E-005</v>
      </c>
      <c r="AG70" s="34" t="n">
        <v>2.82193457902027E-006</v>
      </c>
      <c r="AH70" s="34" t="n">
        <v>1.04253946294222E-005</v>
      </c>
      <c r="AI70" s="34" t="n">
        <v>4.69202666036195E-005</v>
      </c>
      <c r="AJ70" s="34" t="n">
        <v>2.37729790928619E-005</v>
      </c>
      <c r="AK70" s="34" t="n">
        <v>3.54706286629705E-005</v>
      </c>
      <c r="AL70" s="34" t="n">
        <v>3.74541993086102E-005</v>
      </c>
      <c r="AM70" s="34" t="n">
        <v>1.68742353951221E-005</v>
      </c>
      <c r="AN70" s="34" t="n">
        <v>7.73044790397092E-006</v>
      </c>
      <c r="AO70" s="34" t="n">
        <v>4.42692134679308E-007</v>
      </c>
      <c r="AP70" s="34" t="n">
        <v>6.33106574661934E-006</v>
      </c>
      <c r="AQ70" s="34" t="n">
        <v>3.73043302733176E-006</v>
      </c>
      <c r="AR70" s="34" t="n">
        <v>1.10886915959143E-006</v>
      </c>
      <c r="AS70" s="34" t="n">
        <v>2.69294953571837E-007</v>
      </c>
      <c r="AT70" s="34" t="n">
        <v>4.79444280502139E-006</v>
      </c>
      <c r="AU70" s="34" t="n">
        <v>6.87599797988045E-008</v>
      </c>
      <c r="AV70" s="34" t="n">
        <v>6.78272498191406E-008</v>
      </c>
      <c r="AW70" s="34" t="n">
        <v>7.04122276587521E-008</v>
      </c>
      <c r="AX70" s="34" t="n">
        <v>1.11284019362141E-006</v>
      </c>
      <c r="AY70" s="34" t="n">
        <v>2.43014561215161E-007</v>
      </c>
      <c r="AZ70" s="34" t="n">
        <v>1.20347463553639E-007</v>
      </c>
      <c r="BA70" s="34" t="n">
        <v>3.83269970815107E-006</v>
      </c>
      <c r="BB70" s="34" t="n">
        <v>3.0581229933495E-007</v>
      </c>
      <c r="BC70" s="34" t="n">
        <v>9.37744999840461E-006</v>
      </c>
      <c r="BD70" s="34" t="n">
        <v>1.91146459165074E-005</v>
      </c>
      <c r="BE70" s="34" t="n">
        <v>4.14056917204631E-007</v>
      </c>
      <c r="BF70" s="34" t="n">
        <v>3.18511107954802E-008</v>
      </c>
      <c r="BG70" s="34" t="n">
        <v>4.18949290010289E-007</v>
      </c>
      <c r="BH70" s="34" t="n">
        <v>0.000326369986211103</v>
      </c>
      <c r="BI70" s="34" t="n">
        <v>7.07095981927932E-008</v>
      </c>
      <c r="BJ70" s="34" t="n">
        <v>1.53363353605588E-005</v>
      </c>
      <c r="BK70" s="34" t="n">
        <v>6.80677846449459E-007</v>
      </c>
      <c r="BL70" s="34" t="n">
        <v>1.91255589956524E-007</v>
      </c>
      <c r="BM70" s="34" t="n">
        <v>6.50227956551676E-007</v>
      </c>
      <c r="BN70" s="34" t="n">
        <v>2.27606311292895E-007</v>
      </c>
      <c r="BO70" s="34" t="n">
        <v>5.01568815994151E-007</v>
      </c>
      <c r="BP70" s="34" t="n">
        <v>3.7107520744795E-006</v>
      </c>
      <c r="BQ70" s="34" t="n">
        <v>0.00109072192821397</v>
      </c>
      <c r="BR70" s="34" t="n">
        <v>5.64953488783359E-007</v>
      </c>
      <c r="BS70" s="34" t="n">
        <v>2.10222459011219E-007</v>
      </c>
      <c r="BT70" s="34" t="n">
        <v>0</v>
      </c>
    </row>
    <row r="71" customFormat="false" ht="11.25" hidden="false" customHeight="true" outlineLevel="0" collapsed="false">
      <c r="B71" s="19" t="s">
        <v>193</v>
      </c>
      <c r="C71" s="20" t="s">
        <v>194</v>
      </c>
      <c r="D71" s="19" t="n">
        <v>65</v>
      </c>
      <c r="E71" s="33" t="n">
        <v>2.4377755106725E-008</v>
      </c>
      <c r="F71" s="33" t="n">
        <v>5.82820866384033E-008</v>
      </c>
      <c r="G71" s="33" t="n">
        <v>3.49742201797278E-007</v>
      </c>
      <c r="H71" s="33" t="n">
        <v>2.08961157555927E-006</v>
      </c>
      <c r="I71" s="33" t="n">
        <v>3.6634782493121E-006</v>
      </c>
      <c r="J71" s="33" t="n">
        <v>1.436757531286E-006</v>
      </c>
      <c r="K71" s="33" t="n">
        <v>2.51750448672155E-006</v>
      </c>
      <c r="L71" s="33" t="n">
        <v>4.76059997572416E-006</v>
      </c>
      <c r="M71" s="33" t="n">
        <v>5.38543974083604E-006</v>
      </c>
      <c r="N71" s="33" t="n">
        <v>2.970359049393E-006</v>
      </c>
      <c r="O71" s="33" t="n">
        <v>2.17382589903461E-006</v>
      </c>
      <c r="P71" s="33" t="n">
        <v>3.59461163575637E-006</v>
      </c>
      <c r="Q71" s="33" t="n">
        <v>1.17602566935777E-005</v>
      </c>
      <c r="R71" s="33" t="n">
        <v>1.21948835999044E-005</v>
      </c>
      <c r="S71" s="33" t="n">
        <v>4.39227207697439E-006</v>
      </c>
      <c r="T71" s="33" t="n">
        <v>2.46050708072814E-006</v>
      </c>
      <c r="U71" s="33" t="n">
        <v>3.4898637897892E-006</v>
      </c>
      <c r="V71" s="33" t="n">
        <v>5.02671173865506E-006</v>
      </c>
      <c r="W71" s="33" t="n">
        <v>9.72405197997193E-007</v>
      </c>
      <c r="X71" s="33" t="n">
        <v>5.08160873214578E-006</v>
      </c>
      <c r="Y71" s="33" t="n">
        <v>2.4724293179136E-006</v>
      </c>
      <c r="Z71" s="33" t="n">
        <v>2.3717093517798E-006</v>
      </c>
      <c r="AA71" s="33" t="n">
        <v>6.9910218450788E-006</v>
      </c>
      <c r="AB71" s="33" t="n">
        <v>8.29175549119019E-006</v>
      </c>
      <c r="AC71" s="33" t="n">
        <v>6.54968799618983E-006</v>
      </c>
      <c r="AD71" s="33" t="n">
        <v>4.28426156432782E-006</v>
      </c>
      <c r="AE71" s="33" t="n">
        <v>4.31229381139698E-006</v>
      </c>
      <c r="AF71" s="33" t="n">
        <v>9.56720121126022E-007</v>
      </c>
      <c r="AG71" s="33" t="n">
        <v>4.94277896502043E-006</v>
      </c>
      <c r="AH71" s="33" t="n">
        <v>3.2967519657703E-006</v>
      </c>
      <c r="AI71" s="33" t="n">
        <v>3.53839164657091E-006</v>
      </c>
      <c r="AJ71" s="33" t="n">
        <v>3.41366027380319E-006</v>
      </c>
      <c r="AK71" s="33" t="n">
        <v>1.7540479505129E-006</v>
      </c>
      <c r="AL71" s="33" t="n">
        <v>4.60382761468139E-006</v>
      </c>
      <c r="AM71" s="33" t="n">
        <v>2.53913010682534E-006</v>
      </c>
      <c r="AN71" s="33" t="n">
        <v>6.02989492061277E-006</v>
      </c>
      <c r="AO71" s="33" t="n">
        <v>1.29654070498334E-006</v>
      </c>
      <c r="AP71" s="33" t="n">
        <v>4.76282205941871E-006</v>
      </c>
      <c r="AQ71" s="33" t="n">
        <v>7.6561062629451E-006</v>
      </c>
      <c r="AR71" s="33" t="n">
        <v>3.65226549503568E-006</v>
      </c>
      <c r="AS71" s="33" t="n">
        <v>4.0284877704327E-005</v>
      </c>
      <c r="AT71" s="33" t="n">
        <v>6.62632503856745E-005</v>
      </c>
      <c r="AU71" s="33" t="n">
        <v>6.42274457103794E-006</v>
      </c>
      <c r="AV71" s="33" t="n">
        <v>6.88738476568718E-006</v>
      </c>
      <c r="AW71" s="33" t="n">
        <v>5.34868214703371E-006</v>
      </c>
      <c r="AX71" s="33" t="n">
        <v>4.26694756462364E-005</v>
      </c>
      <c r="AY71" s="33" t="n">
        <v>8.2550426851463E-005</v>
      </c>
      <c r="AZ71" s="33" t="n">
        <v>4.17027912666847E-005</v>
      </c>
      <c r="BA71" s="33" t="n">
        <v>1.95549692876899E-005</v>
      </c>
      <c r="BB71" s="33" t="n">
        <v>2.19894902852443E-005</v>
      </c>
      <c r="BC71" s="33" t="n">
        <v>2.26781599831367E-005</v>
      </c>
      <c r="BD71" s="33" t="n">
        <v>2.21439119447219E-005</v>
      </c>
      <c r="BE71" s="33" t="n">
        <v>1.45266899891902E-005</v>
      </c>
      <c r="BF71" s="33" t="n">
        <v>6.14865565730903E-006</v>
      </c>
      <c r="BG71" s="33" t="n">
        <v>4.46874551213573E-005</v>
      </c>
      <c r="BH71" s="33" t="n">
        <v>2.95267167277384E-005</v>
      </c>
      <c r="BI71" s="33" t="n">
        <v>2.12765057432406E-005</v>
      </c>
      <c r="BJ71" s="33" t="n">
        <v>3.85396727198194E-005</v>
      </c>
      <c r="BK71" s="33" t="n">
        <v>2.48398842914608E-005</v>
      </c>
      <c r="BL71" s="33" t="n">
        <v>1.32899565409662E-005</v>
      </c>
      <c r="BM71" s="33" t="n">
        <v>5.77180200727166E-005</v>
      </c>
      <c r="BN71" s="33" t="n">
        <v>1.53751249698839E-005</v>
      </c>
      <c r="BO71" s="33" t="n">
        <v>7.40475994425468E-005</v>
      </c>
      <c r="BP71" s="33" t="n">
        <v>0.000381751627349402</v>
      </c>
      <c r="BQ71" s="33" t="n">
        <v>0.123595610259732</v>
      </c>
      <c r="BR71" s="33" t="n">
        <v>0.000183275000833342</v>
      </c>
      <c r="BS71" s="33" t="n">
        <v>4.50366015889091E-005</v>
      </c>
      <c r="BT71" s="33" t="n">
        <v>0</v>
      </c>
    </row>
    <row r="72" customFormat="false" ht="11.25" hidden="false" customHeight="true" outlineLevel="0" collapsed="false">
      <c r="B72" s="24" t="s">
        <v>195</v>
      </c>
      <c r="C72" s="25" t="s">
        <v>196</v>
      </c>
      <c r="D72" s="24" t="n">
        <v>66</v>
      </c>
      <c r="E72" s="34" t="n">
        <v>8.17149413014254E-007</v>
      </c>
      <c r="F72" s="34" t="n">
        <v>5.76799935599065E-005</v>
      </c>
      <c r="G72" s="34" t="n">
        <v>6.43632189548986E-005</v>
      </c>
      <c r="H72" s="34" t="n">
        <v>4.79795850709954E-005</v>
      </c>
      <c r="I72" s="34" t="n">
        <v>8.15440724799829E-005</v>
      </c>
      <c r="J72" s="34" t="n">
        <v>6.13121360618658E-006</v>
      </c>
      <c r="K72" s="34" t="n">
        <v>9.58852846080257E-006</v>
      </c>
      <c r="L72" s="34" t="n">
        <v>0.000263231210013102</v>
      </c>
      <c r="M72" s="34" t="n">
        <v>0.000117251010759973</v>
      </c>
      <c r="N72" s="34" t="n">
        <v>0.000304707830301339</v>
      </c>
      <c r="O72" s="34" t="n">
        <v>0.00154740329330789</v>
      </c>
      <c r="P72" s="34" t="n">
        <v>0.000436711948288962</v>
      </c>
      <c r="Q72" s="34" t="n">
        <v>7.7059490818416E-005</v>
      </c>
      <c r="R72" s="34" t="n">
        <v>0.000179014753401613</v>
      </c>
      <c r="S72" s="34" t="n">
        <v>0.000463694882179609</v>
      </c>
      <c r="T72" s="34" t="n">
        <v>6.00797240113468E-005</v>
      </c>
      <c r="U72" s="34" t="n">
        <v>0.000189261332263326</v>
      </c>
      <c r="V72" s="34" t="n">
        <v>7.28645806152179E-005</v>
      </c>
      <c r="W72" s="34" t="n">
        <v>1.85387569518215E-005</v>
      </c>
      <c r="X72" s="34" t="n">
        <v>6.26392806164329E-005</v>
      </c>
      <c r="Y72" s="34" t="n">
        <v>3.68054978153317E-005</v>
      </c>
      <c r="Z72" s="34" t="n">
        <v>0.000180285810550876</v>
      </c>
      <c r="AA72" s="34" t="n">
        <v>0.00059796229855547</v>
      </c>
      <c r="AB72" s="34" t="n">
        <v>0.000705698859888861</v>
      </c>
      <c r="AC72" s="34" t="n">
        <v>0.000141763117053225</v>
      </c>
      <c r="AD72" s="34" t="n">
        <v>0.000114133425219016</v>
      </c>
      <c r="AE72" s="34" t="n">
        <v>7.6307005096439E-005</v>
      </c>
      <c r="AF72" s="34" t="n">
        <v>2.37152198841863E-005</v>
      </c>
      <c r="AG72" s="34" t="n">
        <v>0.000158154718689667</v>
      </c>
      <c r="AH72" s="34" t="n">
        <v>0.00031801788914273</v>
      </c>
      <c r="AI72" s="34" t="n">
        <v>0.000205574934812899</v>
      </c>
      <c r="AJ72" s="34" t="n">
        <v>0.000137242553938529</v>
      </c>
      <c r="AK72" s="34" t="n">
        <v>0.000511413239110945</v>
      </c>
      <c r="AL72" s="34" t="n">
        <v>4.03842928985502E-005</v>
      </c>
      <c r="AM72" s="34" t="n">
        <v>0.000142882415606553</v>
      </c>
      <c r="AN72" s="34" t="n">
        <v>0.00015708306108645</v>
      </c>
      <c r="AO72" s="34" t="n">
        <v>4.34118065303087E-005</v>
      </c>
      <c r="AP72" s="34" t="n">
        <v>0.000194471578839442</v>
      </c>
      <c r="AQ72" s="34" t="n">
        <v>6.89036826710136E-005</v>
      </c>
      <c r="AR72" s="34" t="n">
        <v>6.56297323946948E-005</v>
      </c>
      <c r="AS72" s="34" t="n">
        <v>0.000370595814542441</v>
      </c>
      <c r="AT72" s="34" t="n">
        <v>0.000487318031572341</v>
      </c>
      <c r="AU72" s="34" t="n">
        <v>5.66825481463045E-005</v>
      </c>
      <c r="AV72" s="34" t="n">
        <v>6.19156669031494E-005</v>
      </c>
      <c r="AW72" s="34" t="n">
        <v>0.000114362518365085</v>
      </c>
      <c r="AX72" s="34" t="n">
        <v>0.000276401043692195</v>
      </c>
      <c r="AY72" s="34" t="n">
        <v>0.00083257539564192</v>
      </c>
      <c r="AZ72" s="34" t="n">
        <v>9.80469591837863E-005</v>
      </c>
      <c r="BA72" s="34" t="n">
        <v>0.000960828536876562</v>
      </c>
      <c r="BB72" s="34" t="n">
        <v>0.0440093579246471</v>
      </c>
      <c r="BC72" s="34" t="n">
        <v>0.00192990452714887</v>
      </c>
      <c r="BD72" s="34" t="n">
        <v>0.000349295534298969</v>
      </c>
      <c r="BE72" s="34" t="n">
        <v>0.000356568033253521</v>
      </c>
      <c r="BF72" s="34" t="n">
        <v>3.59872164287672E-005</v>
      </c>
      <c r="BG72" s="34" t="n">
        <v>0.000502300038921832</v>
      </c>
      <c r="BH72" s="34" t="n">
        <v>0.000184272649874569</v>
      </c>
      <c r="BI72" s="34" t="n">
        <v>0.00121946285974404</v>
      </c>
      <c r="BJ72" s="34" t="n">
        <v>0.000490839063315943</v>
      </c>
      <c r="BK72" s="34" t="n">
        <v>0.000225922605944109</v>
      </c>
      <c r="BL72" s="34" t="n">
        <v>0.000134853340824314</v>
      </c>
      <c r="BM72" s="34" t="n">
        <v>0.000771266546935724</v>
      </c>
      <c r="BN72" s="34" t="n">
        <v>0.000231422540579139</v>
      </c>
      <c r="BO72" s="34" t="n">
        <v>0.000554172670835865</v>
      </c>
      <c r="BP72" s="34" t="n">
        <v>0.000395253941782364</v>
      </c>
      <c r="BQ72" s="34" t="n">
        <v>1.04727127200744E-005</v>
      </c>
      <c r="BR72" s="34" t="n">
        <v>0.019139878832048</v>
      </c>
      <c r="BS72" s="34" t="n">
        <v>0.0053298094256197</v>
      </c>
      <c r="BT72" s="34" t="n">
        <v>0</v>
      </c>
    </row>
    <row r="73" customFormat="false" ht="11.25" hidden="false" customHeight="true" outlineLevel="0" collapsed="false">
      <c r="B73" s="19" t="s">
        <v>197</v>
      </c>
      <c r="C73" s="20" t="s">
        <v>198</v>
      </c>
      <c r="D73" s="19" t="n">
        <v>67</v>
      </c>
      <c r="E73" s="33" t="n">
        <v>0.000297174277315621</v>
      </c>
      <c r="F73" s="33" t="n">
        <v>0.000191593683580679</v>
      </c>
      <c r="G73" s="33" t="n">
        <v>0.000585589184341948</v>
      </c>
      <c r="H73" s="33" t="n">
        <v>0.00228343565179123</v>
      </c>
      <c r="I73" s="33" t="n">
        <v>0.00406709325614275</v>
      </c>
      <c r="J73" s="33" t="n">
        <v>0.00389989014666387</v>
      </c>
      <c r="K73" s="33" t="n">
        <v>0.0041010031208717</v>
      </c>
      <c r="L73" s="33" t="n">
        <v>0.00145240394010732</v>
      </c>
      <c r="M73" s="33" t="n">
        <v>0.00206569582803441</v>
      </c>
      <c r="N73" s="33" t="n">
        <v>0.00115399436656881</v>
      </c>
      <c r="O73" s="33" t="n">
        <v>0.00213676103041986</v>
      </c>
      <c r="P73" s="33" t="n">
        <v>0.00178952252818416</v>
      </c>
      <c r="Q73" s="33" t="n">
        <v>0.00160938969186514</v>
      </c>
      <c r="R73" s="33" t="n">
        <v>0.00229781509945885</v>
      </c>
      <c r="S73" s="33" t="n">
        <v>0.00187343690333068</v>
      </c>
      <c r="T73" s="33" t="n">
        <v>0.00315192748647268</v>
      </c>
      <c r="U73" s="33" t="n">
        <v>0.00222362689043525</v>
      </c>
      <c r="V73" s="33" t="n">
        <v>0.002576086992154</v>
      </c>
      <c r="W73" s="33" t="n">
        <v>0.000497953768228198</v>
      </c>
      <c r="X73" s="33" t="n">
        <v>0.00119611333685403</v>
      </c>
      <c r="Y73" s="33" t="n">
        <v>0.00101400071496691</v>
      </c>
      <c r="Z73" s="33" t="n">
        <v>0.000953861203272184</v>
      </c>
      <c r="AA73" s="33" t="n">
        <v>0.00132738220573429</v>
      </c>
      <c r="AB73" s="33" t="n">
        <v>0.0022676256246934</v>
      </c>
      <c r="AC73" s="33" t="n">
        <v>0.0020405765400048</v>
      </c>
      <c r="AD73" s="33" t="n">
        <v>0.00254719291244737</v>
      </c>
      <c r="AE73" s="33" t="n">
        <v>0.001432191002112</v>
      </c>
      <c r="AF73" s="33" t="n">
        <v>0.0010817209063277</v>
      </c>
      <c r="AG73" s="33" t="n">
        <v>0.00316476071216342</v>
      </c>
      <c r="AH73" s="33" t="n">
        <v>0.00277551196207624</v>
      </c>
      <c r="AI73" s="33" t="n">
        <v>0.00210475119697717</v>
      </c>
      <c r="AJ73" s="33" t="n">
        <v>0.00225212221464356</v>
      </c>
      <c r="AK73" s="33" t="n">
        <v>0.00166169376420264</v>
      </c>
      <c r="AL73" s="33" t="n">
        <v>0.00189711813142233</v>
      </c>
      <c r="AM73" s="33" t="n">
        <v>0.00156840611034589</v>
      </c>
      <c r="AN73" s="33" t="n">
        <v>0.00199066163191348</v>
      </c>
      <c r="AO73" s="33" t="n">
        <v>4.43809458809808E-005</v>
      </c>
      <c r="AP73" s="33" t="n">
        <v>0.00146335757971216</v>
      </c>
      <c r="AQ73" s="33" t="n">
        <v>4.80664850914605E-005</v>
      </c>
      <c r="AR73" s="33" t="n">
        <v>0.000222157097291135</v>
      </c>
      <c r="AS73" s="33" t="n">
        <v>0.000649493449292979</v>
      </c>
      <c r="AT73" s="33" t="n">
        <v>0.00341102796190742</v>
      </c>
      <c r="AU73" s="33" t="n">
        <v>0.0012712850538747</v>
      </c>
      <c r="AV73" s="33" t="n">
        <v>0.000243122102555507</v>
      </c>
      <c r="AW73" s="33" t="n">
        <v>0.000237049271183524</v>
      </c>
      <c r="AX73" s="33" t="n">
        <v>0.00857433985344022</v>
      </c>
      <c r="AY73" s="33" t="n">
        <v>0.00669594619497179</v>
      </c>
      <c r="AZ73" s="33" t="n">
        <v>0.000978445093279759</v>
      </c>
      <c r="BA73" s="33" t="n">
        <v>0.00229350727368484</v>
      </c>
      <c r="BB73" s="33" t="n">
        <v>0.00424214045291187</v>
      </c>
      <c r="BC73" s="33" t="n">
        <v>0.0158599992304783</v>
      </c>
      <c r="BD73" s="33" t="n">
        <v>0.00836485606681724</v>
      </c>
      <c r="BE73" s="33" t="n">
        <v>0.00298292766179598</v>
      </c>
      <c r="BF73" s="33" t="n">
        <v>0.00020065024918348</v>
      </c>
      <c r="BG73" s="33" t="n">
        <v>0.00234003354559672</v>
      </c>
      <c r="BH73" s="33" t="n">
        <v>0.00120652289575163</v>
      </c>
      <c r="BI73" s="33" t="n">
        <v>0.00612088136114465</v>
      </c>
      <c r="BJ73" s="33" t="n">
        <v>0.00287928603951699</v>
      </c>
      <c r="BK73" s="33" t="n">
        <v>0.00544694383848367</v>
      </c>
      <c r="BL73" s="33" t="n">
        <v>0.00118134279680007</v>
      </c>
      <c r="BM73" s="33" t="n">
        <v>0.000802752353592044</v>
      </c>
      <c r="BN73" s="33" t="n">
        <v>0.000333768246284736</v>
      </c>
      <c r="BO73" s="33" t="n">
        <v>0.00433142398220914</v>
      </c>
      <c r="BP73" s="33" t="n">
        <v>0.00750651673550826</v>
      </c>
      <c r="BQ73" s="33" t="n">
        <v>0.00726387292167671</v>
      </c>
      <c r="BR73" s="33" t="n">
        <v>0.00142591117839555</v>
      </c>
      <c r="BS73" s="33" t="n">
        <v>0.00379599755501558</v>
      </c>
      <c r="BT73" s="33" t="n">
        <v>0</v>
      </c>
    </row>
    <row r="74" customFormat="false" ht="11.25" hidden="false" customHeight="true" outlineLevel="0" collapsed="false">
      <c r="B74" s="24" t="s">
        <v>199</v>
      </c>
      <c r="C74" s="25" t="s">
        <v>200</v>
      </c>
      <c r="D74" s="24" t="n">
        <v>68</v>
      </c>
      <c r="E74" s="34" t="n">
        <v>0</v>
      </c>
      <c r="F74" s="34" t="n">
        <v>0</v>
      </c>
      <c r="G74" s="34" t="n">
        <v>0</v>
      </c>
      <c r="H74" s="34" t="n">
        <v>0</v>
      </c>
      <c r="I74" s="34" t="n">
        <v>0</v>
      </c>
      <c r="J74" s="34" t="n">
        <v>0</v>
      </c>
      <c r="K74" s="34" t="n">
        <v>0</v>
      </c>
      <c r="L74" s="34" t="n">
        <v>0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</v>
      </c>
      <c r="R74" s="34" t="n">
        <v>0</v>
      </c>
      <c r="S74" s="34" t="n">
        <v>0</v>
      </c>
      <c r="T74" s="34" t="n">
        <v>0</v>
      </c>
      <c r="U74" s="34" t="n">
        <v>0</v>
      </c>
      <c r="V74" s="34" t="n">
        <v>0</v>
      </c>
      <c r="W74" s="34" t="n">
        <v>0</v>
      </c>
      <c r="X74" s="34" t="n">
        <v>0</v>
      </c>
      <c r="Y74" s="34" t="n">
        <v>0</v>
      </c>
      <c r="Z74" s="34" t="n">
        <v>0</v>
      </c>
      <c r="AA74" s="34" t="n">
        <v>0</v>
      </c>
      <c r="AB74" s="34" t="n">
        <v>0</v>
      </c>
      <c r="AC74" s="34" t="n">
        <v>0</v>
      </c>
      <c r="AD74" s="34" t="n">
        <v>0</v>
      </c>
      <c r="AE74" s="34" t="n">
        <v>0</v>
      </c>
      <c r="AF74" s="34" t="n">
        <v>0</v>
      </c>
      <c r="AG74" s="34" t="n">
        <v>0</v>
      </c>
      <c r="AH74" s="34" t="n">
        <v>0</v>
      </c>
      <c r="AI74" s="34" t="n">
        <v>0</v>
      </c>
      <c r="AJ74" s="34" t="n">
        <v>0</v>
      </c>
      <c r="AK74" s="34" t="n">
        <v>0</v>
      </c>
      <c r="AL74" s="34" t="n">
        <v>0</v>
      </c>
      <c r="AM74" s="34" t="n">
        <v>0</v>
      </c>
      <c r="AN74" s="34" t="n">
        <v>0</v>
      </c>
      <c r="AO74" s="34" t="n">
        <v>0</v>
      </c>
      <c r="AP74" s="34" t="n">
        <v>0</v>
      </c>
      <c r="AQ74" s="34" t="n">
        <v>0</v>
      </c>
      <c r="AR74" s="34" t="n">
        <v>0</v>
      </c>
      <c r="AS74" s="34" t="n">
        <v>0</v>
      </c>
      <c r="AT74" s="34" t="n">
        <v>0</v>
      </c>
      <c r="AU74" s="34" t="n">
        <v>0</v>
      </c>
      <c r="AV74" s="34" t="n">
        <v>0</v>
      </c>
      <c r="AW74" s="34" t="n">
        <v>0</v>
      </c>
      <c r="AX74" s="34" t="n">
        <v>0</v>
      </c>
      <c r="AY74" s="34" t="n">
        <v>0</v>
      </c>
      <c r="AZ74" s="34" t="n">
        <v>0</v>
      </c>
      <c r="BA74" s="34" t="n">
        <v>0</v>
      </c>
      <c r="BB74" s="34" t="n">
        <v>0</v>
      </c>
      <c r="BC74" s="34" t="n">
        <v>0</v>
      </c>
      <c r="BD74" s="34" t="n">
        <v>0</v>
      </c>
      <c r="BE74" s="34" t="n">
        <v>0</v>
      </c>
      <c r="BF74" s="34" t="n">
        <v>0</v>
      </c>
      <c r="BG74" s="34" t="n">
        <v>0</v>
      </c>
      <c r="BH74" s="34" t="n">
        <v>0</v>
      </c>
      <c r="BI74" s="34" t="n">
        <v>0</v>
      </c>
      <c r="BJ74" s="34" t="n">
        <v>0</v>
      </c>
      <c r="BK74" s="34" t="n">
        <v>0</v>
      </c>
      <c r="BL74" s="34" t="n">
        <v>0</v>
      </c>
      <c r="BM74" s="34" t="n">
        <v>0</v>
      </c>
      <c r="BN74" s="34" t="n">
        <v>0</v>
      </c>
      <c r="BO74" s="34" t="n">
        <v>0</v>
      </c>
      <c r="BP74" s="34" t="n">
        <v>0</v>
      </c>
      <c r="BQ74" s="34" t="n">
        <v>0</v>
      </c>
      <c r="BR74" s="34" t="n">
        <v>0</v>
      </c>
      <c r="BS74" s="34" t="n">
        <v>0</v>
      </c>
      <c r="BT74" s="34" t="n">
        <v>0</v>
      </c>
    </row>
  </sheetData>
  <mergeCells count="2">
    <mergeCell ref="B3:V3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8CE"/>
    <pageSetUpPr fitToPage="false"/>
  </sheetPr>
  <dimension ref="B1:BT7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52"/>
    <col collapsed="false" customWidth="true" hidden="false" outlineLevel="0" max="4" min="4" style="0" width="4.4"/>
    <col collapsed="false" customWidth="true" hidden="false" outlineLevel="0" max="72" min="5" style="0" width="10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223</v>
      </c>
    </row>
    <row r="3" customFormat="false" ht="12.75" hidden="false" customHeight="true" outlineLevel="0" collapsed="false">
      <c r="B3" s="15" t="s">
        <v>224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6" customFormat="false" ht="13.5" hidden="false" customHeight="true" outlineLevel="0" collapsed="false">
      <c r="B6" s="32" t="s">
        <v>62</v>
      </c>
      <c r="C6" s="32" t="s">
        <v>63</v>
      </c>
      <c r="D6" s="32"/>
      <c r="E6" s="32" t="n">
        <v>1</v>
      </c>
      <c r="F6" s="32" t="n">
        <v>2</v>
      </c>
      <c r="G6" s="32" t="n">
        <v>3</v>
      </c>
      <c r="H6" s="32" t="n">
        <v>4</v>
      </c>
      <c r="I6" s="32" t="n">
        <v>5</v>
      </c>
      <c r="J6" s="32" t="n">
        <v>6</v>
      </c>
      <c r="K6" s="32" t="n">
        <v>7</v>
      </c>
      <c r="L6" s="32" t="n">
        <v>8</v>
      </c>
      <c r="M6" s="32" t="n">
        <v>9</v>
      </c>
      <c r="N6" s="32" t="n">
        <v>10</v>
      </c>
      <c r="O6" s="32" t="n">
        <v>11</v>
      </c>
      <c r="P6" s="32" t="n">
        <v>12</v>
      </c>
      <c r="Q6" s="32" t="n">
        <v>13</v>
      </c>
      <c r="R6" s="32" t="n">
        <v>14</v>
      </c>
      <c r="S6" s="32" t="n">
        <v>15</v>
      </c>
      <c r="T6" s="32" t="n">
        <v>16</v>
      </c>
      <c r="U6" s="32" t="n">
        <v>17</v>
      </c>
      <c r="V6" s="32" t="n">
        <v>18</v>
      </c>
      <c r="W6" s="32" t="n">
        <v>19</v>
      </c>
      <c r="X6" s="32" t="n">
        <v>20</v>
      </c>
      <c r="Y6" s="32" t="n">
        <v>21</v>
      </c>
      <c r="Z6" s="32" t="n">
        <v>22</v>
      </c>
      <c r="AA6" s="32" t="n">
        <v>23</v>
      </c>
      <c r="AB6" s="32" t="n">
        <v>24</v>
      </c>
      <c r="AC6" s="32" t="n">
        <v>25</v>
      </c>
      <c r="AD6" s="32" t="n">
        <v>26</v>
      </c>
      <c r="AE6" s="32" t="n">
        <v>27</v>
      </c>
      <c r="AF6" s="32" t="n">
        <v>28</v>
      </c>
      <c r="AG6" s="32" t="n">
        <v>29</v>
      </c>
      <c r="AH6" s="32" t="n">
        <v>30</v>
      </c>
      <c r="AI6" s="32" t="n">
        <v>31</v>
      </c>
      <c r="AJ6" s="32" t="n">
        <v>32</v>
      </c>
      <c r="AK6" s="32" t="n">
        <v>33</v>
      </c>
      <c r="AL6" s="32" t="n">
        <v>34</v>
      </c>
      <c r="AM6" s="32" t="n">
        <v>35</v>
      </c>
      <c r="AN6" s="32" t="n">
        <v>36</v>
      </c>
      <c r="AO6" s="32" t="n">
        <v>37</v>
      </c>
      <c r="AP6" s="32" t="n">
        <v>38</v>
      </c>
      <c r="AQ6" s="32" t="n">
        <v>39</v>
      </c>
      <c r="AR6" s="32" t="n">
        <v>40</v>
      </c>
      <c r="AS6" s="32" t="n">
        <v>41</v>
      </c>
      <c r="AT6" s="32" t="n">
        <v>42</v>
      </c>
      <c r="AU6" s="32" t="n">
        <v>43</v>
      </c>
      <c r="AV6" s="32" t="n">
        <v>44</v>
      </c>
      <c r="AW6" s="32" t="n">
        <v>45</v>
      </c>
      <c r="AX6" s="32" t="n">
        <v>46</v>
      </c>
      <c r="AY6" s="32" t="n">
        <v>47</v>
      </c>
      <c r="AZ6" s="32" t="n">
        <v>48</v>
      </c>
      <c r="BA6" s="32" t="n">
        <v>49</v>
      </c>
      <c r="BB6" s="32" t="n">
        <v>50</v>
      </c>
      <c r="BC6" s="32" t="n">
        <v>51</v>
      </c>
      <c r="BD6" s="32" t="n">
        <v>52</v>
      </c>
      <c r="BE6" s="32" t="n">
        <v>53</v>
      </c>
      <c r="BF6" s="32" t="n">
        <v>54</v>
      </c>
      <c r="BG6" s="32" t="n">
        <v>55</v>
      </c>
      <c r="BH6" s="32" t="n">
        <v>56</v>
      </c>
      <c r="BI6" s="32" t="n">
        <v>57</v>
      </c>
      <c r="BJ6" s="32" t="n">
        <v>58</v>
      </c>
      <c r="BK6" s="32" t="n">
        <v>59</v>
      </c>
      <c r="BL6" s="32" t="n">
        <v>60</v>
      </c>
      <c r="BM6" s="32" t="n">
        <v>61</v>
      </c>
      <c r="BN6" s="32" t="n">
        <v>62</v>
      </c>
      <c r="BO6" s="32" t="n">
        <v>63</v>
      </c>
      <c r="BP6" s="32" t="n">
        <v>64</v>
      </c>
      <c r="BQ6" s="32" t="n">
        <v>65</v>
      </c>
      <c r="BR6" s="32" t="n">
        <v>66</v>
      </c>
      <c r="BS6" s="32" t="n">
        <v>67</v>
      </c>
      <c r="BT6" s="32" t="n">
        <v>68</v>
      </c>
    </row>
    <row r="7" customFormat="false" ht="11.25" hidden="false" customHeight="true" outlineLevel="0" collapsed="false">
      <c r="B7" s="19" t="s">
        <v>65</v>
      </c>
      <c r="C7" s="20" t="s">
        <v>66</v>
      </c>
      <c r="D7" s="19" t="n">
        <v>1</v>
      </c>
      <c r="E7" s="33" t="n">
        <v>1.02906008580357</v>
      </c>
      <c r="F7" s="33" t="n">
        <v>0.0823101777992561</v>
      </c>
      <c r="G7" s="33" t="n">
        <v>0.01836872183644</v>
      </c>
      <c r="H7" s="33" t="n">
        <v>0.011268355575619</v>
      </c>
      <c r="I7" s="33" t="n">
        <v>0.00644711411048301</v>
      </c>
      <c r="J7" s="33" t="n">
        <v>0.00525504585072057</v>
      </c>
      <c r="K7" s="33" t="n">
        <v>0.00887166283999671</v>
      </c>
      <c r="L7" s="33" t="n">
        <v>0.102395769130423</v>
      </c>
      <c r="M7" s="33" t="n">
        <v>0.49959883607285</v>
      </c>
      <c r="N7" s="33" t="n">
        <v>0.335544308460324</v>
      </c>
      <c r="O7" s="33" t="n">
        <v>0.0585439129612552</v>
      </c>
      <c r="P7" s="33" t="n">
        <v>0.305799367671813</v>
      </c>
      <c r="Q7" s="33" t="n">
        <v>0.162738535208465</v>
      </c>
      <c r="R7" s="33" t="n">
        <v>0.0563114159898267</v>
      </c>
      <c r="S7" s="33" t="n">
        <v>0.0262497361155755</v>
      </c>
      <c r="T7" s="33" t="n">
        <v>0.0155073144256622</v>
      </c>
      <c r="U7" s="33" t="n">
        <v>0.0214812478114646</v>
      </c>
      <c r="V7" s="33" t="n">
        <v>0.0054918767835412</v>
      </c>
      <c r="W7" s="33" t="n">
        <v>0.0484778708162434</v>
      </c>
      <c r="X7" s="33" t="n">
        <v>0.430577323004269</v>
      </c>
      <c r="Y7" s="33" t="n">
        <v>0.0125232797452325</v>
      </c>
      <c r="Z7" s="33" t="n">
        <v>0.0195953669835384</v>
      </c>
      <c r="AA7" s="33" t="n">
        <v>0.034202153940608</v>
      </c>
      <c r="AB7" s="33" t="n">
        <v>0.0197924597541266</v>
      </c>
      <c r="AC7" s="33" t="n">
        <v>0.0137392230527077</v>
      </c>
      <c r="AD7" s="33" t="n">
        <v>0.0128172746263434</v>
      </c>
      <c r="AE7" s="33" t="n">
        <v>0.0111073914771683</v>
      </c>
      <c r="AF7" s="33" t="n">
        <v>0.00901611135267182</v>
      </c>
      <c r="AG7" s="33" t="n">
        <v>0.011983959451973</v>
      </c>
      <c r="AH7" s="33" t="n">
        <v>0.0055762091866133</v>
      </c>
      <c r="AI7" s="33" t="n">
        <v>0.0111745032195232</v>
      </c>
      <c r="AJ7" s="33" t="n">
        <v>0.0134817571932076</v>
      </c>
      <c r="AK7" s="33" t="n">
        <v>0.00550765748908425</v>
      </c>
      <c r="AL7" s="33" t="n">
        <v>0.00684137616143152</v>
      </c>
      <c r="AM7" s="33" t="n">
        <v>0.0047888092654475</v>
      </c>
      <c r="AN7" s="33" t="n">
        <v>0.0114739354464533</v>
      </c>
      <c r="AO7" s="33" t="n">
        <v>0.004281973031114</v>
      </c>
      <c r="AP7" s="33" t="n">
        <v>0.00226460106178989</v>
      </c>
      <c r="AQ7" s="33" t="n">
        <v>0.00348412981747645</v>
      </c>
      <c r="AR7" s="33" t="n">
        <v>0.00616215443604383</v>
      </c>
      <c r="AS7" s="33" t="n">
        <v>0.00410781424954078</v>
      </c>
      <c r="AT7" s="33" t="n">
        <v>0.0192033664662818</v>
      </c>
      <c r="AU7" s="33" t="n">
        <v>0.0135151012820809</v>
      </c>
      <c r="AV7" s="33" t="n">
        <v>0.00574991353640037</v>
      </c>
      <c r="AW7" s="33" t="n">
        <v>0.0100553826818597</v>
      </c>
      <c r="AX7" s="33" t="n">
        <v>0.00347633812901788</v>
      </c>
      <c r="AY7" s="33" t="n">
        <v>0.0232960575741507</v>
      </c>
      <c r="AZ7" s="33" t="n">
        <v>0.0545610580715832</v>
      </c>
      <c r="BA7" s="33" t="n">
        <v>0.0112761581127721</v>
      </c>
      <c r="BB7" s="33" t="n">
        <v>0.00902866879371553</v>
      </c>
      <c r="BC7" s="33" t="n">
        <v>0.00953476190118541</v>
      </c>
      <c r="BD7" s="33" t="n">
        <v>0.00264489907430998</v>
      </c>
      <c r="BE7" s="33" t="n">
        <v>0.00146834856903425</v>
      </c>
      <c r="BF7" s="33" t="n">
        <v>0.000377856963049168</v>
      </c>
      <c r="BG7" s="33" t="n">
        <v>0.00296303348973092</v>
      </c>
      <c r="BH7" s="33" t="n">
        <v>0.00404475632023384</v>
      </c>
      <c r="BI7" s="33" t="n">
        <v>0.00516462389281327</v>
      </c>
      <c r="BJ7" s="33" t="n">
        <v>0.00404460072016315</v>
      </c>
      <c r="BK7" s="33" t="n">
        <v>0.00366585255106392</v>
      </c>
      <c r="BL7" s="33" t="n">
        <v>0.00325690544705113</v>
      </c>
      <c r="BM7" s="33" t="n">
        <v>0.00436546092886443</v>
      </c>
      <c r="BN7" s="33" t="n">
        <v>0.00388973291799248</v>
      </c>
      <c r="BO7" s="33" t="n">
        <v>0.00284569883071074</v>
      </c>
      <c r="BP7" s="33" t="n">
        <v>0.0101294114557999</v>
      </c>
      <c r="BQ7" s="33" t="n">
        <v>0.00457534808308044</v>
      </c>
      <c r="BR7" s="33" t="n">
        <v>0.0032680340650473</v>
      </c>
      <c r="BS7" s="33" t="n">
        <v>0.0115113736236312</v>
      </c>
      <c r="BT7" s="33" t="n">
        <v>0</v>
      </c>
    </row>
    <row r="8" customFormat="false" ht="11.25" hidden="false" customHeight="true" outlineLevel="0" collapsed="false">
      <c r="B8" s="24" t="s">
        <v>67</v>
      </c>
      <c r="C8" s="25" t="s">
        <v>68</v>
      </c>
      <c r="D8" s="24" t="n">
        <v>2</v>
      </c>
      <c r="E8" s="34" t="n">
        <v>0.00347327628330833</v>
      </c>
      <c r="F8" s="34" t="n">
        <v>1.05421634792609</v>
      </c>
      <c r="G8" s="34" t="n">
        <v>0.00795255755112522</v>
      </c>
      <c r="H8" s="34" t="n">
        <v>0.00116860140022147</v>
      </c>
      <c r="I8" s="34" t="n">
        <v>0.000689442273215677</v>
      </c>
      <c r="J8" s="34" t="n">
        <v>0.000627271448710129</v>
      </c>
      <c r="K8" s="34" t="n">
        <v>0.00096696063336092</v>
      </c>
      <c r="L8" s="34" t="n">
        <v>0.34538069074527</v>
      </c>
      <c r="M8" s="34" t="n">
        <v>0.00494784814463576</v>
      </c>
      <c r="N8" s="34" t="n">
        <v>0.0235338721511868</v>
      </c>
      <c r="O8" s="34" t="n">
        <v>0.00271534051728026</v>
      </c>
      <c r="P8" s="34" t="n">
        <v>0.0148451140900982</v>
      </c>
      <c r="Q8" s="34" t="n">
        <v>0.0100063172223772</v>
      </c>
      <c r="R8" s="34" t="n">
        <v>0.0080514970448151</v>
      </c>
      <c r="S8" s="34" t="n">
        <v>0.0148312859869229</v>
      </c>
      <c r="T8" s="34" t="n">
        <v>0.00728699660961841</v>
      </c>
      <c r="U8" s="34" t="n">
        <v>0.00553963396279819</v>
      </c>
      <c r="V8" s="34" t="n">
        <v>0.000846750405018772</v>
      </c>
      <c r="W8" s="34" t="n">
        <v>0.00157898217519135</v>
      </c>
      <c r="X8" s="34" t="n">
        <v>0.0129593981831662</v>
      </c>
      <c r="Y8" s="34" t="n">
        <v>0.00135979808831265</v>
      </c>
      <c r="Z8" s="34" t="n">
        <v>0.00183178179040498</v>
      </c>
      <c r="AA8" s="34" t="n">
        <v>0.0154374051194946</v>
      </c>
      <c r="AB8" s="34" t="n">
        <v>0.00172257932208186</v>
      </c>
      <c r="AC8" s="34" t="n">
        <v>0.00186555574232827</v>
      </c>
      <c r="AD8" s="34" t="n">
        <v>0.00204709871578127</v>
      </c>
      <c r="AE8" s="34" t="n">
        <v>0.0017355027567404</v>
      </c>
      <c r="AF8" s="34" t="n">
        <v>0.00170608050234208</v>
      </c>
      <c r="AG8" s="34" t="n">
        <v>0.00168747715037335</v>
      </c>
      <c r="AH8" s="34" t="n">
        <v>0.000625296820036584</v>
      </c>
      <c r="AI8" s="34" t="n">
        <v>0.0012609823403429</v>
      </c>
      <c r="AJ8" s="34" t="n">
        <v>0.00145861093933775</v>
      </c>
      <c r="AK8" s="34" t="n">
        <v>0.000758649538547947</v>
      </c>
      <c r="AL8" s="34" t="n">
        <v>0.000806051783663979</v>
      </c>
      <c r="AM8" s="34" t="n">
        <v>0.000600483767404113</v>
      </c>
      <c r="AN8" s="34" t="n">
        <v>0.0019399870212587</v>
      </c>
      <c r="AO8" s="34" t="n">
        <v>0.000529387369323449</v>
      </c>
      <c r="AP8" s="34" t="n">
        <v>0.000285442956349318</v>
      </c>
      <c r="AQ8" s="34" t="n">
        <v>0.000465691323035247</v>
      </c>
      <c r="AR8" s="34" t="n">
        <v>0.00225032482824662</v>
      </c>
      <c r="AS8" s="34" t="n">
        <v>0.000436444384636143</v>
      </c>
      <c r="AT8" s="34" t="n">
        <v>0.00124283546962444</v>
      </c>
      <c r="AU8" s="34" t="n">
        <v>0.000603686094090011</v>
      </c>
      <c r="AV8" s="34" t="n">
        <v>0.000378124232876911</v>
      </c>
      <c r="AW8" s="34" t="n">
        <v>0.00105029165702382</v>
      </c>
      <c r="AX8" s="34" t="n">
        <v>0.00054650183156267</v>
      </c>
      <c r="AY8" s="34" t="n">
        <v>0.0230573640747271</v>
      </c>
      <c r="AZ8" s="34" t="n">
        <v>0.0386454857364934</v>
      </c>
      <c r="BA8" s="34" t="n">
        <v>0.00131137609017627</v>
      </c>
      <c r="BB8" s="34" t="n">
        <v>0.00163743347051926</v>
      </c>
      <c r="BC8" s="34" t="n">
        <v>0.00154160777177641</v>
      </c>
      <c r="BD8" s="34" t="n">
        <v>0.0004086428814098</v>
      </c>
      <c r="BE8" s="34" t="n">
        <v>0.000385632183207775</v>
      </c>
      <c r="BF8" s="34" t="n">
        <v>0.000124201136852335</v>
      </c>
      <c r="BG8" s="34" t="n">
        <v>0.000616729450406493</v>
      </c>
      <c r="BH8" s="34" t="n">
        <v>0.000677987352438914</v>
      </c>
      <c r="BI8" s="34" t="n">
        <v>0.000961153508042027</v>
      </c>
      <c r="BJ8" s="34" t="n">
        <v>0.000394341100790026</v>
      </c>
      <c r="BK8" s="34" t="n">
        <v>0.000730689709576645</v>
      </c>
      <c r="BL8" s="34" t="n">
        <v>0.00028684687122435</v>
      </c>
      <c r="BM8" s="34" t="n">
        <v>0.00216609036709002</v>
      </c>
      <c r="BN8" s="34" t="n">
        <v>0.00214931100452775</v>
      </c>
      <c r="BO8" s="34" t="n">
        <v>0.0012889473414612</v>
      </c>
      <c r="BP8" s="34" t="n">
        <v>0.00502851745653455</v>
      </c>
      <c r="BQ8" s="34" t="n">
        <v>0.00214692501749729</v>
      </c>
      <c r="BR8" s="34" t="n">
        <v>0.000631980193656422</v>
      </c>
      <c r="BS8" s="34" t="n">
        <v>0.00428602309622162</v>
      </c>
      <c r="BT8" s="34" t="n">
        <v>0</v>
      </c>
    </row>
    <row r="9" customFormat="false" ht="11.25" hidden="false" customHeight="true" outlineLevel="0" collapsed="false">
      <c r="B9" s="19" t="s">
        <v>69</v>
      </c>
      <c r="C9" s="20" t="s">
        <v>70</v>
      </c>
      <c r="D9" s="19" t="n">
        <v>3</v>
      </c>
      <c r="E9" s="33" t="n">
        <v>0.00409435141002958</v>
      </c>
      <c r="F9" s="33" t="n">
        <v>0.0106833386524854</v>
      </c>
      <c r="G9" s="33" t="n">
        <v>1.06244804629527</v>
      </c>
      <c r="H9" s="33" t="n">
        <v>0.000625430194244889</v>
      </c>
      <c r="I9" s="33" t="n">
        <v>0.000894294093686165</v>
      </c>
      <c r="J9" s="33" t="n">
        <v>0.000502313042152588</v>
      </c>
      <c r="K9" s="33" t="n">
        <v>0.000707650379106629</v>
      </c>
      <c r="L9" s="33" t="n">
        <v>0.0128536459080751</v>
      </c>
      <c r="M9" s="33" t="n">
        <v>0.00232770195053546</v>
      </c>
      <c r="N9" s="33" t="n">
        <v>0.00385748721842372</v>
      </c>
      <c r="O9" s="33" t="n">
        <v>0.00157098100381843</v>
      </c>
      <c r="P9" s="33" t="n">
        <v>0.00448360105047747</v>
      </c>
      <c r="Q9" s="33" t="n">
        <v>0.00270772956766233</v>
      </c>
      <c r="R9" s="33" t="n">
        <v>0.00155815879036065</v>
      </c>
      <c r="S9" s="33" t="n">
        <v>0.00229234954686048</v>
      </c>
      <c r="T9" s="33" t="n">
        <v>0.0650125995299578</v>
      </c>
      <c r="U9" s="33" t="n">
        <v>0.0428224791084276</v>
      </c>
      <c r="V9" s="33" t="n">
        <v>0.00302356438349026</v>
      </c>
      <c r="W9" s="33" t="n">
        <v>0.000670880623465482</v>
      </c>
      <c r="X9" s="33" t="n">
        <v>0.00248897458623115</v>
      </c>
      <c r="Y9" s="33" t="n">
        <v>0.00200803000751413</v>
      </c>
      <c r="Z9" s="33" t="n">
        <v>0.00113820072701251</v>
      </c>
      <c r="AA9" s="33" t="n">
        <v>0.00273857608601558</v>
      </c>
      <c r="AB9" s="33" t="n">
        <v>0.00134771757456013</v>
      </c>
      <c r="AC9" s="33" t="n">
        <v>0.00724677227735233</v>
      </c>
      <c r="AD9" s="33" t="n">
        <v>0.00276522484930296</v>
      </c>
      <c r="AE9" s="33" t="n">
        <v>0.00801751509623392</v>
      </c>
      <c r="AF9" s="33" t="n">
        <v>0.000807690172443097</v>
      </c>
      <c r="AG9" s="33" t="n">
        <v>0.00310100247887018</v>
      </c>
      <c r="AH9" s="33" t="n">
        <v>0.000813179009072449</v>
      </c>
      <c r="AI9" s="33" t="n">
        <v>0.00150280575529326</v>
      </c>
      <c r="AJ9" s="33" t="n">
        <v>0.0017538555005344</v>
      </c>
      <c r="AK9" s="33" t="n">
        <v>0.00153152487827821</v>
      </c>
      <c r="AL9" s="33" t="n">
        <v>0.0018379009841303</v>
      </c>
      <c r="AM9" s="33" t="n">
        <v>0.00093612197884933</v>
      </c>
      <c r="AN9" s="33" t="n">
        <v>0.00644281426364193</v>
      </c>
      <c r="AO9" s="33" t="n">
        <v>0.000771695154840564</v>
      </c>
      <c r="AP9" s="33" t="n">
        <v>0.000329987268916125</v>
      </c>
      <c r="AQ9" s="33" t="n">
        <v>0.000494977328499577</v>
      </c>
      <c r="AR9" s="33" t="n">
        <v>0.00331399795454945</v>
      </c>
      <c r="AS9" s="33" t="n">
        <v>0.000615207512191952</v>
      </c>
      <c r="AT9" s="33" t="n">
        <v>0.0010229526502918</v>
      </c>
      <c r="AU9" s="33" t="n">
        <v>0.000513852448616215</v>
      </c>
      <c r="AV9" s="33" t="n">
        <v>0.0003757934751249</v>
      </c>
      <c r="AW9" s="33" t="n">
        <v>0.000490688355038204</v>
      </c>
      <c r="AX9" s="33" t="n">
        <v>0.000418142719586038</v>
      </c>
      <c r="AY9" s="33" t="n">
        <v>0.00268619974790218</v>
      </c>
      <c r="AZ9" s="33" t="n">
        <v>0.00407598776716296</v>
      </c>
      <c r="BA9" s="33" t="n">
        <v>0.00269096434148643</v>
      </c>
      <c r="BB9" s="33" t="n">
        <v>0.000962509047458046</v>
      </c>
      <c r="BC9" s="33" t="n">
        <v>0.00071795726116769</v>
      </c>
      <c r="BD9" s="33" t="n">
        <v>0.000414201745659787</v>
      </c>
      <c r="BE9" s="33" t="n">
        <v>0.000255434328381469</v>
      </c>
      <c r="BF9" s="33" t="n">
        <v>0.000122673800399453</v>
      </c>
      <c r="BG9" s="33" t="n">
        <v>0.00054208482448943</v>
      </c>
      <c r="BH9" s="33" t="n">
        <v>0.000580038844896557</v>
      </c>
      <c r="BI9" s="33" t="n">
        <v>0.000772364169149291</v>
      </c>
      <c r="BJ9" s="33" t="n">
        <v>0.000679939728135809</v>
      </c>
      <c r="BK9" s="33" t="n">
        <v>0.0006616220599049</v>
      </c>
      <c r="BL9" s="33" t="n">
        <v>0.000187692006719393</v>
      </c>
      <c r="BM9" s="33" t="n">
        <v>0.000438841583115511</v>
      </c>
      <c r="BN9" s="33" t="n">
        <v>0.000494737547883904</v>
      </c>
      <c r="BO9" s="33" t="n">
        <v>0.000486153769403556</v>
      </c>
      <c r="BP9" s="33" t="n">
        <v>0.0010353991087521</v>
      </c>
      <c r="BQ9" s="33" t="n">
        <v>0.000647741288141237</v>
      </c>
      <c r="BR9" s="33" t="n">
        <v>0.000399043228410216</v>
      </c>
      <c r="BS9" s="33" t="n">
        <v>0.00087930171098352</v>
      </c>
      <c r="BT9" s="33" t="n">
        <v>0</v>
      </c>
    </row>
    <row r="10" customFormat="false" ht="11.25" hidden="false" customHeight="true" outlineLevel="0" collapsed="false">
      <c r="B10" s="24" t="s">
        <v>71</v>
      </c>
      <c r="C10" s="25" t="s">
        <v>72</v>
      </c>
      <c r="D10" s="24" t="n">
        <v>4</v>
      </c>
      <c r="E10" s="34" t="n">
        <v>0.00380377461405109</v>
      </c>
      <c r="F10" s="34" t="n">
        <v>0.00502177098122504</v>
      </c>
      <c r="G10" s="34" t="n">
        <v>0.0010695051035304</v>
      </c>
      <c r="H10" s="34" t="n">
        <v>1.01350534984553</v>
      </c>
      <c r="I10" s="34" t="n">
        <v>0.00476955051961637</v>
      </c>
      <c r="J10" s="34" t="n">
        <v>0.0010574975756737</v>
      </c>
      <c r="K10" s="34" t="n">
        <v>0.00184565461524513</v>
      </c>
      <c r="L10" s="34" t="n">
        <v>0.00303832865897243</v>
      </c>
      <c r="M10" s="34" t="n">
        <v>0.00258120626986084</v>
      </c>
      <c r="N10" s="34" t="n">
        <v>0.00331916739372863</v>
      </c>
      <c r="O10" s="34" t="n">
        <v>0.00311169005419492</v>
      </c>
      <c r="P10" s="34" t="n">
        <v>0.00162981597868946</v>
      </c>
      <c r="Q10" s="34" t="n">
        <v>0.00330952715099673</v>
      </c>
      <c r="R10" s="34" t="n">
        <v>0.00123006671135968</v>
      </c>
      <c r="S10" s="34" t="n">
        <v>0.00185466800566021</v>
      </c>
      <c r="T10" s="34" t="n">
        <v>0.00162792999418569</v>
      </c>
      <c r="U10" s="34" t="n">
        <v>0.00263489972100499</v>
      </c>
      <c r="V10" s="34" t="n">
        <v>0.00103471103228306</v>
      </c>
      <c r="W10" s="34" t="n">
        <v>0.00218299591950911</v>
      </c>
      <c r="X10" s="34" t="n">
        <v>0.00496647628730238</v>
      </c>
      <c r="Y10" s="34" t="n">
        <v>0.0224602668255155</v>
      </c>
      <c r="Z10" s="34" t="n">
        <v>0.00484772896497669</v>
      </c>
      <c r="AA10" s="34" t="n">
        <v>0.00367438884372387</v>
      </c>
      <c r="AB10" s="34" t="n">
        <v>0.00130520211377359</v>
      </c>
      <c r="AC10" s="34" t="n">
        <v>0.00525918912773354</v>
      </c>
      <c r="AD10" s="34" t="n">
        <v>0.0623162790188487</v>
      </c>
      <c r="AE10" s="34" t="n">
        <v>0.0123245221190067</v>
      </c>
      <c r="AF10" s="34" t="n">
        <v>0.00819596869326124</v>
      </c>
      <c r="AG10" s="34" t="n">
        <v>0.00396280665978889</v>
      </c>
      <c r="AH10" s="34" t="n">
        <v>0.000564210686332577</v>
      </c>
      <c r="AI10" s="34" t="n">
        <v>0.00385271207405673</v>
      </c>
      <c r="AJ10" s="34" t="n">
        <v>0.00220471271972202</v>
      </c>
      <c r="AK10" s="34" t="n">
        <v>0.00278940824220628</v>
      </c>
      <c r="AL10" s="34" t="n">
        <v>0.00310528702102136</v>
      </c>
      <c r="AM10" s="34" t="n">
        <v>0.00157388607182651</v>
      </c>
      <c r="AN10" s="34" t="n">
        <v>0.00266967561406876</v>
      </c>
      <c r="AO10" s="34" t="n">
        <v>0.00137846602474783</v>
      </c>
      <c r="AP10" s="34" t="n">
        <v>0.00175475958570816</v>
      </c>
      <c r="AQ10" s="34" t="n">
        <v>0.00721560601269147</v>
      </c>
      <c r="AR10" s="34" t="n">
        <v>0.0181346081970193</v>
      </c>
      <c r="AS10" s="34" t="n">
        <v>0.000883085925809337</v>
      </c>
      <c r="AT10" s="34" t="n">
        <v>0.000691465542219897</v>
      </c>
      <c r="AU10" s="34" t="n">
        <v>0.000916652101691535</v>
      </c>
      <c r="AV10" s="34" t="n">
        <v>0.000486486014099942</v>
      </c>
      <c r="AW10" s="34" t="n">
        <v>0.000662608785999188</v>
      </c>
      <c r="AX10" s="34" t="n">
        <v>0.000620738507062668</v>
      </c>
      <c r="AY10" s="34" t="n">
        <v>0.00157792407132787</v>
      </c>
      <c r="AZ10" s="34" t="n">
        <v>0.0013387851129144</v>
      </c>
      <c r="BA10" s="34" t="n">
        <v>0.00073252204498108</v>
      </c>
      <c r="BB10" s="34" t="n">
        <v>0.000632725270073657</v>
      </c>
      <c r="BC10" s="34" t="n">
        <v>0.000937302382549046</v>
      </c>
      <c r="BD10" s="34" t="n">
        <v>0.000330891437522704</v>
      </c>
      <c r="BE10" s="34" t="n">
        <v>0.000183370277733261</v>
      </c>
      <c r="BF10" s="34" t="n">
        <v>0.000849746914164418</v>
      </c>
      <c r="BG10" s="34" t="n">
        <v>0.000319586701193411</v>
      </c>
      <c r="BH10" s="34" t="n">
        <v>0.000499172983392469</v>
      </c>
      <c r="BI10" s="34" t="n">
        <v>0.000402527483177291</v>
      </c>
      <c r="BJ10" s="34" t="n">
        <v>0.000474088594763538</v>
      </c>
      <c r="BK10" s="34" t="n">
        <v>0.000713882947517712</v>
      </c>
      <c r="BL10" s="34" t="n">
        <v>0.000182397013157917</v>
      </c>
      <c r="BM10" s="34" t="n">
        <v>0.000653862569850113</v>
      </c>
      <c r="BN10" s="34" t="n">
        <v>0.000304380085492102</v>
      </c>
      <c r="BO10" s="34" t="n">
        <v>0.000368618467602678</v>
      </c>
      <c r="BP10" s="34" t="n">
        <v>0.000886129932385744</v>
      </c>
      <c r="BQ10" s="34" t="n">
        <v>0.000436630426871335</v>
      </c>
      <c r="BR10" s="34" t="n">
        <v>0.000615905970163885</v>
      </c>
      <c r="BS10" s="34" t="n">
        <v>0.000789336735888108</v>
      </c>
      <c r="BT10" s="34" t="n">
        <v>0</v>
      </c>
    </row>
    <row r="11" customFormat="false" ht="11.25" hidden="false" customHeight="true" outlineLevel="0" collapsed="false">
      <c r="B11" s="19" t="s">
        <v>73</v>
      </c>
      <c r="C11" s="20" t="s">
        <v>74</v>
      </c>
      <c r="D11" s="19" t="n">
        <v>5</v>
      </c>
      <c r="E11" s="33" t="n">
        <v>0.0183056103348311</v>
      </c>
      <c r="F11" s="33" t="n">
        <v>0.0173445154393922</v>
      </c>
      <c r="G11" s="33" t="n">
        <v>0.0106534246973388</v>
      </c>
      <c r="H11" s="33" t="n">
        <v>0.0290745512029243</v>
      </c>
      <c r="I11" s="33" t="n">
        <v>1.04386346554709</v>
      </c>
      <c r="J11" s="33" t="n">
        <v>0.0265793579996286</v>
      </c>
      <c r="K11" s="33" t="n">
        <v>0.0375447981231445</v>
      </c>
      <c r="L11" s="33" t="n">
        <v>0.0260222229078322</v>
      </c>
      <c r="M11" s="33" t="n">
        <v>0.0226807661641787</v>
      </c>
      <c r="N11" s="33" t="n">
        <v>0.0242094647382473</v>
      </c>
      <c r="O11" s="33" t="n">
        <v>0.0167345981577031</v>
      </c>
      <c r="P11" s="33" t="n">
        <v>0.013258621164869</v>
      </c>
      <c r="Q11" s="33" t="n">
        <v>0.0189754252445544</v>
      </c>
      <c r="R11" s="33" t="n">
        <v>0.0107498115919419</v>
      </c>
      <c r="S11" s="33" t="n">
        <v>0.0158818283640488</v>
      </c>
      <c r="T11" s="33" t="n">
        <v>0.0180311429164692</v>
      </c>
      <c r="U11" s="33" t="n">
        <v>0.0304789125705011</v>
      </c>
      <c r="V11" s="33" t="n">
        <v>0.00815696313147469</v>
      </c>
      <c r="W11" s="33" t="n">
        <v>0.329894494777605</v>
      </c>
      <c r="X11" s="33" t="n">
        <v>0.018739766029404</v>
      </c>
      <c r="Y11" s="33" t="n">
        <v>0.0446144612693668</v>
      </c>
      <c r="Z11" s="33" t="n">
        <v>0.0205336047096542</v>
      </c>
      <c r="AA11" s="33" t="n">
        <v>0.0175875556143907</v>
      </c>
      <c r="AB11" s="33" t="n">
        <v>0.014791751197157</v>
      </c>
      <c r="AC11" s="33" t="n">
        <v>0.0236856162156822</v>
      </c>
      <c r="AD11" s="33" t="n">
        <v>0.0325022050180721</v>
      </c>
      <c r="AE11" s="33" t="n">
        <v>0.0286483659904926</v>
      </c>
      <c r="AF11" s="33" t="n">
        <v>0.0295999185469409</v>
      </c>
      <c r="AG11" s="33" t="n">
        <v>0.0201846679569267</v>
      </c>
      <c r="AH11" s="33" t="n">
        <v>0.00678245366305355</v>
      </c>
      <c r="AI11" s="33" t="n">
        <v>0.0182656626875306</v>
      </c>
      <c r="AJ11" s="33" t="n">
        <v>0.0151295209835222</v>
      </c>
      <c r="AK11" s="33" t="n">
        <v>0.0125671241156569</v>
      </c>
      <c r="AL11" s="33" t="n">
        <v>0.0131424424524431</v>
      </c>
      <c r="AM11" s="33" t="n">
        <v>0.00813083038189397</v>
      </c>
      <c r="AN11" s="33" t="n">
        <v>0.0128146185460378</v>
      </c>
      <c r="AO11" s="33" t="n">
        <v>0.00724060031911779</v>
      </c>
      <c r="AP11" s="33" t="n">
        <v>0.0461131597520566</v>
      </c>
      <c r="AQ11" s="33" t="n">
        <v>0.0235705698129629</v>
      </c>
      <c r="AR11" s="33" t="n">
        <v>0.0145386154277313</v>
      </c>
      <c r="AS11" s="33" t="n">
        <v>0.0059889349820711</v>
      </c>
      <c r="AT11" s="33" t="n">
        <v>0.0139448318790311</v>
      </c>
      <c r="AU11" s="33" t="n">
        <v>0.0729233157122036</v>
      </c>
      <c r="AV11" s="33" t="n">
        <v>0.0292514616971106</v>
      </c>
      <c r="AW11" s="33" t="n">
        <v>0.050141391490346</v>
      </c>
      <c r="AX11" s="33" t="n">
        <v>0.0126476974543677</v>
      </c>
      <c r="AY11" s="33" t="n">
        <v>0.00837489057147307</v>
      </c>
      <c r="AZ11" s="33" t="n">
        <v>0.0100012459947243</v>
      </c>
      <c r="BA11" s="33" t="n">
        <v>0.0111163167909356</v>
      </c>
      <c r="BB11" s="33" t="n">
        <v>0.00791090064435071</v>
      </c>
      <c r="BC11" s="33" t="n">
        <v>0.00879798431214129</v>
      </c>
      <c r="BD11" s="33" t="n">
        <v>0.00302545844796896</v>
      </c>
      <c r="BE11" s="33" t="n">
        <v>0.00193809903322266</v>
      </c>
      <c r="BF11" s="33" t="n">
        <v>0.000592505430173197</v>
      </c>
      <c r="BG11" s="33" t="n">
        <v>0.00366332692955269</v>
      </c>
      <c r="BH11" s="33" t="n">
        <v>0.00625751916476131</v>
      </c>
      <c r="BI11" s="33" t="n">
        <v>0.00491457911837883</v>
      </c>
      <c r="BJ11" s="33" t="n">
        <v>0.00667825931681335</v>
      </c>
      <c r="BK11" s="33" t="n">
        <v>0.00486239521274732</v>
      </c>
      <c r="BL11" s="33" t="n">
        <v>0.00484928824082691</v>
      </c>
      <c r="BM11" s="33" t="n">
        <v>0.00588971922170866</v>
      </c>
      <c r="BN11" s="33" t="n">
        <v>0.0019226055303793</v>
      </c>
      <c r="BO11" s="33" t="n">
        <v>0.0041558060940064</v>
      </c>
      <c r="BP11" s="33" t="n">
        <v>0.00399967222843613</v>
      </c>
      <c r="BQ11" s="33" t="n">
        <v>0.00282007292498857</v>
      </c>
      <c r="BR11" s="33" t="n">
        <v>0.00531042888137832</v>
      </c>
      <c r="BS11" s="33" t="n">
        <v>0.00791393185356069</v>
      </c>
      <c r="BT11" s="33" t="n">
        <v>0</v>
      </c>
    </row>
    <row r="12" customFormat="false" ht="11.25" hidden="false" customHeight="true" outlineLevel="0" collapsed="false">
      <c r="B12" s="24" t="s">
        <v>75</v>
      </c>
      <c r="C12" s="25" t="s">
        <v>76</v>
      </c>
      <c r="D12" s="24" t="n">
        <v>6</v>
      </c>
      <c r="E12" s="34" t="n">
        <v>0.00107429684382649</v>
      </c>
      <c r="F12" s="34" t="n">
        <v>0.00182943652919281</v>
      </c>
      <c r="G12" s="34" t="n">
        <v>0.000781632012398366</v>
      </c>
      <c r="H12" s="34" t="n">
        <v>0.00346246493660184</v>
      </c>
      <c r="I12" s="34" t="n">
        <v>0.0200834644322308</v>
      </c>
      <c r="J12" s="34" t="n">
        <v>1.02837397817337</v>
      </c>
      <c r="K12" s="34" t="n">
        <v>0.0106126949677597</v>
      </c>
      <c r="L12" s="34" t="n">
        <v>0.00333004268981347</v>
      </c>
      <c r="M12" s="34" t="n">
        <v>0.00153989124799476</v>
      </c>
      <c r="N12" s="34" t="n">
        <v>0.00246672475074439</v>
      </c>
      <c r="O12" s="34" t="n">
        <v>0.00578523121190927</v>
      </c>
      <c r="P12" s="34" t="n">
        <v>0.00123654358015092</v>
      </c>
      <c r="Q12" s="34" t="n">
        <v>0.00162419566088704</v>
      </c>
      <c r="R12" s="34" t="n">
        <v>0.001248815175511</v>
      </c>
      <c r="S12" s="34" t="n">
        <v>0.00169836122523525</v>
      </c>
      <c r="T12" s="34" t="n">
        <v>0.0030960290469091</v>
      </c>
      <c r="U12" s="34" t="n">
        <v>0.00318570722079419</v>
      </c>
      <c r="V12" s="34" t="n">
        <v>0.00187738068825524</v>
      </c>
      <c r="W12" s="34" t="n">
        <v>0.00676396728351119</v>
      </c>
      <c r="X12" s="34" t="n">
        <v>0.00136947847012918</v>
      </c>
      <c r="Y12" s="34" t="n">
        <v>0.00221624402836105</v>
      </c>
      <c r="Z12" s="34" t="n">
        <v>0.00244820218493613</v>
      </c>
      <c r="AA12" s="34" t="n">
        <v>0.00300977376278447</v>
      </c>
      <c r="AB12" s="34" t="n">
        <v>0.00161368708707739</v>
      </c>
      <c r="AC12" s="34" t="n">
        <v>0.00433715360427635</v>
      </c>
      <c r="AD12" s="34" t="n">
        <v>0.00829821805143903</v>
      </c>
      <c r="AE12" s="34" t="n">
        <v>0.267741323031148</v>
      </c>
      <c r="AF12" s="34" t="n">
        <v>0.00955838357365412</v>
      </c>
      <c r="AG12" s="34" t="n">
        <v>0.0588118617414444</v>
      </c>
      <c r="AH12" s="34" t="n">
        <v>0.00204588941157077</v>
      </c>
      <c r="AI12" s="34" t="n">
        <v>0.0165520822830769</v>
      </c>
      <c r="AJ12" s="34" t="n">
        <v>0.0257954203714965</v>
      </c>
      <c r="AK12" s="34" t="n">
        <v>0.0193983835131875</v>
      </c>
      <c r="AL12" s="34" t="n">
        <v>0.0291213044421809</v>
      </c>
      <c r="AM12" s="34" t="n">
        <v>0.00947598073117468</v>
      </c>
      <c r="AN12" s="34" t="n">
        <v>0.0078543455656097</v>
      </c>
      <c r="AO12" s="34" t="n">
        <v>0.0117625253183401</v>
      </c>
      <c r="AP12" s="34" t="n">
        <v>0.00251088254347141</v>
      </c>
      <c r="AQ12" s="34" t="n">
        <v>0.00293544721372141</v>
      </c>
      <c r="AR12" s="34" t="n">
        <v>0.0124438097074528</v>
      </c>
      <c r="AS12" s="34" t="n">
        <v>0.00409005138794958</v>
      </c>
      <c r="AT12" s="34" t="n">
        <v>0.00156749517851097</v>
      </c>
      <c r="AU12" s="34" t="n">
        <v>0.00334171319771706</v>
      </c>
      <c r="AV12" s="34" t="n">
        <v>0.00203845045532631</v>
      </c>
      <c r="AW12" s="34" t="n">
        <v>0.00170859791027654</v>
      </c>
      <c r="AX12" s="34" t="n">
        <v>0.00127850279315749</v>
      </c>
      <c r="AY12" s="34" t="n">
        <v>0.00150078746029713</v>
      </c>
      <c r="AZ12" s="34" t="n">
        <v>0.00194159717097755</v>
      </c>
      <c r="BA12" s="34" t="n">
        <v>0.00156216198350913</v>
      </c>
      <c r="BB12" s="34" t="n">
        <v>0.001138444388973</v>
      </c>
      <c r="BC12" s="34" t="n">
        <v>0.00151965789031798</v>
      </c>
      <c r="BD12" s="34" t="n">
        <v>0.000636390803092274</v>
      </c>
      <c r="BE12" s="34" t="n">
        <v>0.000280279229557893</v>
      </c>
      <c r="BF12" s="34" t="n">
        <v>0.000208878282383649</v>
      </c>
      <c r="BG12" s="34" t="n">
        <v>0.000563813173428946</v>
      </c>
      <c r="BH12" s="34" t="n">
        <v>0.000998828472139107</v>
      </c>
      <c r="BI12" s="34" t="n">
        <v>0.000729612350301361</v>
      </c>
      <c r="BJ12" s="34" t="n">
        <v>0.00230580378719058</v>
      </c>
      <c r="BK12" s="34" t="n">
        <v>0.00096952314199071</v>
      </c>
      <c r="BL12" s="34" t="n">
        <v>0.000558213606859432</v>
      </c>
      <c r="BM12" s="34" t="n">
        <v>0.000764574341701819</v>
      </c>
      <c r="BN12" s="34" t="n">
        <v>0.000327531698869479</v>
      </c>
      <c r="BO12" s="34" t="n">
        <v>0.000539886649163044</v>
      </c>
      <c r="BP12" s="34" t="n">
        <v>0.00102131209962868</v>
      </c>
      <c r="BQ12" s="34" t="n">
        <v>0.000616810079217633</v>
      </c>
      <c r="BR12" s="34" t="n">
        <v>0.00110378107516562</v>
      </c>
      <c r="BS12" s="34" t="n">
        <v>0.000967609124278148</v>
      </c>
      <c r="BT12" s="34" t="n">
        <v>0</v>
      </c>
    </row>
    <row r="13" customFormat="false" ht="11.25" hidden="false" customHeight="true" outlineLevel="0" collapsed="false">
      <c r="B13" s="19" t="s">
        <v>77</v>
      </c>
      <c r="C13" s="20" t="s">
        <v>78</v>
      </c>
      <c r="D13" s="19" t="n">
        <v>7</v>
      </c>
      <c r="E13" s="33" t="n">
        <v>0.000401895650868138</v>
      </c>
      <c r="F13" s="33" t="n">
        <v>0.000428119838942114</v>
      </c>
      <c r="G13" s="33" t="n">
        <v>0.000179011274231629</v>
      </c>
      <c r="H13" s="33" t="n">
        <v>0.000694588378639941</v>
      </c>
      <c r="I13" s="33" t="n">
        <v>0.00207748804389838</v>
      </c>
      <c r="J13" s="33" t="n">
        <v>0.000800703497252813</v>
      </c>
      <c r="K13" s="33" t="n">
        <v>1.07481991410145</v>
      </c>
      <c r="L13" s="33" t="n">
        <v>0.000979279387045102</v>
      </c>
      <c r="M13" s="33" t="n">
        <v>0.000474607730604289</v>
      </c>
      <c r="N13" s="33" t="n">
        <v>0.000930594100552968</v>
      </c>
      <c r="O13" s="33" t="n">
        <v>0.0011229712106826</v>
      </c>
      <c r="P13" s="33" t="n">
        <v>0.000399420750968946</v>
      </c>
      <c r="Q13" s="33" t="n">
        <v>0.000540495666637399</v>
      </c>
      <c r="R13" s="33" t="n">
        <v>0.000427341318127105</v>
      </c>
      <c r="S13" s="33" t="n">
        <v>0.000537063948078895</v>
      </c>
      <c r="T13" s="33" t="n">
        <v>0.000752688194272905</v>
      </c>
      <c r="U13" s="33" t="n">
        <v>0.00141635044375288</v>
      </c>
      <c r="V13" s="33" t="n">
        <v>0.00281831473402958</v>
      </c>
      <c r="W13" s="33" t="n">
        <v>0.000788784540542922</v>
      </c>
      <c r="X13" s="33" t="n">
        <v>0.000437610672263904</v>
      </c>
      <c r="Y13" s="33" t="n">
        <v>0.00129202969269435</v>
      </c>
      <c r="Z13" s="33" t="n">
        <v>0.00116684880187575</v>
      </c>
      <c r="AA13" s="33" t="n">
        <v>0.000834468682923162</v>
      </c>
      <c r="AB13" s="33" t="n">
        <v>0.000508111347832697</v>
      </c>
      <c r="AC13" s="33" t="n">
        <v>0.000966551900125092</v>
      </c>
      <c r="AD13" s="33" t="n">
        <v>0.0018563003792933</v>
      </c>
      <c r="AE13" s="33" t="n">
        <v>0.0167083614431591</v>
      </c>
      <c r="AF13" s="33" t="n">
        <v>0.128745623675789</v>
      </c>
      <c r="AG13" s="33" t="n">
        <v>0.00863068706923619</v>
      </c>
      <c r="AH13" s="33" t="n">
        <v>0.001023696390346</v>
      </c>
      <c r="AI13" s="33" t="n">
        <v>0.0175976056556339</v>
      </c>
      <c r="AJ13" s="33" t="n">
        <v>0.00468730764768338</v>
      </c>
      <c r="AK13" s="33" t="n">
        <v>0.00434902162960962</v>
      </c>
      <c r="AL13" s="33" t="n">
        <v>0.00969299753388625</v>
      </c>
      <c r="AM13" s="33" t="n">
        <v>0.00500753825839896</v>
      </c>
      <c r="AN13" s="33" t="n">
        <v>0.00556939836198892</v>
      </c>
      <c r="AO13" s="33" t="n">
        <v>0.00423302299870941</v>
      </c>
      <c r="AP13" s="33" t="n">
        <v>0.000762743301208072</v>
      </c>
      <c r="AQ13" s="33" t="n">
        <v>0.000822876691798218</v>
      </c>
      <c r="AR13" s="33" t="n">
        <v>0.00247785789178386</v>
      </c>
      <c r="AS13" s="33" t="n">
        <v>0.00170593680724001</v>
      </c>
      <c r="AT13" s="33" t="n">
        <v>0.000413426365344384</v>
      </c>
      <c r="AU13" s="33" t="n">
        <v>0.00086572183971937</v>
      </c>
      <c r="AV13" s="33" t="n">
        <v>0.000547063399439872</v>
      </c>
      <c r="AW13" s="33" t="n">
        <v>0.000338220729129137</v>
      </c>
      <c r="AX13" s="33" t="n">
        <v>0.000373039852833147</v>
      </c>
      <c r="AY13" s="33" t="n">
        <v>0.000434237317127315</v>
      </c>
      <c r="AZ13" s="33" t="n">
        <v>0.000464522227764319</v>
      </c>
      <c r="BA13" s="33" t="n">
        <v>0.000624994750635786</v>
      </c>
      <c r="BB13" s="33" t="n">
        <v>0.000389226563977747</v>
      </c>
      <c r="BC13" s="33" t="n">
        <v>0.000459432873713948</v>
      </c>
      <c r="BD13" s="33" t="n">
        <v>0.000206136903158626</v>
      </c>
      <c r="BE13" s="33" t="n">
        <v>0.000100037975320567</v>
      </c>
      <c r="BF13" s="33" t="n">
        <v>7.57718601769504E-005</v>
      </c>
      <c r="BG13" s="33" t="n">
        <v>0.000242714850941353</v>
      </c>
      <c r="BH13" s="33" t="n">
        <v>0.000274633621945976</v>
      </c>
      <c r="BI13" s="33" t="n">
        <v>0.000311074897627732</v>
      </c>
      <c r="BJ13" s="33" t="n">
        <v>0.000463689317371943</v>
      </c>
      <c r="BK13" s="33" t="n">
        <v>0.000304425532017096</v>
      </c>
      <c r="BL13" s="33" t="n">
        <v>0.0001525474474375</v>
      </c>
      <c r="BM13" s="33" t="n">
        <v>0.000171199493157608</v>
      </c>
      <c r="BN13" s="33" t="n">
        <v>9.77233069291288E-005</v>
      </c>
      <c r="BO13" s="33" t="n">
        <v>0.000202225752407448</v>
      </c>
      <c r="BP13" s="33" t="n">
        <v>0.000311604314589709</v>
      </c>
      <c r="BQ13" s="33" t="n">
        <v>0.000320492243010316</v>
      </c>
      <c r="BR13" s="33" t="n">
        <v>0.000486257168585033</v>
      </c>
      <c r="BS13" s="33" t="n">
        <v>0.000394140683666099</v>
      </c>
      <c r="BT13" s="33" t="n">
        <v>0</v>
      </c>
    </row>
    <row r="14" customFormat="false" ht="11.25" hidden="false" customHeight="true" outlineLevel="0" collapsed="false">
      <c r="B14" s="24" t="s">
        <v>79</v>
      </c>
      <c r="C14" s="25" t="s">
        <v>80</v>
      </c>
      <c r="D14" s="24" t="n">
        <v>8</v>
      </c>
      <c r="E14" s="34" t="n">
        <v>0.000877812850122939</v>
      </c>
      <c r="F14" s="34" t="n">
        <v>0.0196805105847623</v>
      </c>
      <c r="G14" s="34" t="n">
        <v>0.00204281127354804</v>
      </c>
      <c r="H14" s="34" t="n">
        <v>0.0015509775302295</v>
      </c>
      <c r="I14" s="34" t="n">
        <v>0.000827663756990385</v>
      </c>
      <c r="J14" s="34" t="n">
        <v>0.000644700816619254</v>
      </c>
      <c r="K14" s="34" t="n">
        <v>0.00109023435313606</v>
      </c>
      <c r="L14" s="34" t="n">
        <v>1.10816384360676</v>
      </c>
      <c r="M14" s="34" t="n">
        <v>0.00130726124410598</v>
      </c>
      <c r="N14" s="34" t="n">
        <v>0.0135705260403684</v>
      </c>
      <c r="O14" s="34" t="n">
        <v>0.00190043357060299</v>
      </c>
      <c r="P14" s="34" t="n">
        <v>0.00179733350881935</v>
      </c>
      <c r="Q14" s="34" t="n">
        <v>0.00178149891638361</v>
      </c>
      <c r="R14" s="34" t="n">
        <v>0.00154000531817428</v>
      </c>
      <c r="S14" s="34" t="n">
        <v>0.0431506220481399</v>
      </c>
      <c r="T14" s="34" t="n">
        <v>0.00339039996428401</v>
      </c>
      <c r="U14" s="34" t="n">
        <v>0.00280827129083482</v>
      </c>
      <c r="V14" s="34" t="n">
        <v>0.000952108904748611</v>
      </c>
      <c r="W14" s="34" t="n">
        <v>0.00208577408358429</v>
      </c>
      <c r="X14" s="34" t="n">
        <v>0.0209025584692607</v>
      </c>
      <c r="Y14" s="34" t="n">
        <v>0.00163280517951883</v>
      </c>
      <c r="Z14" s="34" t="n">
        <v>0.00292545331893378</v>
      </c>
      <c r="AA14" s="34" t="n">
        <v>0.0456762174124991</v>
      </c>
      <c r="AB14" s="34" t="n">
        <v>0.00265855612432691</v>
      </c>
      <c r="AC14" s="34" t="n">
        <v>0.00199494436827295</v>
      </c>
      <c r="AD14" s="34" t="n">
        <v>0.00181042786418214</v>
      </c>
      <c r="AE14" s="34" t="n">
        <v>0.00158010843978029</v>
      </c>
      <c r="AF14" s="34" t="n">
        <v>0.00126180984455127</v>
      </c>
      <c r="AG14" s="34" t="n">
        <v>0.00275865987527348</v>
      </c>
      <c r="AH14" s="34" t="n">
        <v>0.000953385250323157</v>
      </c>
      <c r="AI14" s="34" t="n">
        <v>0.00177112483617965</v>
      </c>
      <c r="AJ14" s="34" t="n">
        <v>0.00229020211686532</v>
      </c>
      <c r="AK14" s="34" t="n">
        <v>0.000983630841001664</v>
      </c>
      <c r="AL14" s="34" t="n">
        <v>0.000764925852323859</v>
      </c>
      <c r="AM14" s="34" t="n">
        <v>0.000793315413348368</v>
      </c>
      <c r="AN14" s="34" t="n">
        <v>0.00237221597564151</v>
      </c>
      <c r="AO14" s="34" t="n">
        <v>0.000783466565373708</v>
      </c>
      <c r="AP14" s="34" t="n">
        <v>0.000433783034390085</v>
      </c>
      <c r="AQ14" s="34" t="n">
        <v>0.000423837102884384</v>
      </c>
      <c r="AR14" s="34" t="n">
        <v>0.000895224612614324</v>
      </c>
      <c r="AS14" s="34" t="n">
        <v>0.000561909115054794</v>
      </c>
      <c r="AT14" s="34" t="n">
        <v>0.00147704228690878</v>
      </c>
      <c r="AU14" s="34" t="n">
        <v>0.000796091099193687</v>
      </c>
      <c r="AV14" s="34" t="n">
        <v>0.000495804432909933</v>
      </c>
      <c r="AW14" s="34" t="n">
        <v>0.00185873884788499</v>
      </c>
      <c r="AX14" s="34" t="n">
        <v>0.000528808154622322</v>
      </c>
      <c r="AY14" s="34" t="n">
        <v>0.0242651097726925</v>
      </c>
      <c r="AZ14" s="34" t="n">
        <v>0.0910872432121939</v>
      </c>
      <c r="BA14" s="34" t="n">
        <v>0.00188434517862783</v>
      </c>
      <c r="BB14" s="34" t="n">
        <v>0.003073175807876</v>
      </c>
      <c r="BC14" s="34" t="n">
        <v>0.00179781118359856</v>
      </c>
      <c r="BD14" s="34" t="n">
        <v>0.000571628782172125</v>
      </c>
      <c r="BE14" s="34" t="n">
        <v>0.000618981504078131</v>
      </c>
      <c r="BF14" s="34" t="n">
        <v>8.9480881580381E-005</v>
      </c>
      <c r="BG14" s="34" t="n">
        <v>0.00108827393816094</v>
      </c>
      <c r="BH14" s="34" t="n">
        <v>0.000640559258038368</v>
      </c>
      <c r="BI14" s="34" t="n">
        <v>0.00158487386075718</v>
      </c>
      <c r="BJ14" s="34" t="n">
        <v>0.000512456677850157</v>
      </c>
      <c r="BK14" s="34" t="n">
        <v>0.00112924443515362</v>
      </c>
      <c r="BL14" s="34" t="n">
        <v>0.000406730408171599</v>
      </c>
      <c r="BM14" s="34" t="n">
        <v>0.00473939500287765</v>
      </c>
      <c r="BN14" s="34" t="n">
        <v>0.00510589221965726</v>
      </c>
      <c r="BO14" s="34" t="n">
        <v>0.00293120748427865</v>
      </c>
      <c r="BP14" s="34" t="n">
        <v>0.0119590500833889</v>
      </c>
      <c r="BQ14" s="34" t="n">
        <v>0.00463982604489252</v>
      </c>
      <c r="BR14" s="34" t="n">
        <v>0.000957781563187099</v>
      </c>
      <c r="BS14" s="34" t="n">
        <v>0.00861778763087987</v>
      </c>
      <c r="BT14" s="34" t="n">
        <v>0</v>
      </c>
    </row>
    <row r="15" customFormat="false" ht="11.25" hidden="false" customHeight="true" outlineLevel="0" collapsed="false">
      <c r="B15" s="19" t="s">
        <v>81</v>
      </c>
      <c r="C15" s="20" t="s">
        <v>82</v>
      </c>
      <c r="D15" s="19" t="n">
        <v>9</v>
      </c>
      <c r="E15" s="33" t="n">
        <v>0.00236888567765175</v>
      </c>
      <c r="F15" s="33" t="n">
        <v>0.00385755866580928</v>
      </c>
      <c r="G15" s="33" t="n">
        <v>0.00157813920218712</v>
      </c>
      <c r="H15" s="33" t="n">
        <v>0.00354736387050082</v>
      </c>
      <c r="I15" s="33" t="n">
        <v>0.00288619833576329</v>
      </c>
      <c r="J15" s="33" t="n">
        <v>0.00228489630837337</v>
      </c>
      <c r="K15" s="33" t="n">
        <v>0.00365676074414651</v>
      </c>
      <c r="L15" s="33" t="n">
        <v>0.00668460890877093</v>
      </c>
      <c r="M15" s="33" t="n">
        <v>1.02313718367729</v>
      </c>
      <c r="N15" s="33" t="n">
        <v>0.0174231920611752</v>
      </c>
      <c r="O15" s="33" t="n">
        <v>0.0159450243766643</v>
      </c>
      <c r="P15" s="33" t="n">
        <v>0.00189304758562156</v>
      </c>
      <c r="Q15" s="33" t="n">
        <v>0.00221046430151228</v>
      </c>
      <c r="R15" s="33" t="n">
        <v>0.00147219476604346</v>
      </c>
      <c r="S15" s="33" t="n">
        <v>0.00236163929680265</v>
      </c>
      <c r="T15" s="33" t="n">
        <v>0.00290369877174468</v>
      </c>
      <c r="U15" s="33" t="n">
        <v>0.00350071542952372</v>
      </c>
      <c r="V15" s="33" t="n">
        <v>0.00126542270390351</v>
      </c>
      <c r="W15" s="33" t="n">
        <v>0.0297021566649894</v>
      </c>
      <c r="X15" s="33" t="n">
        <v>0.015462648396565</v>
      </c>
      <c r="Y15" s="33" t="n">
        <v>0.00472714607509348</v>
      </c>
      <c r="Z15" s="33" t="n">
        <v>0.00859005211601738</v>
      </c>
      <c r="AA15" s="33" t="n">
        <v>0.0137553006323282</v>
      </c>
      <c r="AB15" s="33" t="n">
        <v>0.00661729347322955</v>
      </c>
      <c r="AC15" s="33" t="n">
        <v>0.00292366919888469</v>
      </c>
      <c r="AD15" s="33" t="n">
        <v>0.00321597710302884</v>
      </c>
      <c r="AE15" s="33" t="n">
        <v>0.00284734894307885</v>
      </c>
      <c r="AF15" s="33" t="n">
        <v>0.00264648879847368</v>
      </c>
      <c r="AG15" s="33" t="n">
        <v>0.00243268634668337</v>
      </c>
      <c r="AH15" s="33" t="n">
        <v>0.000982111921833382</v>
      </c>
      <c r="AI15" s="33" t="n">
        <v>0.00222294077103054</v>
      </c>
      <c r="AJ15" s="33" t="n">
        <v>0.00252047373864103</v>
      </c>
      <c r="AK15" s="33" t="n">
        <v>0.00146031457869646</v>
      </c>
      <c r="AL15" s="33" t="n">
        <v>0.00132393370595583</v>
      </c>
      <c r="AM15" s="33" t="n">
        <v>0.00103625735789588</v>
      </c>
      <c r="AN15" s="33" t="n">
        <v>0.00172862068933963</v>
      </c>
      <c r="AO15" s="33" t="n">
        <v>0.00127255284283056</v>
      </c>
      <c r="AP15" s="33" t="n">
        <v>0.000906128246237633</v>
      </c>
      <c r="AQ15" s="33" t="n">
        <v>0.00115882544287598</v>
      </c>
      <c r="AR15" s="33" t="n">
        <v>0.00173339668888812</v>
      </c>
      <c r="AS15" s="33" t="n">
        <v>0.00170619367624192</v>
      </c>
      <c r="AT15" s="33" t="n">
        <v>0.00190896885636712</v>
      </c>
      <c r="AU15" s="33" t="n">
        <v>0.00781418843117714</v>
      </c>
      <c r="AV15" s="33" t="n">
        <v>0.00301999783452176</v>
      </c>
      <c r="AW15" s="33" t="n">
        <v>0.00517908879208476</v>
      </c>
      <c r="AX15" s="33" t="n">
        <v>0.00153486379110691</v>
      </c>
      <c r="AY15" s="33" t="n">
        <v>0.00159196218291807</v>
      </c>
      <c r="AZ15" s="33" t="n">
        <v>0.00735304083298835</v>
      </c>
      <c r="BA15" s="33" t="n">
        <v>0.00188981112782141</v>
      </c>
      <c r="BB15" s="33" t="n">
        <v>0.00152493473717151</v>
      </c>
      <c r="BC15" s="33" t="n">
        <v>0.00137393133049088</v>
      </c>
      <c r="BD15" s="33" t="n">
        <v>0.000603729262863622</v>
      </c>
      <c r="BE15" s="33" t="n">
        <v>0.000394393633620329</v>
      </c>
      <c r="BF15" s="33" t="n">
        <v>0.000104536020048631</v>
      </c>
      <c r="BG15" s="33" t="n">
        <v>0.000806493133809874</v>
      </c>
      <c r="BH15" s="33" t="n">
        <v>0.00170849093736739</v>
      </c>
      <c r="BI15" s="33" t="n">
        <v>0.00106040530192203</v>
      </c>
      <c r="BJ15" s="33" t="n">
        <v>0.00198260214151119</v>
      </c>
      <c r="BK15" s="33" t="n">
        <v>0.000921953252277491</v>
      </c>
      <c r="BL15" s="33" t="n">
        <v>0.00138874314492376</v>
      </c>
      <c r="BM15" s="33" t="n">
        <v>0.000899474046451545</v>
      </c>
      <c r="BN15" s="33" t="n">
        <v>0.000621169801128987</v>
      </c>
      <c r="BO15" s="33" t="n">
        <v>0.000598445379468918</v>
      </c>
      <c r="BP15" s="33" t="n">
        <v>0.00144976002100044</v>
      </c>
      <c r="BQ15" s="33" t="n">
        <v>0.00087341368652028</v>
      </c>
      <c r="BR15" s="33" t="n">
        <v>0.000999095637874349</v>
      </c>
      <c r="BS15" s="33" t="n">
        <v>0.00188610401531938</v>
      </c>
      <c r="BT15" s="33" t="n">
        <v>0</v>
      </c>
    </row>
    <row r="16" customFormat="false" ht="11.25" hidden="false" customHeight="true" outlineLevel="0" collapsed="false">
      <c r="B16" s="24" t="s">
        <v>83</v>
      </c>
      <c r="C16" s="25" t="s">
        <v>84</v>
      </c>
      <c r="D16" s="24" t="n">
        <v>10</v>
      </c>
      <c r="E16" s="34" t="n">
        <v>0.00871917864999927</v>
      </c>
      <c r="F16" s="34" t="n">
        <v>0.107431368574064</v>
      </c>
      <c r="G16" s="34" t="n">
        <v>0.0380968210592998</v>
      </c>
      <c r="H16" s="34" t="n">
        <v>0.013590279534338</v>
      </c>
      <c r="I16" s="34" t="n">
        <v>0.00365101675597144</v>
      </c>
      <c r="J16" s="34" t="n">
        <v>0.00303614878438107</v>
      </c>
      <c r="K16" s="34" t="n">
        <v>0.00543575944027878</v>
      </c>
      <c r="L16" s="34" t="n">
        <v>0.146615282420328</v>
      </c>
      <c r="M16" s="34" t="n">
        <v>0.00853400057981624</v>
      </c>
      <c r="N16" s="34" t="n">
        <v>1.11647849628937</v>
      </c>
      <c r="O16" s="34" t="n">
        <v>0.0393388892740561</v>
      </c>
      <c r="P16" s="34" t="n">
        <v>0.00957499950264095</v>
      </c>
      <c r="Q16" s="34" t="n">
        <v>0.00924763005284099</v>
      </c>
      <c r="R16" s="34" t="n">
        <v>0.00709336123573865</v>
      </c>
      <c r="S16" s="34" t="n">
        <v>0.015324489780033</v>
      </c>
      <c r="T16" s="34" t="n">
        <v>0.0127527894635694</v>
      </c>
      <c r="U16" s="34" t="n">
        <v>0.0218001562945721</v>
      </c>
      <c r="V16" s="34" t="n">
        <v>0.00504373041166032</v>
      </c>
      <c r="W16" s="34" t="n">
        <v>0.018208812405361</v>
      </c>
      <c r="X16" s="34" t="n">
        <v>0.0932238722533983</v>
      </c>
      <c r="Y16" s="34" t="n">
        <v>0.00973717163948666</v>
      </c>
      <c r="Z16" s="34" t="n">
        <v>0.0201681934476034</v>
      </c>
      <c r="AA16" s="34" t="n">
        <v>0.037362896018268</v>
      </c>
      <c r="AB16" s="34" t="n">
        <v>0.0126056111465968</v>
      </c>
      <c r="AC16" s="34" t="n">
        <v>0.0101142892211456</v>
      </c>
      <c r="AD16" s="34" t="n">
        <v>0.00918673491541798</v>
      </c>
      <c r="AE16" s="34" t="n">
        <v>0.00738168775679254</v>
      </c>
      <c r="AF16" s="34" t="n">
        <v>0.00547255789477747</v>
      </c>
      <c r="AG16" s="34" t="n">
        <v>0.00839455230181331</v>
      </c>
      <c r="AH16" s="34" t="n">
        <v>0.00390820958430858</v>
      </c>
      <c r="AI16" s="34" t="n">
        <v>0.00764421035521196</v>
      </c>
      <c r="AJ16" s="34" t="n">
        <v>0.00929331459565612</v>
      </c>
      <c r="AK16" s="34" t="n">
        <v>0.00329290706799445</v>
      </c>
      <c r="AL16" s="34" t="n">
        <v>0.00314193870833675</v>
      </c>
      <c r="AM16" s="34" t="n">
        <v>0.00310442881883808</v>
      </c>
      <c r="AN16" s="34" t="n">
        <v>0.00743659896681449</v>
      </c>
      <c r="AO16" s="34" t="n">
        <v>0.0030803895066379</v>
      </c>
      <c r="AP16" s="34" t="n">
        <v>0.00131760508109868</v>
      </c>
      <c r="AQ16" s="34" t="n">
        <v>0.00199690703968724</v>
      </c>
      <c r="AR16" s="34" t="n">
        <v>0.00377024939857322</v>
      </c>
      <c r="AS16" s="34" t="n">
        <v>0.00248881110138816</v>
      </c>
      <c r="AT16" s="34" t="n">
        <v>0.00748075468744779</v>
      </c>
      <c r="AU16" s="34" t="n">
        <v>0.00541951324830361</v>
      </c>
      <c r="AV16" s="34" t="n">
        <v>0.00254302152901912</v>
      </c>
      <c r="AW16" s="34" t="n">
        <v>0.00524148532011912</v>
      </c>
      <c r="AX16" s="34" t="n">
        <v>0.00196901114979641</v>
      </c>
      <c r="AY16" s="34" t="n">
        <v>0.0164709023106012</v>
      </c>
      <c r="AZ16" s="34" t="n">
        <v>0.070999151677375</v>
      </c>
      <c r="BA16" s="34" t="n">
        <v>0.00815259984334655</v>
      </c>
      <c r="BB16" s="34" t="n">
        <v>0.00684486314254714</v>
      </c>
      <c r="BC16" s="34" t="n">
        <v>0.00663088120443212</v>
      </c>
      <c r="BD16" s="34" t="n">
        <v>0.00184994954160309</v>
      </c>
      <c r="BE16" s="34" t="n">
        <v>0.00123351338039607</v>
      </c>
      <c r="BF16" s="34" t="n">
        <v>0.000300428903512029</v>
      </c>
      <c r="BG16" s="34" t="n">
        <v>0.002312906583399</v>
      </c>
      <c r="BH16" s="34" t="n">
        <v>0.0022040814723866</v>
      </c>
      <c r="BI16" s="34" t="n">
        <v>0.00415453586711072</v>
      </c>
      <c r="BJ16" s="34" t="n">
        <v>0.00210768777015512</v>
      </c>
      <c r="BK16" s="34" t="n">
        <v>0.00239385798947451</v>
      </c>
      <c r="BL16" s="34" t="n">
        <v>0.00156552679392164</v>
      </c>
      <c r="BM16" s="34" t="n">
        <v>0.00425248438277019</v>
      </c>
      <c r="BN16" s="34" t="n">
        <v>0.00522273155040235</v>
      </c>
      <c r="BO16" s="34" t="n">
        <v>0.0030307157238809</v>
      </c>
      <c r="BP16" s="34" t="n">
        <v>0.0161726429040022</v>
      </c>
      <c r="BQ16" s="34" t="n">
        <v>0.00480463267324217</v>
      </c>
      <c r="BR16" s="34" t="n">
        <v>0.00315812093295811</v>
      </c>
      <c r="BS16" s="34" t="n">
        <v>0.0123852041884908</v>
      </c>
      <c r="BT16" s="34" t="n">
        <v>0</v>
      </c>
    </row>
    <row r="17" customFormat="false" ht="11.25" hidden="false" customHeight="true" outlineLevel="0" collapsed="false">
      <c r="B17" s="19" t="s">
        <v>85</v>
      </c>
      <c r="C17" s="20" t="s">
        <v>86</v>
      </c>
      <c r="D17" s="19" t="n">
        <v>11</v>
      </c>
      <c r="E17" s="33" t="n">
        <v>0.000265629680698048</v>
      </c>
      <c r="F17" s="33" t="n">
        <v>0.000371856347222336</v>
      </c>
      <c r="G17" s="33" t="n">
        <v>0.000146429714404078</v>
      </c>
      <c r="H17" s="33" t="n">
        <v>0.000879770418793388</v>
      </c>
      <c r="I17" s="33" t="n">
        <v>0.000649080504013578</v>
      </c>
      <c r="J17" s="33" t="n">
        <v>0.000490118438305881</v>
      </c>
      <c r="K17" s="33" t="n">
        <v>0.000814026845427214</v>
      </c>
      <c r="L17" s="33" t="n">
        <v>0.00307690854173174</v>
      </c>
      <c r="M17" s="33" t="n">
        <v>0.000614015225273166</v>
      </c>
      <c r="N17" s="33" t="n">
        <v>0.00149019376156663</v>
      </c>
      <c r="O17" s="33" t="n">
        <v>1.101014334462</v>
      </c>
      <c r="P17" s="33" t="n">
        <v>0.000958234423610751</v>
      </c>
      <c r="Q17" s="33" t="n">
        <v>0.000936076352199257</v>
      </c>
      <c r="R17" s="33" t="n">
        <v>0.000892878162102865</v>
      </c>
      <c r="S17" s="33" t="n">
        <v>0.00143406913459999</v>
      </c>
      <c r="T17" s="33" t="n">
        <v>0.00102686190547752</v>
      </c>
      <c r="U17" s="33" t="n">
        <v>0.00155086682960891</v>
      </c>
      <c r="V17" s="33" t="n">
        <v>0.000614291897831383</v>
      </c>
      <c r="W17" s="33" t="n">
        <v>0.000597502313120128</v>
      </c>
      <c r="X17" s="33" t="n">
        <v>0.000733185647877108</v>
      </c>
      <c r="Y17" s="33" t="n">
        <v>0.000777335098528897</v>
      </c>
      <c r="Z17" s="33" t="n">
        <v>0.00140987469417366</v>
      </c>
      <c r="AA17" s="33" t="n">
        <v>0.000859180380798053</v>
      </c>
      <c r="AB17" s="33" t="n">
        <v>0.00177736559962493</v>
      </c>
      <c r="AC17" s="33" t="n">
        <v>0.00116634934054502</v>
      </c>
      <c r="AD17" s="33" t="n">
        <v>0.00112971978642912</v>
      </c>
      <c r="AE17" s="33" t="n">
        <v>0.00107510491877118</v>
      </c>
      <c r="AF17" s="33" t="n">
        <v>0.000833617628510759</v>
      </c>
      <c r="AG17" s="33" t="n">
        <v>0.0013714832335474</v>
      </c>
      <c r="AH17" s="33" t="n">
        <v>0.000663634786499449</v>
      </c>
      <c r="AI17" s="33" t="n">
        <v>0.00121409287842324</v>
      </c>
      <c r="AJ17" s="33" t="n">
        <v>0.00193527927481338</v>
      </c>
      <c r="AK17" s="33" t="n">
        <v>0.000781575955135245</v>
      </c>
      <c r="AL17" s="33" t="n">
        <v>0.000509929067522674</v>
      </c>
      <c r="AM17" s="33" t="n">
        <v>0.000591323453173689</v>
      </c>
      <c r="AN17" s="33" t="n">
        <v>0.000875148435067244</v>
      </c>
      <c r="AO17" s="33" t="n">
        <v>0.000906533780214861</v>
      </c>
      <c r="AP17" s="33" t="n">
        <v>0.000338687494011596</v>
      </c>
      <c r="AQ17" s="33" t="n">
        <v>0.000267444949065664</v>
      </c>
      <c r="AR17" s="33" t="n">
        <v>0.000512024135383534</v>
      </c>
      <c r="AS17" s="33" t="n">
        <v>0.000412428803387152</v>
      </c>
      <c r="AT17" s="33" t="n">
        <v>0.000695789025271284</v>
      </c>
      <c r="AU17" s="33" t="n">
        <v>0.000334302403239127</v>
      </c>
      <c r="AV17" s="33" t="n">
        <v>0.000322110732023116</v>
      </c>
      <c r="AW17" s="33" t="n">
        <v>0.00197721919710446</v>
      </c>
      <c r="AX17" s="33" t="n">
        <v>0.00037599617107632</v>
      </c>
      <c r="AY17" s="33" t="n">
        <v>0.0205387040899778</v>
      </c>
      <c r="AZ17" s="33" t="n">
        <v>0.110969938174417</v>
      </c>
      <c r="BA17" s="33" t="n">
        <v>0.00126758100969053</v>
      </c>
      <c r="BB17" s="33" t="n">
        <v>0.00292982915713138</v>
      </c>
      <c r="BC17" s="33" t="n">
        <v>0.00130587742999332</v>
      </c>
      <c r="BD17" s="33" t="n">
        <v>0.000438447094444054</v>
      </c>
      <c r="BE17" s="33" t="n">
        <v>0.000762808931431656</v>
      </c>
      <c r="BF17" s="33" t="n">
        <v>7.33270888007235E-005</v>
      </c>
      <c r="BG17" s="33" t="n">
        <v>0.00103515653032596</v>
      </c>
      <c r="BH17" s="33" t="n">
        <v>0.000337455243717209</v>
      </c>
      <c r="BI17" s="33" t="n">
        <v>0.00133014796302858</v>
      </c>
      <c r="BJ17" s="33" t="n">
        <v>0.000309214196098104</v>
      </c>
      <c r="BK17" s="33" t="n">
        <v>0.000809587494099672</v>
      </c>
      <c r="BL17" s="33" t="n">
        <v>0.000242786894006802</v>
      </c>
      <c r="BM17" s="33" t="n">
        <v>0.00151240233176921</v>
      </c>
      <c r="BN17" s="33" t="n">
        <v>0.000847154523279524</v>
      </c>
      <c r="BO17" s="33" t="n">
        <v>0.000620922964838792</v>
      </c>
      <c r="BP17" s="33" t="n">
        <v>0.0034041085163042</v>
      </c>
      <c r="BQ17" s="33" t="n">
        <v>0.00211100553093523</v>
      </c>
      <c r="BR17" s="33" t="n">
        <v>0.00136319414614903</v>
      </c>
      <c r="BS17" s="33" t="n">
        <v>0.00751681774525577</v>
      </c>
      <c r="BT17" s="33" t="n">
        <v>0</v>
      </c>
    </row>
    <row r="18" customFormat="false" ht="11.25" hidden="false" customHeight="true" outlineLevel="0" collapsed="false">
      <c r="B18" s="24" t="s">
        <v>87</v>
      </c>
      <c r="C18" s="25" t="s">
        <v>88</v>
      </c>
      <c r="D18" s="24" t="n">
        <v>12</v>
      </c>
      <c r="E18" s="34" t="n">
        <v>2.30249948194765E-005</v>
      </c>
      <c r="F18" s="34" t="n">
        <v>1.76187214519343E-005</v>
      </c>
      <c r="G18" s="34" t="n">
        <v>6.00998769875263E-006</v>
      </c>
      <c r="H18" s="34" t="n">
        <v>2.06959446217483E-005</v>
      </c>
      <c r="I18" s="34" t="n">
        <v>3.26949732254727E-005</v>
      </c>
      <c r="J18" s="34" t="n">
        <v>3.91210779509659E-005</v>
      </c>
      <c r="K18" s="34" t="n">
        <v>5.15654304294332E-005</v>
      </c>
      <c r="L18" s="34" t="n">
        <v>9.17915623595188E-005</v>
      </c>
      <c r="M18" s="34" t="n">
        <v>3.34865227181735E-005</v>
      </c>
      <c r="N18" s="34" t="n">
        <v>6.02391955544326E-005</v>
      </c>
      <c r="O18" s="34" t="n">
        <v>2.62504459271408E-005</v>
      </c>
      <c r="P18" s="34" t="n">
        <v>1.03635711644382</v>
      </c>
      <c r="Q18" s="34" t="n">
        <v>4.82047598170379E-005</v>
      </c>
      <c r="R18" s="34" t="n">
        <v>4.66798266918857E-005</v>
      </c>
      <c r="S18" s="34" t="n">
        <v>7.46506796694226E-005</v>
      </c>
      <c r="T18" s="34" t="n">
        <v>5.16718225024602E-005</v>
      </c>
      <c r="U18" s="34" t="n">
        <v>8.88204980249529E-005</v>
      </c>
      <c r="V18" s="34" t="n">
        <v>3.09565264163308E-005</v>
      </c>
      <c r="W18" s="34" t="n">
        <v>2.07960851783534E-005</v>
      </c>
      <c r="X18" s="34" t="n">
        <v>3.66469762624449E-005</v>
      </c>
      <c r="Y18" s="34" t="n">
        <v>3.20108410276403E-005</v>
      </c>
      <c r="Z18" s="34" t="n">
        <v>5.33795635486727E-005</v>
      </c>
      <c r="AA18" s="34" t="n">
        <v>3.04024240565529E-005</v>
      </c>
      <c r="AB18" s="34" t="n">
        <v>6.76830605329689E-005</v>
      </c>
      <c r="AC18" s="34" t="n">
        <v>5.70669199089109E-005</v>
      </c>
      <c r="AD18" s="34" t="n">
        <v>5.62557438157092E-005</v>
      </c>
      <c r="AE18" s="34" t="n">
        <v>5.66566693779454E-005</v>
      </c>
      <c r="AF18" s="34" t="n">
        <v>4.04845305434668E-005</v>
      </c>
      <c r="AG18" s="34" t="n">
        <v>6.14483981155457E-005</v>
      </c>
      <c r="AH18" s="34" t="n">
        <v>3.09903106792351E-005</v>
      </c>
      <c r="AI18" s="34" t="n">
        <v>6.37978915419576E-005</v>
      </c>
      <c r="AJ18" s="34" t="n">
        <v>0.000151020275763601</v>
      </c>
      <c r="AK18" s="34" t="n">
        <v>2.61417023738345E-005</v>
      </c>
      <c r="AL18" s="34" t="n">
        <v>2.26244003861721E-005</v>
      </c>
      <c r="AM18" s="34" t="n">
        <v>2.98657404367335E-005</v>
      </c>
      <c r="AN18" s="34" t="n">
        <v>4.24590833932982E-005</v>
      </c>
      <c r="AO18" s="34" t="n">
        <v>8.98243067449032E-005</v>
      </c>
      <c r="AP18" s="34" t="n">
        <v>7.28490416388344E-006</v>
      </c>
      <c r="AQ18" s="34" t="n">
        <v>9.23325062952669E-006</v>
      </c>
      <c r="AR18" s="34" t="n">
        <v>2.12172994196954E-005</v>
      </c>
      <c r="AS18" s="34" t="n">
        <v>9.44504783205431E-006</v>
      </c>
      <c r="AT18" s="34" t="n">
        <v>2.28878089027896E-005</v>
      </c>
      <c r="AU18" s="34" t="n">
        <v>9.56620746509327E-006</v>
      </c>
      <c r="AV18" s="34" t="n">
        <v>1.67585745075029E-005</v>
      </c>
      <c r="AW18" s="34" t="n">
        <v>9.50406506634623E-006</v>
      </c>
      <c r="AX18" s="34" t="n">
        <v>9.26985628254091E-006</v>
      </c>
      <c r="AY18" s="34" t="n">
        <v>1.07514352921398E-005</v>
      </c>
      <c r="AZ18" s="34" t="n">
        <v>1.75099828014546E-005</v>
      </c>
      <c r="BA18" s="34" t="n">
        <v>6.60171324862294E-005</v>
      </c>
      <c r="BB18" s="34" t="n">
        <v>4.20740248765877E-005</v>
      </c>
      <c r="BC18" s="34" t="n">
        <v>5.15041732888494E-005</v>
      </c>
      <c r="BD18" s="34" t="n">
        <v>1.32760089453817E-005</v>
      </c>
      <c r="BE18" s="34" t="n">
        <v>4.05975747823125E-006</v>
      </c>
      <c r="BF18" s="34" t="n">
        <v>1.15444595370777E-006</v>
      </c>
      <c r="BG18" s="34" t="n">
        <v>1.04746399565037E-005</v>
      </c>
      <c r="BH18" s="34" t="n">
        <v>2.84633245646171E-005</v>
      </c>
      <c r="BI18" s="34" t="n">
        <v>2.2412187906868E-005</v>
      </c>
      <c r="BJ18" s="34" t="n">
        <v>8.85098203712513E-006</v>
      </c>
      <c r="BK18" s="34" t="n">
        <v>1.43012570114918E-005</v>
      </c>
      <c r="BL18" s="34" t="n">
        <v>6.55885068403894E-006</v>
      </c>
      <c r="BM18" s="34" t="n">
        <v>3.80113824492844E-006</v>
      </c>
      <c r="BN18" s="34" t="n">
        <v>3.15624956037432E-006</v>
      </c>
      <c r="BO18" s="34" t="n">
        <v>6.20225730834753E-006</v>
      </c>
      <c r="BP18" s="34" t="n">
        <v>8.34222957700525E-006</v>
      </c>
      <c r="BQ18" s="34" t="n">
        <v>6.9596222342912E-006</v>
      </c>
      <c r="BR18" s="34" t="n">
        <v>1.032308613812E-005</v>
      </c>
      <c r="BS18" s="34" t="n">
        <v>8.8380604598136E-006</v>
      </c>
      <c r="BT18" s="34" t="n">
        <v>0</v>
      </c>
    </row>
    <row r="19" customFormat="false" ht="11.25" hidden="false" customHeight="true" outlineLevel="0" collapsed="false">
      <c r="B19" s="19" t="s">
        <v>89</v>
      </c>
      <c r="C19" s="20" t="s">
        <v>90</v>
      </c>
      <c r="D19" s="19" t="n">
        <v>13</v>
      </c>
      <c r="E19" s="33" t="n">
        <v>0.00225698401269775</v>
      </c>
      <c r="F19" s="33" t="n">
        <v>0.000738275457255871</v>
      </c>
      <c r="G19" s="33" t="n">
        <v>0.000366666869427845</v>
      </c>
      <c r="H19" s="33" t="n">
        <v>0.00875890993723149</v>
      </c>
      <c r="I19" s="33" t="n">
        <v>0.00132288112885907</v>
      </c>
      <c r="J19" s="33" t="n">
        <v>0.000633876209650103</v>
      </c>
      <c r="K19" s="33" t="n">
        <v>0.00111709942873552</v>
      </c>
      <c r="L19" s="33" t="n">
        <v>0.00164357874012641</v>
      </c>
      <c r="M19" s="33" t="n">
        <v>0.00351505042060966</v>
      </c>
      <c r="N19" s="33" t="n">
        <v>0.00264132877729587</v>
      </c>
      <c r="O19" s="33" t="n">
        <v>0.00143614595018115</v>
      </c>
      <c r="P19" s="33" t="n">
        <v>0.00130360625796103</v>
      </c>
      <c r="Q19" s="33" t="n">
        <v>1.19709752319143</v>
      </c>
      <c r="R19" s="33" t="n">
        <v>0.274554082673964</v>
      </c>
      <c r="S19" s="33" t="n">
        <v>0.0742152055887739</v>
      </c>
      <c r="T19" s="33" t="n">
        <v>0.00150134068560129</v>
      </c>
      <c r="U19" s="33" t="n">
        <v>0.00279700777302248</v>
      </c>
      <c r="V19" s="33" t="n">
        <v>0.00111348496151076</v>
      </c>
      <c r="W19" s="33" t="n">
        <v>0.000767708961724952</v>
      </c>
      <c r="X19" s="33" t="n">
        <v>0.00151875597287818</v>
      </c>
      <c r="Y19" s="33" t="n">
        <v>0.00117968552675391</v>
      </c>
      <c r="Z19" s="33" t="n">
        <v>0.00167438327277222</v>
      </c>
      <c r="AA19" s="33" t="n">
        <v>0.00152562985143942</v>
      </c>
      <c r="AB19" s="33" t="n">
        <v>0.00267534212076431</v>
      </c>
      <c r="AC19" s="33" t="n">
        <v>0.00820535537428613</v>
      </c>
      <c r="AD19" s="33" t="n">
        <v>0.00227047525537434</v>
      </c>
      <c r="AE19" s="33" t="n">
        <v>0.00109626206174955</v>
      </c>
      <c r="AF19" s="33" t="n">
        <v>0.000959980507733372</v>
      </c>
      <c r="AG19" s="33" t="n">
        <v>0.00196833068009933</v>
      </c>
      <c r="AH19" s="33" t="n">
        <v>0.000761819314690546</v>
      </c>
      <c r="AI19" s="33" t="n">
        <v>0.00216036791583333</v>
      </c>
      <c r="AJ19" s="33" t="n">
        <v>0.00168449883058024</v>
      </c>
      <c r="AK19" s="33" t="n">
        <v>0.00616806326068959</v>
      </c>
      <c r="AL19" s="33" t="n">
        <v>0.0184531206274158</v>
      </c>
      <c r="AM19" s="33" t="n">
        <v>0.00284759972547805</v>
      </c>
      <c r="AN19" s="33" t="n">
        <v>0.019610633347367</v>
      </c>
      <c r="AO19" s="33" t="n">
        <v>0.00102975634796218</v>
      </c>
      <c r="AP19" s="33" t="n">
        <v>0.00056958537899336</v>
      </c>
      <c r="AQ19" s="33" t="n">
        <v>0.000989307011261421</v>
      </c>
      <c r="AR19" s="33" t="n">
        <v>0.00207692061556794</v>
      </c>
      <c r="AS19" s="33" t="n">
        <v>0.0026259133367322</v>
      </c>
      <c r="AT19" s="33" t="n">
        <v>0.0008738145346351</v>
      </c>
      <c r="AU19" s="33" t="n">
        <v>0.00176075850247088</v>
      </c>
      <c r="AV19" s="33" t="n">
        <v>0.00106585189856889</v>
      </c>
      <c r="AW19" s="33" t="n">
        <v>0.00144312894064248</v>
      </c>
      <c r="AX19" s="33" t="n">
        <v>0.00071515751056933</v>
      </c>
      <c r="AY19" s="33" t="n">
        <v>0.00993680831387225</v>
      </c>
      <c r="AZ19" s="33" t="n">
        <v>0.00154367204494597</v>
      </c>
      <c r="BA19" s="33" t="n">
        <v>0.000973303948197458</v>
      </c>
      <c r="BB19" s="33" t="n">
        <v>0.00168616583703333</v>
      </c>
      <c r="BC19" s="33" t="n">
        <v>0.000881223869747141</v>
      </c>
      <c r="BD19" s="33" t="n">
        <v>0.000353615936579779</v>
      </c>
      <c r="BE19" s="33" t="n">
        <v>0.00038458304689814</v>
      </c>
      <c r="BF19" s="33" t="n">
        <v>8.91146299922092E-005</v>
      </c>
      <c r="BG19" s="33" t="n">
        <v>0.000375725340640288</v>
      </c>
      <c r="BH19" s="33" t="n">
        <v>0.00101611300288159</v>
      </c>
      <c r="BI19" s="33" t="n">
        <v>0.000864004415909088</v>
      </c>
      <c r="BJ19" s="33" t="n">
        <v>0.000702201860588371</v>
      </c>
      <c r="BK19" s="33" t="n">
        <v>0.000547462345354632</v>
      </c>
      <c r="BL19" s="33" t="n">
        <v>0.00140466261636668</v>
      </c>
      <c r="BM19" s="33" t="n">
        <v>0.0004704271705296</v>
      </c>
      <c r="BN19" s="33" t="n">
        <v>0.000661333601217245</v>
      </c>
      <c r="BO19" s="33" t="n">
        <v>0.000372029639575477</v>
      </c>
      <c r="BP19" s="33" t="n">
        <v>0.0010430070506307</v>
      </c>
      <c r="BQ19" s="33" t="n">
        <v>0.00131130824091</v>
      </c>
      <c r="BR19" s="33" t="n">
        <v>0.00132419923933706</v>
      </c>
      <c r="BS19" s="33" t="n">
        <v>0.00659369902809184</v>
      </c>
      <c r="BT19" s="33" t="n">
        <v>0</v>
      </c>
    </row>
    <row r="20" customFormat="false" ht="11.25" hidden="false" customHeight="true" outlineLevel="0" collapsed="false">
      <c r="B20" s="24" t="s">
        <v>91</v>
      </c>
      <c r="C20" s="25" t="s">
        <v>92</v>
      </c>
      <c r="D20" s="24" t="n">
        <v>14</v>
      </c>
      <c r="E20" s="34" t="n">
        <v>0.000194100992100934</v>
      </c>
      <c r="F20" s="34" t="n">
        <v>0.000200253448098451</v>
      </c>
      <c r="G20" s="34" t="n">
        <v>0.000340074063696569</v>
      </c>
      <c r="H20" s="34" t="n">
        <v>0.000468938365392532</v>
      </c>
      <c r="I20" s="34" t="n">
        <v>0.00070050763890445</v>
      </c>
      <c r="J20" s="34" t="n">
        <v>0.000254084361562197</v>
      </c>
      <c r="K20" s="34" t="n">
        <v>0.000404487228110819</v>
      </c>
      <c r="L20" s="34" t="n">
        <v>0.000910025173457496</v>
      </c>
      <c r="M20" s="34" t="n">
        <v>0.000451884663641302</v>
      </c>
      <c r="N20" s="34" t="n">
        <v>0.000660338323085976</v>
      </c>
      <c r="O20" s="34" t="n">
        <v>0.000504055321402285</v>
      </c>
      <c r="P20" s="34" t="n">
        <v>0.000555736361757512</v>
      </c>
      <c r="Q20" s="34" t="n">
        <v>0.00223308507049848</v>
      </c>
      <c r="R20" s="34" t="n">
        <v>1.02820191016588</v>
      </c>
      <c r="S20" s="34" t="n">
        <v>0.0024374921402046</v>
      </c>
      <c r="T20" s="34" t="n">
        <v>0.000551013804655758</v>
      </c>
      <c r="U20" s="34" t="n">
        <v>0.000859994706340156</v>
      </c>
      <c r="V20" s="34" t="n">
        <v>0.0003155684240006</v>
      </c>
      <c r="W20" s="34" t="n">
        <v>0.00035994641942105</v>
      </c>
      <c r="X20" s="34" t="n">
        <v>0.000394413144250192</v>
      </c>
      <c r="Y20" s="34" t="n">
        <v>0.000412632379489255</v>
      </c>
      <c r="Z20" s="34" t="n">
        <v>0.000680549963917945</v>
      </c>
      <c r="AA20" s="34" t="n">
        <v>0.000410279845036941</v>
      </c>
      <c r="AB20" s="34" t="n">
        <v>0.000710869090862128</v>
      </c>
      <c r="AC20" s="34" t="n">
        <v>0.000638009718119332</v>
      </c>
      <c r="AD20" s="34" t="n">
        <v>0.000765044412902917</v>
      </c>
      <c r="AE20" s="34" t="n">
        <v>0.000637016192027231</v>
      </c>
      <c r="AF20" s="34" t="n">
        <v>0.000440197378955236</v>
      </c>
      <c r="AG20" s="34" t="n">
        <v>0.00104812091683207</v>
      </c>
      <c r="AH20" s="34" t="n">
        <v>0.000369053653574071</v>
      </c>
      <c r="AI20" s="34" t="n">
        <v>0.000630176931155654</v>
      </c>
      <c r="AJ20" s="34" t="n">
        <v>0.00078325663588581</v>
      </c>
      <c r="AK20" s="34" t="n">
        <v>0.000480832337144119</v>
      </c>
      <c r="AL20" s="34" t="n">
        <v>0.00071115736779763</v>
      </c>
      <c r="AM20" s="34" t="n">
        <v>0.000333359562058245</v>
      </c>
      <c r="AN20" s="34" t="n">
        <v>0.000820579069410818</v>
      </c>
      <c r="AO20" s="34" t="n">
        <v>0.000270649326241906</v>
      </c>
      <c r="AP20" s="34" t="n">
        <v>0.000499552863318345</v>
      </c>
      <c r="AQ20" s="34" t="n">
        <v>0.00134862591359351</v>
      </c>
      <c r="AR20" s="34" t="n">
        <v>0.000329537314588797</v>
      </c>
      <c r="AS20" s="34" t="n">
        <v>0.000242176831200454</v>
      </c>
      <c r="AT20" s="34" t="n">
        <v>0.000666271475098496</v>
      </c>
      <c r="AU20" s="34" t="n">
        <v>0.000773384992341945</v>
      </c>
      <c r="AV20" s="34" t="n">
        <v>0.000594852508888204</v>
      </c>
      <c r="AW20" s="34" t="n">
        <v>0.00337222725793888</v>
      </c>
      <c r="AX20" s="34" t="n">
        <v>0.00101199268305662</v>
      </c>
      <c r="AY20" s="34" t="n">
        <v>0.00306343687641133</v>
      </c>
      <c r="AZ20" s="34" t="n">
        <v>0.000934092720431791</v>
      </c>
      <c r="BA20" s="34" t="n">
        <v>0.000675615575426765</v>
      </c>
      <c r="BB20" s="34" t="n">
        <v>0.00351701308170306</v>
      </c>
      <c r="BC20" s="34" t="n">
        <v>0.000930946596692361</v>
      </c>
      <c r="BD20" s="34" t="n">
        <v>0.000267118100891434</v>
      </c>
      <c r="BE20" s="34" t="n">
        <v>0.000854990720104923</v>
      </c>
      <c r="BF20" s="34" t="n">
        <v>9.42977591099877E-005</v>
      </c>
      <c r="BG20" s="34" t="n">
        <v>0.000257301199333731</v>
      </c>
      <c r="BH20" s="34" t="n">
        <v>0.00210907721473421</v>
      </c>
      <c r="BI20" s="34" t="n">
        <v>0.00135274391398616</v>
      </c>
      <c r="BJ20" s="34" t="n">
        <v>0.000217388752173434</v>
      </c>
      <c r="BK20" s="34" t="n">
        <v>0.000676517122727512</v>
      </c>
      <c r="BL20" s="34" t="n">
        <v>0.00421533266981495</v>
      </c>
      <c r="BM20" s="34" t="n">
        <v>0.000768558705095616</v>
      </c>
      <c r="BN20" s="34" t="n">
        <v>0.00143354146478034</v>
      </c>
      <c r="BO20" s="34" t="n">
        <v>0.000271422200309691</v>
      </c>
      <c r="BP20" s="34" t="n">
        <v>0.000627866811364016</v>
      </c>
      <c r="BQ20" s="34" t="n">
        <v>0.00040904501507071</v>
      </c>
      <c r="BR20" s="34" t="n">
        <v>0.00274816455010679</v>
      </c>
      <c r="BS20" s="34" t="n">
        <v>0.00546472472721233</v>
      </c>
      <c r="BT20" s="34" t="n">
        <v>0</v>
      </c>
    </row>
    <row r="21" customFormat="false" ht="11.25" hidden="false" customHeight="true" outlineLevel="0" collapsed="false">
      <c r="B21" s="19" t="s">
        <v>93</v>
      </c>
      <c r="C21" s="20" t="s">
        <v>94</v>
      </c>
      <c r="D21" s="19" t="n">
        <v>15</v>
      </c>
      <c r="E21" s="33" t="n">
        <v>4.83359474310804E-005</v>
      </c>
      <c r="F21" s="33" t="n">
        <v>7.26916365487739E-005</v>
      </c>
      <c r="G21" s="33" t="n">
        <v>2.54457137339805E-005</v>
      </c>
      <c r="H21" s="33" t="n">
        <v>0.000135296464738331</v>
      </c>
      <c r="I21" s="33" t="n">
        <v>7.38364626334382E-005</v>
      </c>
      <c r="J21" s="33" t="n">
        <v>7.23212183421331E-005</v>
      </c>
      <c r="K21" s="33" t="n">
        <v>8.50920842181503E-005</v>
      </c>
      <c r="L21" s="33" t="n">
        <v>0.000184310685457432</v>
      </c>
      <c r="M21" s="33" t="n">
        <v>7.75166249842094E-005</v>
      </c>
      <c r="N21" s="33" t="n">
        <v>0.000173697615020992</v>
      </c>
      <c r="O21" s="33" t="n">
        <v>0.000176286685746562</v>
      </c>
      <c r="P21" s="33" t="n">
        <v>0.000118078631255955</v>
      </c>
      <c r="Q21" s="33" t="n">
        <v>0.000487372394096865</v>
      </c>
      <c r="R21" s="33" t="n">
        <v>0.000259839949995957</v>
      </c>
      <c r="S21" s="33" t="n">
        <v>1.10085453245902</v>
      </c>
      <c r="T21" s="33" t="n">
        <v>0.000139192822970186</v>
      </c>
      <c r="U21" s="33" t="n">
        <v>0.000800398621714654</v>
      </c>
      <c r="V21" s="33" t="n">
        <v>0.000196314983046962</v>
      </c>
      <c r="W21" s="33" t="n">
        <v>4.54497872267784E-005</v>
      </c>
      <c r="X21" s="33" t="n">
        <v>8.70420804138149E-005</v>
      </c>
      <c r="Y21" s="33" t="n">
        <v>9.29769111317445E-005</v>
      </c>
      <c r="Z21" s="33" t="n">
        <v>0.000133349144876233</v>
      </c>
      <c r="AA21" s="33" t="n">
        <v>0.000214361339519652</v>
      </c>
      <c r="AB21" s="33" t="n">
        <v>0.00013143824126493</v>
      </c>
      <c r="AC21" s="33" t="n">
        <v>0.000382715030187654</v>
      </c>
      <c r="AD21" s="33" t="n">
        <v>0.000167218951269546</v>
      </c>
      <c r="AE21" s="33" t="n">
        <v>0.000103115474329584</v>
      </c>
      <c r="AF21" s="33" t="n">
        <v>9.12130134164738E-005</v>
      </c>
      <c r="AG21" s="33" t="n">
        <v>0.000378964175133531</v>
      </c>
      <c r="AH21" s="33" t="n">
        <v>7.84574161350973E-005</v>
      </c>
      <c r="AI21" s="33" t="n">
        <v>0.000161650088375012</v>
      </c>
      <c r="AJ21" s="33" t="n">
        <v>0.000154649836661548</v>
      </c>
      <c r="AK21" s="33" t="n">
        <v>0.00038285144002524</v>
      </c>
      <c r="AL21" s="33" t="n">
        <v>0.00028685167020839</v>
      </c>
      <c r="AM21" s="33" t="n">
        <v>0.000109870410602599</v>
      </c>
      <c r="AN21" s="33" t="n">
        <v>0.000567395829431767</v>
      </c>
      <c r="AO21" s="33" t="n">
        <v>9.90265308167445E-005</v>
      </c>
      <c r="AP21" s="33" t="n">
        <v>0.000440065674397892</v>
      </c>
      <c r="AQ21" s="33" t="n">
        <v>8.1923832186222E-005</v>
      </c>
      <c r="AR21" s="33" t="n">
        <v>0.000160034683610257</v>
      </c>
      <c r="AS21" s="33" t="n">
        <v>0.000155717362172428</v>
      </c>
      <c r="AT21" s="33" t="n">
        <v>8.1016874907754E-005</v>
      </c>
      <c r="AU21" s="33" t="n">
        <v>0.000113034156470175</v>
      </c>
      <c r="AV21" s="33" t="n">
        <v>4.31847693534162E-005</v>
      </c>
      <c r="AW21" s="33" t="n">
        <v>8.2084816571604E-005</v>
      </c>
      <c r="AX21" s="33" t="n">
        <v>7.57215087600717E-005</v>
      </c>
      <c r="AY21" s="33" t="n">
        <v>0.000179021925708433</v>
      </c>
      <c r="AZ21" s="33" t="n">
        <v>0.000138162289142819</v>
      </c>
      <c r="BA21" s="33" t="n">
        <v>0.000171057063420354</v>
      </c>
      <c r="BB21" s="33" t="n">
        <v>0.000626694235364054</v>
      </c>
      <c r="BC21" s="33" t="n">
        <v>9.5821585702622E-005</v>
      </c>
      <c r="BD21" s="33" t="n">
        <v>6.15299941572819E-005</v>
      </c>
      <c r="BE21" s="33" t="n">
        <v>3.44445733324636E-005</v>
      </c>
      <c r="BF21" s="33" t="n">
        <v>7.27349852957246E-006</v>
      </c>
      <c r="BG21" s="33" t="n">
        <v>4.40230721085115E-005</v>
      </c>
      <c r="BH21" s="33" t="n">
        <v>0.00012910931951025</v>
      </c>
      <c r="BI21" s="33" t="n">
        <v>0.000212728246071588</v>
      </c>
      <c r="BJ21" s="33" t="n">
        <v>6.25947761997314E-005</v>
      </c>
      <c r="BK21" s="33" t="n">
        <v>7.03247752587365E-005</v>
      </c>
      <c r="BL21" s="33" t="n">
        <v>0.00135120714956379</v>
      </c>
      <c r="BM21" s="33" t="n">
        <v>5.88453881497448E-005</v>
      </c>
      <c r="BN21" s="33" t="n">
        <v>3.75754306645973E-005</v>
      </c>
      <c r="BO21" s="33" t="n">
        <v>5.37344164211321E-005</v>
      </c>
      <c r="BP21" s="33" t="n">
        <v>7.62750462125083E-005</v>
      </c>
      <c r="BQ21" s="33" t="n">
        <v>6.25706285605712E-005</v>
      </c>
      <c r="BR21" s="33" t="n">
        <v>7.45637879962172E-005</v>
      </c>
      <c r="BS21" s="33" t="n">
        <v>9.46755306881933E-005</v>
      </c>
      <c r="BT21" s="33" t="n">
        <v>0</v>
      </c>
    </row>
    <row r="22" customFormat="false" ht="11.25" hidden="false" customHeight="true" outlineLevel="0" collapsed="false">
      <c r="B22" s="24" t="s">
        <v>95</v>
      </c>
      <c r="C22" s="25" t="s">
        <v>96</v>
      </c>
      <c r="D22" s="24" t="n">
        <v>16</v>
      </c>
      <c r="E22" s="34" t="n">
        <v>0.00197860120358523</v>
      </c>
      <c r="F22" s="34" t="n">
        <v>0.00372748691290356</v>
      </c>
      <c r="G22" s="34" t="n">
        <v>0.00124310459541497</v>
      </c>
      <c r="H22" s="34" t="n">
        <v>0.000978325238823512</v>
      </c>
      <c r="I22" s="34" t="n">
        <v>0.000820969180191737</v>
      </c>
      <c r="J22" s="34" t="n">
        <v>0.00101567359622306</v>
      </c>
      <c r="K22" s="34" t="n">
        <v>0.00134737678891904</v>
      </c>
      <c r="L22" s="34" t="n">
        <v>0.00417026939611332</v>
      </c>
      <c r="M22" s="34" t="n">
        <v>0.0017054066702411</v>
      </c>
      <c r="N22" s="34" t="n">
        <v>0.00354899156462923</v>
      </c>
      <c r="O22" s="34" t="n">
        <v>0.00299859482741651</v>
      </c>
      <c r="P22" s="34" t="n">
        <v>0.00227118831492114</v>
      </c>
      <c r="Q22" s="34" t="n">
        <v>0.00257287673913745</v>
      </c>
      <c r="R22" s="34" t="n">
        <v>0.00301246383750076</v>
      </c>
      <c r="S22" s="34" t="n">
        <v>0.00276304265874418</v>
      </c>
      <c r="T22" s="34" t="n">
        <v>1.1389603274842</v>
      </c>
      <c r="U22" s="34" t="n">
        <v>0.0108702693163922</v>
      </c>
      <c r="V22" s="34" t="n">
        <v>0.00137078259016588</v>
      </c>
      <c r="W22" s="34" t="n">
        <v>0.000703929368871506</v>
      </c>
      <c r="X22" s="34" t="n">
        <v>0.00181331844159636</v>
      </c>
      <c r="Y22" s="34" t="n">
        <v>0.00122070219658058</v>
      </c>
      <c r="Z22" s="34" t="n">
        <v>0.00228160828276539</v>
      </c>
      <c r="AA22" s="34" t="n">
        <v>0.00147363638687195</v>
      </c>
      <c r="AB22" s="34" t="n">
        <v>0.00207010583028665</v>
      </c>
      <c r="AC22" s="34" t="n">
        <v>0.0020884068277185</v>
      </c>
      <c r="AD22" s="34" t="n">
        <v>0.00247752791013551</v>
      </c>
      <c r="AE22" s="34" t="n">
        <v>0.00187244550293328</v>
      </c>
      <c r="AF22" s="34" t="n">
        <v>0.00162209856064132</v>
      </c>
      <c r="AG22" s="34" t="n">
        <v>0.00492993442489995</v>
      </c>
      <c r="AH22" s="34" t="n">
        <v>0.00112317825884127</v>
      </c>
      <c r="AI22" s="34" t="n">
        <v>0.00207083615057814</v>
      </c>
      <c r="AJ22" s="34" t="n">
        <v>0.00505165008574827</v>
      </c>
      <c r="AK22" s="34" t="n">
        <v>0.00255370886648634</v>
      </c>
      <c r="AL22" s="34" t="n">
        <v>0.00216438301182759</v>
      </c>
      <c r="AM22" s="34" t="n">
        <v>0.00364250734927528</v>
      </c>
      <c r="AN22" s="34" t="n">
        <v>0.088883064732369</v>
      </c>
      <c r="AO22" s="34" t="n">
        <v>0.00131993746598314</v>
      </c>
      <c r="AP22" s="34" t="n">
        <v>0.0019194338138359</v>
      </c>
      <c r="AQ22" s="34" t="n">
        <v>0.00118596141318858</v>
      </c>
      <c r="AR22" s="34" t="n">
        <v>0.0140363676905205</v>
      </c>
      <c r="AS22" s="34" t="n">
        <v>0.000753906038543886</v>
      </c>
      <c r="AT22" s="34" t="n">
        <v>0.00351845042035805</v>
      </c>
      <c r="AU22" s="34" t="n">
        <v>0.000554913743848906</v>
      </c>
      <c r="AV22" s="34" t="n">
        <v>0.000831161916650295</v>
      </c>
      <c r="AW22" s="34" t="n">
        <v>0.00059899810620456</v>
      </c>
      <c r="AX22" s="34" t="n">
        <v>0.00138727510178903</v>
      </c>
      <c r="AY22" s="34" t="n">
        <v>0.00117912394996975</v>
      </c>
      <c r="AZ22" s="34" t="n">
        <v>0.00129014468507596</v>
      </c>
      <c r="BA22" s="34" t="n">
        <v>0.00230915191445897</v>
      </c>
      <c r="BB22" s="34" t="n">
        <v>0.00514497785438486</v>
      </c>
      <c r="BC22" s="34" t="n">
        <v>0.00212534901248379</v>
      </c>
      <c r="BD22" s="34" t="n">
        <v>0.00067031419920279</v>
      </c>
      <c r="BE22" s="34" t="n">
        <v>0.000344555759293158</v>
      </c>
      <c r="BF22" s="34" t="n">
        <v>0.000935636630550985</v>
      </c>
      <c r="BG22" s="34" t="n">
        <v>0.000682000794218713</v>
      </c>
      <c r="BH22" s="34" t="n">
        <v>0.00091992145722575</v>
      </c>
      <c r="BI22" s="34" t="n">
        <v>0.00196967236994872</v>
      </c>
      <c r="BJ22" s="34" t="n">
        <v>0.00107359654746074</v>
      </c>
      <c r="BK22" s="34" t="n">
        <v>0.00127665576949776</v>
      </c>
      <c r="BL22" s="34" t="n">
        <v>0.000344864418290519</v>
      </c>
      <c r="BM22" s="34" t="n">
        <v>0.000633817012451471</v>
      </c>
      <c r="BN22" s="34" t="n">
        <v>0.000485062669928381</v>
      </c>
      <c r="BO22" s="34" t="n">
        <v>0.000644915777220704</v>
      </c>
      <c r="BP22" s="34" t="n">
        <v>0.00177358827966175</v>
      </c>
      <c r="BQ22" s="34" t="n">
        <v>0.00336220519919992</v>
      </c>
      <c r="BR22" s="34" t="n">
        <v>0.00130416333016899</v>
      </c>
      <c r="BS22" s="34" t="n">
        <v>0.00246697077648008</v>
      </c>
      <c r="BT22" s="34" t="n">
        <v>0</v>
      </c>
    </row>
    <row r="23" customFormat="false" ht="11.25" hidden="false" customHeight="true" outlineLevel="0" collapsed="false">
      <c r="B23" s="19" t="s">
        <v>97</v>
      </c>
      <c r="C23" s="20" t="s">
        <v>98</v>
      </c>
      <c r="D23" s="19" t="n">
        <v>17</v>
      </c>
      <c r="E23" s="33" t="n">
        <v>0.00382845017167878</v>
      </c>
      <c r="F23" s="33" t="n">
        <v>0.00585026308513202</v>
      </c>
      <c r="G23" s="33" t="n">
        <v>0.00233953983443492</v>
      </c>
      <c r="H23" s="33" t="n">
        <v>0.00472346261359165</v>
      </c>
      <c r="I23" s="33" t="n">
        <v>0.00401920315280015</v>
      </c>
      <c r="J23" s="33" t="n">
        <v>0.00463255020165434</v>
      </c>
      <c r="K23" s="33" t="n">
        <v>0.00644699889058398</v>
      </c>
      <c r="L23" s="33" t="n">
        <v>0.026142716205808</v>
      </c>
      <c r="M23" s="33" t="n">
        <v>0.00553855311662849</v>
      </c>
      <c r="N23" s="33" t="n">
        <v>0.0235602310625325</v>
      </c>
      <c r="O23" s="33" t="n">
        <v>0.0125820641488429</v>
      </c>
      <c r="P23" s="33" t="n">
        <v>0.0619303397367512</v>
      </c>
      <c r="Q23" s="33" t="n">
        <v>0.0221883475357068</v>
      </c>
      <c r="R23" s="33" t="n">
        <v>0.01588827717206</v>
      </c>
      <c r="S23" s="33" t="n">
        <v>0.0283024494488272</v>
      </c>
      <c r="T23" s="33" t="n">
        <v>0.0514356098775167</v>
      </c>
      <c r="U23" s="33" t="n">
        <v>1.21473121255027</v>
      </c>
      <c r="V23" s="33" t="n">
        <v>0.0743549137839645</v>
      </c>
      <c r="W23" s="33" t="n">
        <v>0.00391534473807308</v>
      </c>
      <c r="X23" s="33" t="n">
        <v>0.00734699001929403</v>
      </c>
      <c r="Y23" s="33" t="n">
        <v>0.0057777795232961</v>
      </c>
      <c r="Z23" s="33" t="n">
        <v>0.010915857359504</v>
      </c>
      <c r="AA23" s="33" t="n">
        <v>0.0448217907774754</v>
      </c>
      <c r="AB23" s="33" t="n">
        <v>0.0239520228459236</v>
      </c>
      <c r="AC23" s="33" t="n">
        <v>0.031705094218785</v>
      </c>
      <c r="AD23" s="33" t="n">
        <v>0.0323731286461906</v>
      </c>
      <c r="AE23" s="33" t="n">
        <v>0.00732293739770848</v>
      </c>
      <c r="AF23" s="33" t="n">
        <v>0.0052186261439872</v>
      </c>
      <c r="AG23" s="33" t="n">
        <v>0.02360008914584</v>
      </c>
      <c r="AH23" s="33" t="n">
        <v>0.0146266287691066</v>
      </c>
      <c r="AI23" s="33" t="n">
        <v>0.0143807264681846</v>
      </c>
      <c r="AJ23" s="33" t="n">
        <v>0.0111889899258652</v>
      </c>
      <c r="AK23" s="33" t="n">
        <v>0.0108742100424885</v>
      </c>
      <c r="AL23" s="33" t="n">
        <v>0.014862178888493</v>
      </c>
      <c r="AM23" s="33" t="n">
        <v>0.00617369010299121</v>
      </c>
      <c r="AN23" s="33" t="n">
        <v>0.0247308155440394</v>
      </c>
      <c r="AO23" s="33" t="n">
        <v>0.00494976047544581</v>
      </c>
      <c r="AP23" s="33" t="n">
        <v>0.00251140516551358</v>
      </c>
      <c r="AQ23" s="33" t="n">
        <v>0.00385498414723088</v>
      </c>
      <c r="AR23" s="33" t="n">
        <v>0.0081346335715787</v>
      </c>
      <c r="AS23" s="33" t="n">
        <v>0.00828792433797503</v>
      </c>
      <c r="AT23" s="33" t="n">
        <v>0.011454918980814</v>
      </c>
      <c r="AU23" s="33" t="n">
        <v>0.00428307629947325</v>
      </c>
      <c r="AV23" s="33" t="n">
        <v>0.00556806513680629</v>
      </c>
      <c r="AW23" s="33" t="n">
        <v>0.00447803040715417</v>
      </c>
      <c r="AX23" s="33" t="n">
        <v>0.00576201105325364</v>
      </c>
      <c r="AY23" s="33" t="n">
        <v>0.0117640923528499</v>
      </c>
      <c r="AZ23" s="33" t="n">
        <v>0.0119427746945491</v>
      </c>
      <c r="BA23" s="33" t="n">
        <v>0.066027705631044</v>
      </c>
      <c r="BB23" s="33" t="n">
        <v>0.0115620754188534</v>
      </c>
      <c r="BC23" s="33" t="n">
        <v>0.00819953505102032</v>
      </c>
      <c r="BD23" s="33" t="n">
        <v>0.00820627074086906</v>
      </c>
      <c r="BE23" s="33" t="n">
        <v>0.00514190384367084</v>
      </c>
      <c r="BF23" s="33" t="n">
        <v>0.00118609041442908</v>
      </c>
      <c r="BG23" s="33" t="n">
        <v>0.0113996431409361</v>
      </c>
      <c r="BH23" s="33" t="n">
        <v>0.0103531833360962</v>
      </c>
      <c r="BI23" s="33" t="n">
        <v>0.0146387300153838</v>
      </c>
      <c r="BJ23" s="33" t="n">
        <v>0.0130186249402322</v>
      </c>
      <c r="BK23" s="33" t="n">
        <v>0.0128176094690556</v>
      </c>
      <c r="BL23" s="33" t="n">
        <v>0.00303791899260691</v>
      </c>
      <c r="BM23" s="33" t="n">
        <v>0.0031091080674136</v>
      </c>
      <c r="BN23" s="33" t="n">
        <v>0.00397937151398665</v>
      </c>
      <c r="BO23" s="33" t="n">
        <v>0.00769184580208334</v>
      </c>
      <c r="BP23" s="33" t="n">
        <v>0.00484210642184936</v>
      </c>
      <c r="BQ23" s="33" t="n">
        <v>0.00651199241879818</v>
      </c>
      <c r="BR23" s="33" t="n">
        <v>0.00572406015851423</v>
      </c>
      <c r="BS23" s="33" t="n">
        <v>0.00889184493408134</v>
      </c>
      <c r="BT23" s="33" t="n">
        <v>0</v>
      </c>
    </row>
    <row r="24" customFormat="false" ht="11.25" hidden="false" customHeight="true" outlineLevel="0" collapsed="false">
      <c r="B24" s="24" t="s">
        <v>99</v>
      </c>
      <c r="C24" s="25" t="s">
        <v>100</v>
      </c>
      <c r="D24" s="24" t="n">
        <v>18</v>
      </c>
      <c r="E24" s="34" t="n">
        <v>0.000769013003900909</v>
      </c>
      <c r="F24" s="34" t="n">
        <v>0.00106693976813395</v>
      </c>
      <c r="G24" s="34" t="n">
        <v>0.000521746721208338</v>
      </c>
      <c r="H24" s="34" t="n">
        <v>0.00151774443339334</v>
      </c>
      <c r="I24" s="34" t="n">
        <v>0.00130859391643771</v>
      </c>
      <c r="J24" s="34" t="n">
        <v>0.0011463721303126</v>
      </c>
      <c r="K24" s="34" t="n">
        <v>0.00189817431222706</v>
      </c>
      <c r="L24" s="34" t="n">
        <v>0.0058600328907939</v>
      </c>
      <c r="M24" s="34" t="n">
        <v>0.00220014950611047</v>
      </c>
      <c r="N24" s="34" t="n">
        <v>0.00415372204462218</v>
      </c>
      <c r="O24" s="34" t="n">
        <v>0.00637651097886219</v>
      </c>
      <c r="P24" s="34" t="n">
        <v>0.00375832967397859</v>
      </c>
      <c r="Q24" s="34" t="n">
        <v>0.00312270679585538</v>
      </c>
      <c r="R24" s="34" t="n">
        <v>0.0032365755912847</v>
      </c>
      <c r="S24" s="34" t="n">
        <v>0.00500531176665573</v>
      </c>
      <c r="T24" s="34" t="n">
        <v>0.00370156911118898</v>
      </c>
      <c r="U24" s="34" t="n">
        <v>0.00680973022163755</v>
      </c>
      <c r="V24" s="34" t="n">
        <v>1.040144755884</v>
      </c>
      <c r="W24" s="34" t="n">
        <v>0.0012255938225753</v>
      </c>
      <c r="X24" s="34" t="n">
        <v>0.00226578920295212</v>
      </c>
      <c r="Y24" s="34" t="n">
        <v>0.00206405298116785</v>
      </c>
      <c r="Z24" s="34" t="n">
        <v>0.00378415086977989</v>
      </c>
      <c r="AA24" s="34" t="n">
        <v>0.00288953914220792</v>
      </c>
      <c r="AB24" s="34" t="n">
        <v>0.0048585983525077</v>
      </c>
      <c r="AC24" s="34" t="n">
        <v>0.0042048811869913</v>
      </c>
      <c r="AD24" s="34" t="n">
        <v>0.00377710974280465</v>
      </c>
      <c r="AE24" s="34" t="n">
        <v>0.00307876096738506</v>
      </c>
      <c r="AF24" s="34" t="n">
        <v>0.00221849134650459</v>
      </c>
      <c r="AG24" s="34" t="n">
        <v>0.00397597172270408</v>
      </c>
      <c r="AH24" s="34" t="n">
        <v>0.00391345299045515</v>
      </c>
      <c r="AI24" s="34" t="n">
        <v>0.00388110583365468</v>
      </c>
      <c r="AJ24" s="34" t="n">
        <v>0.00475433909683148</v>
      </c>
      <c r="AK24" s="34" t="n">
        <v>0.00230882317790734</v>
      </c>
      <c r="AL24" s="34" t="n">
        <v>0.00171999035058361</v>
      </c>
      <c r="AM24" s="34" t="n">
        <v>0.00174698086491326</v>
      </c>
      <c r="AN24" s="34" t="n">
        <v>0.0031869179846196</v>
      </c>
      <c r="AO24" s="34" t="n">
        <v>0.00148302124882341</v>
      </c>
      <c r="AP24" s="34" t="n">
        <v>0.00104610328025029</v>
      </c>
      <c r="AQ24" s="34" t="n">
        <v>0.00097402217703279</v>
      </c>
      <c r="AR24" s="34" t="n">
        <v>0.00157264675755185</v>
      </c>
      <c r="AS24" s="34" t="n">
        <v>0.00177861266761667</v>
      </c>
      <c r="AT24" s="34" t="n">
        <v>0.00738022740734393</v>
      </c>
      <c r="AU24" s="34" t="n">
        <v>0.00108075735433562</v>
      </c>
      <c r="AV24" s="34" t="n">
        <v>0.000992657928335656</v>
      </c>
      <c r="AW24" s="34" t="n">
        <v>0.00193179964944816</v>
      </c>
      <c r="AX24" s="34" t="n">
        <v>0.00164835947049919</v>
      </c>
      <c r="AY24" s="34" t="n">
        <v>0.00186238542591661</v>
      </c>
      <c r="AZ24" s="34" t="n">
        <v>0.00213869102252232</v>
      </c>
      <c r="BA24" s="34" t="n">
        <v>0.0576564822917679</v>
      </c>
      <c r="BB24" s="34" t="n">
        <v>0.00908156940885756</v>
      </c>
      <c r="BC24" s="34" t="n">
        <v>0.00720632372655967</v>
      </c>
      <c r="BD24" s="34" t="n">
        <v>0.00420749161484513</v>
      </c>
      <c r="BE24" s="34" t="n">
        <v>0.00340258889532257</v>
      </c>
      <c r="BF24" s="34" t="n">
        <v>0.000670793348746934</v>
      </c>
      <c r="BG24" s="34" t="n">
        <v>0.003676972598337</v>
      </c>
      <c r="BH24" s="34" t="n">
        <v>0.00407682675447451</v>
      </c>
      <c r="BI24" s="34" t="n">
        <v>0.027388407410236</v>
      </c>
      <c r="BJ24" s="34" t="n">
        <v>0.00223098699283018</v>
      </c>
      <c r="BK24" s="34" t="n">
        <v>0.00527334869798497</v>
      </c>
      <c r="BL24" s="34" t="n">
        <v>0.000908479443134849</v>
      </c>
      <c r="BM24" s="34" t="n">
        <v>0.00188498264623221</v>
      </c>
      <c r="BN24" s="34" t="n">
        <v>0.00126701127098664</v>
      </c>
      <c r="BO24" s="34" t="n">
        <v>0.00216547142544155</v>
      </c>
      <c r="BP24" s="34" t="n">
        <v>0.0015887350436981</v>
      </c>
      <c r="BQ24" s="34" t="n">
        <v>0.00110063853869794</v>
      </c>
      <c r="BR24" s="34" t="n">
        <v>0.0101211986169611</v>
      </c>
      <c r="BS24" s="34" t="n">
        <v>0.00353591416821994</v>
      </c>
      <c r="BT24" s="34" t="n">
        <v>0</v>
      </c>
    </row>
    <row r="25" customFormat="false" ht="11.25" hidden="false" customHeight="true" outlineLevel="0" collapsed="false">
      <c r="B25" s="19" t="s">
        <v>101</v>
      </c>
      <c r="C25" s="20" t="s">
        <v>102</v>
      </c>
      <c r="D25" s="19" t="n">
        <v>19</v>
      </c>
      <c r="E25" s="33" t="n">
        <v>0.0671388363755514</v>
      </c>
      <c r="F25" s="33" t="n">
        <v>0.0626440598082373</v>
      </c>
      <c r="G25" s="33" t="n">
        <v>0.0406381039175715</v>
      </c>
      <c r="H25" s="33" t="n">
        <v>0.111569637552915</v>
      </c>
      <c r="I25" s="33" t="n">
        <v>0.0495477146329694</v>
      </c>
      <c r="J25" s="33" t="n">
        <v>0.0838244096893526</v>
      </c>
      <c r="K25" s="33" t="n">
        <v>0.13541650407973</v>
      </c>
      <c r="L25" s="33" t="n">
        <v>0.0963377215418767</v>
      </c>
      <c r="M25" s="33" t="n">
        <v>0.0871976638930021</v>
      </c>
      <c r="N25" s="33" t="n">
        <v>0.085584059323752</v>
      </c>
      <c r="O25" s="33" t="n">
        <v>0.0576854600046736</v>
      </c>
      <c r="P25" s="33" t="n">
        <v>0.0477049587544582</v>
      </c>
      <c r="Q25" s="33" t="n">
        <v>0.0601172276073537</v>
      </c>
      <c r="R25" s="33" t="n">
        <v>0.0370756821867561</v>
      </c>
      <c r="S25" s="33" t="n">
        <v>0.0571841626546939</v>
      </c>
      <c r="T25" s="33" t="n">
        <v>0.0597544080738713</v>
      </c>
      <c r="U25" s="33" t="n">
        <v>0.0965195376577386</v>
      </c>
      <c r="V25" s="33" t="n">
        <v>0.0282578312021108</v>
      </c>
      <c r="W25" s="33" t="n">
        <v>1.36474039882919</v>
      </c>
      <c r="X25" s="33" t="n">
        <v>0.0704369518961951</v>
      </c>
      <c r="Y25" s="33" t="n">
        <v>0.149227222106243</v>
      </c>
      <c r="Z25" s="33" t="n">
        <v>0.0721540650330527</v>
      </c>
      <c r="AA25" s="33" t="n">
        <v>0.0627799873904511</v>
      </c>
      <c r="AB25" s="33" t="n">
        <v>0.0537942548202829</v>
      </c>
      <c r="AC25" s="33" t="n">
        <v>0.0819569780296262</v>
      </c>
      <c r="AD25" s="33" t="n">
        <v>0.105176333629994</v>
      </c>
      <c r="AE25" s="33" t="n">
        <v>0.0943419096644225</v>
      </c>
      <c r="AF25" s="33" t="n">
        <v>0.0956726242029035</v>
      </c>
      <c r="AG25" s="33" t="n">
        <v>0.0634417337577175</v>
      </c>
      <c r="AH25" s="33" t="n">
        <v>0.0247517402313722</v>
      </c>
      <c r="AI25" s="33" t="n">
        <v>0.063796033897228</v>
      </c>
      <c r="AJ25" s="33" t="n">
        <v>0.0534973489135229</v>
      </c>
      <c r="AK25" s="33" t="n">
        <v>0.0435533152558516</v>
      </c>
      <c r="AL25" s="33" t="n">
        <v>0.0416908749474714</v>
      </c>
      <c r="AM25" s="33" t="n">
        <v>0.0284285116040132</v>
      </c>
      <c r="AN25" s="33" t="n">
        <v>0.0450892685967051</v>
      </c>
      <c r="AO25" s="33" t="n">
        <v>0.0252556534120887</v>
      </c>
      <c r="AP25" s="33" t="n">
        <v>0.0305666588218313</v>
      </c>
      <c r="AQ25" s="33" t="n">
        <v>0.0299843362754452</v>
      </c>
      <c r="AR25" s="33" t="n">
        <v>0.0434545833446458</v>
      </c>
      <c r="AS25" s="33" t="n">
        <v>0.0199090271597141</v>
      </c>
      <c r="AT25" s="33" t="n">
        <v>0.0509677723606158</v>
      </c>
      <c r="AU25" s="33" t="n">
        <v>0.297626304087892</v>
      </c>
      <c r="AV25" s="33" t="n">
        <v>0.118440168062463</v>
      </c>
      <c r="AW25" s="33" t="n">
        <v>0.204952554109359</v>
      </c>
      <c r="AX25" s="33" t="n">
        <v>0.0455751352388954</v>
      </c>
      <c r="AY25" s="33" t="n">
        <v>0.018882571401246</v>
      </c>
      <c r="AZ25" s="33" t="n">
        <v>0.0350238050361313</v>
      </c>
      <c r="BA25" s="33" t="n">
        <v>0.0392413143660253</v>
      </c>
      <c r="BB25" s="33" t="n">
        <v>0.0265705599529211</v>
      </c>
      <c r="BC25" s="33" t="n">
        <v>0.0254907250480219</v>
      </c>
      <c r="BD25" s="33" t="n">
        <v>0.00981636525116566</v>
      </c>
      <c r="BE25" s="33" t="n">
        <v>0.00606320683164245</v>
      </c>
      <c r="BF25" s="33" t="n">
        <v>0.00174368408297094</v>
      </c>
      <c r="BG25" s="33" t="n">
        <v>0.011967070954659</v>
      </c>
      <c r="BH25" s="33" t="n">
        <v>0.0194394249213343</v>
      </c>
      <c r="BI25" s="33" t="n">
        <v>0.0165066246072765</v>
      </c>
      <c r="BJ25" s="33" t="n">
        <v>0.0247855844496833</v>
      </c>
      <c r="BK25" s="33" t="n">
        <v>0.0117146482305895</v>
      </c>
      <c r="BL25" s="33" t="n">
        <v>0.0185430296104364</v>
      </c>
      <c r="BM25" s="33" t="n">
        <v>0.00982316593346807</v>
      </c>
      <c r="BN25" s="33" t="n">
        <v>0.00586855359316966</v>
      </c>
      <c r="BO25" s="33" t="n">
        <v>0.0118163579463276</v>
      </c>
      <c r="BP25" s="33" t="n">
        <v>0.0127767420530569</v>
      </c>
      <c r="BQ25" s="33" t="n">
        <v>0.00854639502482706</v>
      </c>
      <c r="BR25" s="33" t="n">
        <v>0.0136880704921131</v>
      </c>
      <c r="BS25" s="33" t="n">
        <v>0.0250915689767883</v>
      </c>
      <c r="BT25" s="33" t="n">
        <v>0</v>
      </c>
    </row>
    <row r="26" customFormat="false" ht="11.25" hidden="false" customHeight="true" outlineLevel="0" collapsed="false">
      <c r="B26" s="24" t="s">
        <v>103</v>
      </c>
      <c r="C26" s="25" t="s">
        <v>104</v>
      </c>
      <c r="D26" s="24" t="n">
        <v>20</v>
      </c>
      <c r="E26" s="34" t="n">
        <v>0.0046454909322838</v>
      </c>
      <c r="F26" s="34" t="n">
        <v>0.00550887431298143</v>
      </c>
      <c r="G26" s="34" t="n">
        <v>0.00264589590594058</v>
      </c>
      <c r="H26" s="34" t="n">
        <v>0.00708444809647089</v>
      </c>
      <c r="I26" s="34" t="n">
        <v>0.0064398602132484</v>
      </c>
      <c r="J26" s="34" t="n">
        <v>0.00496425799522682</v>
      </c>
      <c r="K26" s="34" t="n">
        <v>0.00800183969118944</v>
      </c>
      <c r="L26" s="34" t="n">
        <v>0.00959790146003315</v>
      </c>
      <c r="M26" s="34" t="n">
        <v>0.0109138380874701</v>
      </c>
      <c r="N26" s="34" t="n">
        <v>0.0112959087760566</v>
      </c>
      <c r="O26" s="34" t="n">
        <v>0.00795101178634998</v>
      </c>
      <c r="P26" s="34" t="n">
        <v>0.00368555064333576</v>
      </c>
      <c r="Q26" s="34" t="n">
        <v>0.00449410791522099</v>
      </c>
      <c r="R26" s="34" t="n">
        <v>0.00290743868115651</v>
      </c>
      <c r="S26" s="34" t="n">
        <v>0.00455017297028698</v>
      </c>
      <c r="T26" s="34" t="n">
        <v>0.00592598945012051</v>
      </c>
      <c r="U26" s="34" t="n">
        <v>0.00708452505140044</v>
      </c>
      <c r="V26" s="34" t="n">
        <v>0.00228295972442305</v>
      </c>
      <c r="W26" s="34" t="n">
        <v>0.0707223556298245</v>
      </c>
      <c r="X26" s="34" t="n">
        <v>1.01481041215396</v>
      </c>
      <c r="Y26" s="34" t="n">
        <v>0.0107764736643623</v>
      </c>
      <c r="Z26" s="34" t="n">
        <v>0.00963824736593668</v>
      </c>
      <c r="AA26" s="34" t="n">
        <v>0.031859704914891</v>
      </c>
      <c r="AB26" s="34" t="n">
        <v>0.0148830274934639</v>
      </c>
      <c r="AC26" s="34" t="n">
        <v>0.00599959816103848</v>
      </c>
      <c r="AD26" s="34" t="n">
        <v>0.00682858467794034</v>
      </c>
      <c r="AE26" s="34" t="n">
        <v>0.00609119859722037</v>
      </c>
      <c r="AF26" s="34" t="n">
        <v>0.00582778379300231</v>
      </c>
      <c r="AG26" s="34" t="n">
        <v>0.00501794401731783</v>
      </c>
      <c r="AH26" s="34" t="n">
        <v>0.00196683794711981</v>
      </c>
      <c r="AI26" s="34" t="n">
        <v>0.00456660421233846</v>
      </c>
      <c r="AJ26" s="34" t="n">
        <v>0.00429925473454713</v>
      </c>
      <c r="AK26" s="34" t="n">
        <v>0.00309201091469233</v>
      </c>
      <c r="AL26" s="34" t="n">
        <v>0.00284954146474582</v>
      </c>
      <c r="AM26" s="34" t="n">
        <v>0.00208823934200512</v>
      </c>
      <c r="AN26" s="34" t="n">
        <v>0.00349035062557125</v>
      </c>
      <c r="AO26" s="34" t="n">
        <v>0.00189045840899866</v>
      </c>
      <c r="AP26" s="34" t="n">
        <v>0.00203706783882251</v>
      </c>
      <c r="AQ26" s="34" t="n">
        <v>0.00255674748573178</v>
      </c>
      <c r="AR26" s="34" t="n">
        <v>0.00363924127520383</v>
      </c>
      <c r="AS26" s="34" t="n">
        <v>0.00381206205788467</v>
      </c>
      <c r="AT26" s="34" t="n">
        <v>0.00409582384943887</v>
      </c>
      <c r="AU26" s="34" t="n">
        <v>0.0185093584039217</v>
      </c>
      <c r="AV26" s="34" t="n">
        <v>0.00699966826270659</v>
      </c>
      <c r="AW26" s="34" t="n">
        <v>0.0120331499094576</v>
      </c>
      <c r="AX26" s="34" t="n">
        <v>0.0034686752008125</v>
      </c>
      <c r="AY26" s="34" t="n">
        <v>0.00231620473289549</v>
      </c>
      <c r="AZ26" s="34" t="n">
        <v>0.00484606517653349</v>
      </c>
      <c r="BA26" s="34" t="n">
        <v>0.00371885654246464</v>
      </c>
      <c r="BB26" s="34" t="n">
        <v>0.00285364760874179</v>
      </c>
      <c r="BC26" s="34" t="n">
        <v>0.00262742113737159</v>
      </c>
      <c r="BD26" s="34" t="n">
        <v>0.00124526871775829</v>
      </c>
      <c r="BE26" s="34" t="n">
        <v>0.000787885011484827</v>
      </c>
      <c r="BF26" s="34" t="n">
        <v>0.000196943071030849</v>
      </c>
      <c r="BG26" s="34" t="n">
        <v>0.00165156666205916</v>
      </c>
      <c r="BH26" s="34" t="n">
        <v>0.00383363879677056</v>
      </c>
      <c r="BI26" s="34" t="n">
        <v>0.00210496411366844</v>
      </c>
      <c r="BJ26" s="34" t="n">
        <v>0.00457175915691428</v>
      </c>
      <c r="BK26" s="34" t="n">
        <v>0.0018342745195463</v>
      </c>
      <c r="BL26" s="34" t="n">
        <v>0.00321171250263967</v>
      </c>
      <c r="BM26" s="34" t="n">
        <v>0.00156914686329365</v>
      </c>
      <c r="BN26" s="34" t="n">
        <v>0.000793867059280395</v>
      </c>
      <c r="BO26" s="34" t="n">
        <v>0.00107245454210169</v>
      </c>
      <c r="BP26" s="34" t="n">
        <v>0.00170381909257898</v>
      </c>
      <c r="BQ26" s="34" t="n">
        <v>0.00155169742335877</v>
      </c>
      <c r="BR26" s="34" t="n">
        <v>0.00195756328145242</v>
      </c>
      <c r="BS26" s="34" t="n">
        <v>0.00326983098134552</v>
      </c>
      <c r="BT26" s="34" t="n">
        <v>0</v>
      </c>
    </row>
    <row r="27" customFormat="false" ht="11.25" hidden="false" customHeight="true" outlineLevel="0" collapsed="false">
      <c r="B27" s="19" t="s">
        <v>105</v>
      </c>
      <c r="C27" s="20" t="s">
        <v>106</v>
      </c>
      <c r="D27" s="19" t="n">
        <v>21</v>
      </c>
      <c r="E27" s="33" t="n">
        <v>0.152949143295689</v>
      </c>
      <c r="F27" s="33" t="n">
        <v>0.0619910202942528</v>
      </c>
      <c r="G27" s="33" t="n">
        <v>0.019290211090017</v>
      </c>
      <c r="H27" s="33" t="n">
        <v>0.0364048333268352</v>
      </c>
      <c r="I27" s="33" t="n">
        <v>0.0307443786200695</v>
      </c>
      <c r="J27" s="33" t="n">
        <v>0.0117907267986961</v>
      </c>
      <c r="K27" s="33" t="n">
        <v>0.0226118461768766</v>
      </c>
      <c r="L27" s="33" t="n">
        <v>0.0457958860546677</v>
      </c>
      <c r="M27" s="33" t="n">
        <v>0.0835471703089347</v>
      </c>
      <c r="N27" s="33" t="n">
        <v>0.0691038435140632</v>
      </c>
      <c r="O27" s="33" t="n">
        <v>0.0274410632001801</v>
      </c>
      <c r="P27" s="33" t="n">
        <v>0.0551068265582818</v>
      </c>
      <c r="Q27" s="33" t="n">
        <v>0.150192321550325</v>
      </c>
      <c r="R27" s="33" t="n">
        <v>0.0452132553197589</v>
      </c>
      <c r="S27" s="33" t="n">
        <v>0.071956821440725</v>
      </c>
      <c r="T27" s="33" t="n">
        <v>0.0532679395391796</v>
      </c>
      <c r="U27" s="33" t="n">
        <v>0.0850015908379976</v>
      </c>
      <c r="V27" s="33" t="n">
        <v>0.0280255010440654</v>
      </c>
      <c r="W27" s="33" t="n">
        <v>0.0269186464756895</v>
      </c>
      <c r="X27" s="33" t="n">
        <v>0.0776444875329304</v>
      </c>
      <c r="Y27" s="33" t="n">
        <v>1.23033968096813</v>
      </c>
      <c r="Z27" s="33" t="n">
        <v>0.183700075325431</v>
      </c>
      <c r="AA27" s="33" t="n">
        <v>0.134702109443963</v>
      </c>
      <c r="AB27" s="33" t="n">
        <v>0.0410995281305532</v>
      </c>
      <c r="AC27" s="33" t="n">
        <v>0.237689973048444</v>
      </c>
      <c r="AD27" s="33" t="n">
        <v>0.0608624090969075</v>
      </c>
      <c r="AE27" s="33" t="n">
        <v>0.0262540185434777</v>
      </c>
      <c r="AF27" s="33" t="n">
        <v>0.0333953010295092</v>
      </c>
      <c r="AG27" s="33" t="n">
        <v>0.0348951300122189</v>
      </c>
      <c r="AH27" s="33" t="n">
        <v>0.0114857083311485</v>
      </c>
      <c r="AI27" s="33" t="n">
        <v>0.0634479678731054</v>
      </c>
      <c r="AJ27" s="33" t="n">
        <v>0.020437784952161</v>
      </c>
      <c r="AK27" s="33" t="n">
        <v>0.0286421112227748</v>
      </c>
      <c r="AL27" s="33" t="n">
        <v>0.0395047355251624</v>
      </c>
      <c r="AM27" s="33" t="n">
        <v>0.0214788537426542</v>
      </c>
      <c r="AN27" s="33" t="n">
        <v>0.0544222038865557</v>
      </c>
      <c r="AO27" s="33" t="n">
        <v>0.0167235719301614</v>
      </c>
      <c r="AP27" s="33" t="n">
        <v>0.00606527768242246</v>
      </c>
      <c r="AQ27" s="33" t="n">
        <v>0.0184878664318813</v>
      </c>
      <c r="AR27" s="33" t="n">
        <v>0.0233241167432848</v>
      </c>
      <c r="AS27" s="33" t="n">
        <v>0.0116731423523075</v>
      </c>
      <c r="AT27" s="33" t="n">
        <v>0.0103605170462218</v>
      </c>
      <c r="AU27" s="33" t="n">
        <v>0.014920372938566</v>
      </c>
      <c r="AV27" s="33" t="n">
        <v>0.00573580722447482</v>
      </c>
      <c r="AW27" s="33" t="n">
        <v>0.0110941598862072</v>
      </c>
      <c r="AX27" s="33" t="n">
        <v>0.00489723904697088</v>
      </c>
      <c r="AY27" s="33" t="n">
        <v>0.0113692221438461</v>
      </c>
      <c r="AZ27" s="33" t="n">
        <v>0.0169273688923811</v>
      </c>
      <c r="BA27" s="33" t="n">
        <v>0.0136768507724199</v>
      </c>
      <c r="BB27" s="33" t="n">
        <v>0.00796535004237322</v>
      </c>
      <c r="BC27" s="33" t="n">
        <v>0.00761402943911932</v>
      </c>
      <c r="BD27" s="33" t="n">
        <v>0.00311847230489669</v>
      </c>
      <c r="BE27" s="33" t="n">
        <v>0.00179533314745783</v>
      </c>
      <c r="BF27" s="33" t="n">
        <v>0.00129136843760027</v>
      </c>
      <c r="BG27" s="33" t="n">
        <v>0.00408755515810624</v>
      </c>
      <c r="BH27" s="33" t="n">
        <v>0.00493041477740846</v>
      </c>
      <c r="BI27" s="33" t="n">
        <v>0.00588035423696645</v>
      </c>
      <c r="BJ27" s="33" t="n">
        <v>0.00641031773649474</v>
      </c>
      <c r="BK27" s="33" t="n">
        <v>0.00697420959782443</v>
      </c>
      <c r="BL27" s="33" t="n">
        <v>0.00235846025941946</v>
      </c>
      <c r="BM27" s="33" t="n">
        <v>0.00287713848085926</v>
      </c>
      <c r="BN27" s="33" t="n">
        <v>0.00257299400801675</v>
      </c>
      <c r="BO27" s="33" t="n">
        <v>0.00353441892653877</v>
      </c>
      <c r="BP27" s="33" t="n">
        <v>0.00990544277245088</v>
      </c>
      <c r="BQ27" s="33" t="n">
        <v>0.00858409828831334</v>
      </c>
      <c r="BR27" s="33" t="n">
        <v>0.00633532528582461</v>
      </c>
      <c r="BS27" s="33" t="n">
        <v>0.0103098857920695</v>
      </c>
      <c r="BT27" s="33" t="n">
        <v>0</v>
      </c>
    </row>
    <row r="28" customFormat="false" ht="11.25" hidden="false" customHeight="true" outlineLevel="0" collapsed="false">
      <c r="B28" s="24" t="s">
        <v>107</v>
      </c>
      <c r="C28" s="25" t="s">
        <v>108</v>
      </c>
      <c r="D28" s="24" t="n">
        <v>22</v>
      </c>
      <c r="E28" s="34" t="n">
        <v>0.082963775769213</v>
      </c>
      <c r="F28" s="34" t="n">
        <v>0.0343579781300636</v>
      </c>
      <c r="G28" s="34" t="n">
        <v>0.00668649591388939</v>
      </c>
      <c r="H28" s="34" t="n">
        <v>0.10483197552988</v>
      </c>
      <c r="I28" s="34" t="n">
        <v>0.00746362420720904</v>
      </c>
      <c r="J28" s="34" t="n">
        <v>0.00736680843808428</v>
      </c>
      <c r="K28" s="34" t="n">
        <v>0.0158136614539915</v>
      </c>
      <c r="L28" s="34" t="n">
        <v>0.027750029412404</v>
      </c>
      <c r="M28" s="34" t="n">
        <v>0.0436533965382173</v>
      </c>
      <c r="N28" s="34" t="n">
        <v>0.0423960906906142</v>
      </c>
      <c r="O28" s="34" t="n">
        <v>0.0130779805176268</v>
      </c>
      <c r="P28" s="34" t="n">
        <v>0.0292841222375507</v>
      </c>
      <c r="Q28" s="34" t="n">
        <v>0.0303267832990133</v>
      </c>
      <c r="R28" s="34" t="n">
        <v>0.0121063235925338</v>
      </c>
      <c r="S28" s="34" t="n">
        <v>0.0173802794020206</v>
      </c>
      <c r="T28" s="34" t="n">
        <v>0.0404805667973948</v>
      </c>
      <c r="U28" s="34" t="n">
        <v>0.0333221027049885</v>
      </c>
      <c r="V28" s="34" t="n">
        <v>0.0495181644797231</v>
      </c>
      <c r="W28" s="34" t="n">
        <v>0.00946887573202867</v>
      </c>
      <c r="X28" s="34" t="n">
        <v>0.0414755761838488</v>
      </c>
      <c r="Y28" s="34" t="n">
        <v>0.0273845228084527</v>
      </c>
      <c r="Z28" s="34" t="n">
        <v>1.15323551711353</v>
      </c>
      <c r="AA28" s="34" t="n">
        <v>0.0562654359855966</v>
      </c>
      <c r="AB28" s="34" t="n">
        <v>0.0224794759364361</v>
      </c>
      <c r="AC28" s="34" t="n">
        <v>0.0450218258218195</v>
      </c>
      <c r="AD28" s="34" t="n">
        <v>0.029834191010111</v>
      </c>
      <c r="AE28" s="34" t="n">
        <v>0.0127497421797517</v>
      </c>
      <c r="AF28" s="34" t="n">
        <v>0.00960322794586769</v>
      </c>
      <c r="AG28" s="34" t="n">
        <v>0.0164714098074759</v>
      </c>
      <c r="AH28" s="34" t="n">
        <v>0.00640766315447111</v>
      </c>
      <c r="AI28" s="34" t="n">
        <v>0.0123255654189071</v>
      </c>
      <c r="AJ28" s="34" t="n">
        <v>0.0100110297388952</v>
      </c>
      <c r="AK28" s="34" t="n">
        <v>0.010995512308981</v>
      </c>
      <c r="AL28" s="34" t="n">
        <v>0.00992517343021356</v>
      </c>
      <c r="AM28" s="34" t="n">
        <v>0.0078411851913998</v>
      </c>
      <c r="AN28" s="34" t="n">
        <v>0.0194049606611514</v>
      </c>
      <c r="AO28" s="34" t="n">
        <v>0.0144327043289863</v>
      </c>
      <c r="AP28" s="34" t="n">
        <v>0.00273331158401668</v>
      </c>
      <c r="AQ28" s="34" t="n">
        <v>0.0103337398955886</v>
      </c>
      <c r="AR28" s="34" t="n">
        <v>0.0279650364855551</v>
      </c>
      <c r="AS28" s="34" t="n">
        <v>0.0101610045721952</v>
      </c>
      <c r="AT28" s="34" t="n">
        <v>0.00672917134977308</v>
      </c>
      <c r="AU28" s="34" t="n">
        <v>0.00565176140866472</v>
      </c>
      <c r="AV28" s="34" t="n">
        <v>0.00305472040926188</v>
      </c>
      <c r="AW28" s="34" t="n">
        <v>0.00413307267175704</v>
      </c>
      <c r="AX28" s="34" t="n">
        <v>0.00312109064905794</v>
      </c>
      <c r="AY28" s="34" t="n">
        <v>0.00674441438294121</v>
      </c>
      <c r="AZ28" s="34" t="n">
        <v>0.00921262104693091</v>
      </c>
      <c r="BA28" s="34" t="n">
        <v>0.015259923056065</v>
      </c>
      <c r="BB28" s="34" t="n">
        <v>0.00885964977912214</v>
      </c>
      <c r="BC28" s="34" t="n">
        <v>0.00607572380078469</v>
      </c>
      <c r="BD28" s="34" t="n">
        <v>0.0023483579286902</v>
      </c>
      <c r="BE28" s="34" t="n">
        <v>0.00144786112496753</v>
      </c>
      <c r="BF28" s="34" t="n">
        <v>0.00302928384029982</v>
      </c>
      <c r="BG28" s="34" t="n">
        <v>0.00223544338084244</v>
      </c>
      <c r="BH28" s="34" t="n">
        <v>0.00298665382253588</v>
      </c>
      <c r="BI28" s="34" t="n">
        <v>0.00544533227247317</v>
      </c>
      <c r="BJ28" s="34" t="n">
        <v>0.00324297091595659</v>
      </c>
      <c r="BK28" s="34" t="n">
        <v>0.0118583638190451</v>
      </c>
      <c r="BL28" s="34" t="n">
        <v>0.00135992989172763</v>
      </c>
      <c r="BM28" s="34" t="n">
        <v>0.00228068156095753</v>
      </c>
      <c r="BN28" s="34" t="n">
        <v>0.0024064090680734</v>
      </c>
      <c r="BO28" s="34" t="n">
        <v>0.00229071892348447</v>
      </c>
      <c r="BP28" s="34" t="n">
        <v>0.00983536248855292</v>
      </c>
      <c r="BQ28" s="34" t="n">
        <v>0.00315888522592872</v>
      </c>
      <c r="BR28" s="34" t="n">
        <v>0.00418594209875436</v>
      </c>
      <c r="BS28" s="34" t="n">
        <v>0.00494646966682782</v>
      </c>
      <c r="BT28" s="34" t="n">
        <v>0</v>
      </c>
    </row>
    <row r="29" customFormat="false" ht="11.25" hidden="false" customHeight="true" outlineLevel="0" collapsed="false">
      <c r="B29" s="19" t="s">
        <v>109</v>
      </c>
      <c r="C29" s="20" t="s">
        <v>110</v>
      </c>
      <c r="D29" s="19" t="n">
        <v>23</v>
      </c>
      <c r="E29" s="33" t="n">
        <v>0.00306706487801463</v>
      </c>
      <c r="F29" s="33" t="n">
        <v>0.00187369280033038</v>
      </c>
      <c r="G29" s="33" t="n">
        <v>0.000543937014859863</v>
      </c>
      <c r="H29" s="33" t="n">
        <v>0.00525021763259839</v>
      </c>
      <c r="I29" s="33" t="n">
        <v>0.0018378455121511</v>
      </c>
      <c r="J29" s="33" t="n">
        <v>0.0017404125523383</v>
      </c>
      <c r="K29" s="33" t="n">
        <v>0.002633771091985</v>
      </c>
      <c r="L29" s="33" t="n">
        <v>0.00365146632490046</v>
      </c>
      <c r="M29" s="33" t="n">
        <v>0.00266237193009232</v>
      </c>
      <c r="N29" s="33" t="n">
        <v>0.00365265405475021</v>
      </c>
      <c r="O29" s="33" t="n">
        <v>0.00254562387400952</v>
      </c>
      <c r="P29" s="33" t="n">
        <v>0.00253551137299901</v>
      </c>
      <c r="Q29" s="33" t="n">
        <v>0.00430415758115308</v>
      </c>
      <c r="R29" s="33" t="n">
        <v>0.00269515397122227</v>
      </c>
      <c r="S29" s="33" t="n">
        <v>0.00343164820453703</v>
      </c>
      <c r="T29" s="33" t="n">
        <v>0.00368733795356205</v>
      </c>
      <c r="U29" s="33" t="n">
        <v>0.00487948808772164</v>
      </c>
      <c r="V29" s="33" t="n">
        <v>0.00288470176857736</v>
      </c>
      <c r="W29" s="33" t="n">
        <v>0.00222390879130764</v>
      </c>
      <c r="X29" s="33" t="n">
        <v>0.00266695927056559</v>
      </c>
      <c r="Y29" s="33" t="n">
        <v>0.00635737093987783</v>
      </c>
      <c r="Z29" s="33" t="n">
        <v>0.0102581380740613</v>
      </c>
      <c r="AA29" s="33" t="n">
        <v>1.02530314025167</v>
      </c>
      <c r="AB29" s="33" t="n">
        <v>0.00368140916937083</v>
      </c>
      <c r="AC29" s="33" t="n">
        <v>0.00546299847140152</v>
      </c>
      <c r="AD29" s="33" t="n">
        <v>0.00364338719252908</v>
      </c>
      <c r="AE29" s="33" t="n">
        <v>0.00254436314505208</v>
      </c>
      <c r="AF29" s="33" t="n">
        <v>0.00255598912947461</v>
      </c>
      <c r="AG29" s="33" t="n">
        <v>0.00650777947566171</v>
      </c>
      <c r="AH29" s="33" t="n">
        <v>0.00151498246884532</v>
      </c>
      <c r="AI29" s="33" t="n">
        <v>0.00296625150166163</v>
      </c>
      <c r="AJ29" s="33" t="n">
        <v>0.0028604387406345</v>
      </c>
      <c r="AK29" s="33" t="n">
        <v>0.00182861849402448</v>
      </c>
      <c r="AL29" s="33" t="n">
        <v>0.00190201689971534</v>
      </c>
      <c r="AM29" s="33" t="n">
        <v>0.00143786524788425</v>
      </c>
      <c r="AN29" s="33" t="n">
        <v>0.00266697417466002</v>
      </c>
      <c r="AO29" s="33" t="n">
        <v>0.00149612926252996</v>
      </c>
      <c r="AP29" s="33" t="n">
        <v>0.000669821832869297</v>
      </c>
      <c r="AQ29" s="33" t="n">
        <v>0.00152502392554031</v>
      </c>
      <c r="AR29" s="33" t="n">
        <v>0.00191683870384475</v>
      </c>
      <c r="AS29" s="33" t="n">
        <v>0.00169731197011267</v>
      </c>
      <c r="AT29" s="33" t="n">
        <v>0.00287093499228148</v>
      </c>
      <c r="AU29" s="33" t="n">
        <v>0.00181005579633663</v>
      </c>
      <c r="AV29" s="33" t="n">
        <v>0.0010628820311144</v>
      </c>
      <c r="AW29" s="33" t="n">
        <v>0.00116026214171983</v>
      </c>
      <c r="AX29" s="33" t="n">
        <v>0.00152180951236076</v>
      </c>
      <c r="AY29" s="33" t="n">
        <v>0.00341099802805616</v>
      </c>
      <c r="AZ29" s="33" t="n">
        <v>0.00144478769389305</v>
      </c>
      <c r="BA29" s="33" t="n">
        <v>0.00327231366250136</v>
      </c>
      <c r="BB29" s="33" t="n">
        <v>0.00295614497702143</v>
      </c>
      <c r="BC29" s="33" t="n">
        <v>0.00288743194139224</v>
      </c>
      <c r="BD29" s="33" t="n">
        <v>0.000979297708744929</v>
      </c>
      <c r="BE29" s="33" t="n">
        <v>0.000641432146160195</v>
      </c>
      <c r="BF29" s="33" t="n">
        <v>0.000159143607027575</v>
      </c>
      <c r="BG29" s="33" t="n">
        <v>0.00176385996202454</v>
      </c>
      <c r="BH29" s="33" t="n">
        <v>0.00199325512136993</v>
      </c>
      <c r="BI29" s="33" t="n">
        <v>0.00369941724701529</v>
      </c>
      <c r="BJ29" s="33" t="n">
        <v>0.00230333998269737</v>
      </c>
      <c r="BK29" s="33" t="n">
        <v>0.00692522118631349</v>
      </c>
      <c r="BL29" s="33" t="n">
        <v>0.00049481138689431</v>
      </c>
      <c r="BM29" s="33" t="n">
        <v>0.000718014769415576</v>
      </c>
      <c r="BN29" s="33" t="n">
        <v>0.000810339282641132</v>
      </c>
      <c r="BO29" s="33" t="n">
        <v>0.00179033894360097</v>
      </c>
      <c r="BP29" s="33" t="n">
        <v>0.00172071189153954</v>
      </c>
      <c r="BQ29" s="33" t="n">
        <v>0.00322172307308948</v>
      </c>
      <c r="BR29" s="33" t="n">
        <v>0.00493248057526608</v>
      </c>
      <c r="BS29" s="33" t="n">
        <v>0.00745486629482436</v>
      </c>
      <c r="BT29" s="33" t="n">
        <v>0</v>
      </c>
    </row>
    <row r="30" customFormat="false" ht="11.25" hidden="false" customHeight="true" outlineLevel="0" collapsed="false">
      <c r="B30" s="24" t="s">
        <v>111</v>
      </c>
      <c r="C30" s="25" t="s">
        <v>112</v>
      </c>
      <c r="D30" s="24" t="n">
        <v>24</v>
      </c>
      <c r="E30" s="34" t="n">
        <v>0.00237164294444999</v>
      </c>
      <c r="F30" s="34" t="n">
        <v>0.0134838781716021</v>
      </c>
      <c r="G30" s="34" t="n">
        <v>0.00077559098728114</v>
      </c>
      <c r="H30" s="34" t="n">
        <v>0.00133540289713755</v>
      </c>
      <c r="I30" s="34" t="n">
        <v>0.00213354901521154</v>
      </c>
      <c r="J30" s="34" t="n">
        <v>0.000442501343946183</v>
      </c>
      <c r="K30" s="34" t="n">
        <v>0.000668076706355963</v>
      </c>
      <c r="L30" s="34" t="n">
        <v>0.00585190211636598</v>
      </c>
      <c r="M30" s="34" t="n">
        <v>0.00152459667145707</v>
      </c>
      <c r="N30" s="34" t="n">
        <v>0.00268003713510911</v>
      </c>
      <c r="O30" s="34" t="n">
        <v>0.000756355725382732</v>
      </c>
      <c r="P30" s="34" t="n">
        <v>0.0014425366751179</v>
      </c>
      <c r="Q30" s="34" t="n">
        <v>0.0017242817750284</v>
      </c>
      <c r="R30" s="34" t="n">
        <v>0.00131353890378069</v>
      </c>
      <c r="S30" s="34" t="n">
        <v>0.00158275632888048</v>
      </c>
      <c r="T30" s="34" t="n">
        <v>0.00109448445905029</v>
      </c>
      <c r="U30" s="34" t="n">
        <v>0.00166252832705944</v>
      </c>
      <c r="V30" s="34" t="n">
        <v>0.000733644211140622</v>
      </c>
      <c r="W30" s="34" t="n">
        <v>0.0010354119901071</v>
      </c>
      <c r="X30" s="34" t="n">
        <v>0.00172658730607774</v>
      </c>
      <c r="Y30" s="34" t="n">
        <v>0.00235596492158229</v>
      </c>
      <c r="Z30" s="34" t="n">
        <v>0.00803427903303119</v>
      </c>
      <c r="AA30" s="34" t="n">
        <v>0.00296381124911747</v>
      </c>
      <c r="AB30" s="34" t="n">
        <v>1.05510375201751</v>
      </c>
      <c r="AC30" s="34" t="n">
        <v>0.0016851226439269</v>
      </c>
      <c r="AD30" s="34" t="n">
        <v>0.00105046117872873</v>
      </c>
      <c r="AE30" s="34" t="n">
        <v>0.000829368448425596</v>
      </c>
      <c r="AF30" s="34" t="n">
        <v>0.000713024349986456</v>
      </c>
      <c r="AG30" s="34" t="n">
        <v>0.00101103181817854</v>
      </c>
      <c r="AH30" s="34" t="n">
        <v>0.000442351862488118</v>
      </c>
      <c r="AI30" s="34" t="n">
        <v>0.000938954293304853</v>
      </c>
      <c r="AJ30" s="34" t="n">
        <v>0.00101052074848068</v>
      </c>
      <c r="AK30" s="34" t="n">
        <v>0.000569865398708646</v>
      </c>
      <c r="AL30" s="34" t="n">
        <v>0.000526888998176163</v>
      </c>
      <c r="AM30" s="34" t="n">
        <v>0.000427438378740803</v>
      </c>
      <c r="AN30" s="34" t="n">
        <v>0.000970807697765818</v>
      </c>
      <c r="AO30" s="34" t="n">
        <v>0.00042374618670002</v>
      </c>
      <c r="AP30" s="34" t="n">
        <v>0.000236551466555597</v>
      </c>
      <c r="AQ30" s="34" t="n">
        <v>0.000337797191364564</v>
      </c>
      <c r="AR30" s="34" t="n">
        <v>0.000534134121056524</v>
      </c>
      <c r="AS30" s="34" t="n">
        <v>0.00032417995991854</v>
      </c>
      <c r="AT30" s="34" t="n">
        <v>0.000790050395205228</v>
      </c>
      <c r="AU30" s="34" t="n">
        <v>0.000437192676495937</v>
      </c>
      <c r="AV30" s="34" t="n">
        <v>0.000319588968020273</v>
      </c>
      <c r="AW30" s="34" t="n">
        <v>0.000383051789085526</v>
      </c>
      <c r="AX30" s="34" t="n">
        <v>0.000322687968262858</v>
      </c>
      <c r="AY30" s="34" t="n">
        <v>0.000799261220663738</v>
      </c>
      <c r="AZ30" s="34" t="n">
        <v>0.00111415990148686</v>
      </c>
      <c r="BA30" s="34" t="n">
        <v>0.000866745130528645</v>
      </c>
      <c r="BB30" s="34" t="n">
        <v>0.000701458015335729</v>
      </c>
      <c r="BC30" s="34" t="n">
        <v>0.00076295007774267</v>
      </c>
      <c r="BD30" s="34" t="n">
        <v>0.000285428342434165</v>
      </c>
      <c r="BE30" s="34" t="n">
        <v>0.000150327960652413</v>
      </c>
      <c r="BF30" s="34" t="n">
        <v>5.53468385197694E-005</v>
      </c>
      <c r="BG30" s="34" t="n">
        <v>0.000316289304096993</v>
      </c>
      <c r="BH30" s="34" t="n">
        <v>0.000759106708768218</v>
      </c>
      <c r="BI30" s="34" t="n">
        <v>0.000795024885548673</v>
      </c>
      <c r="BJ30" s="34" t="n">
        <v>0.000409853254415521</v>
      </c>
      <c r="BK30" s="34" t="n">
        <v>0.000510599874401026</v>
      </c>
      <c r="BL30" s="34" t="n">
        <v>0.000158015931686493</v>
      </c>
      <c r="BM30" s="34" t="n">
        <v>0.000769150060804738</v>
      </c>
      <c r="BN30" s="34" t="n">
        <v>0.00114360027759079</v>
      </c>
      <c r="BO30" s="34" t="n">
        <v>0.00196143411122397</v>
      </c>
      <c r="BP30" s="34" t="n">
        <v>0.0175518333534897</v>
      </c>
      <c r="BQ30" s="34" t="n">
        <v>0.0362469992752338</v>
      </c>
      <c r="BR30" s="34" t="n">
        <v>0.00069538211941616</v>
      </c>
      <c r="BS30" s="34" t="n">
        <v>0.00404774651700127</v>
      </c>
      <c r="BT30" s="34" t="n">
        <v>0</v>
      </c>
    </row>
    <row r="31" customFormat="false" ht="11.25" hidden="false" customHeight="true" outlineLevel="0" collapsed="false">
      <c r="B31" s="19" t="s">
        <v>113</v>
      </c>
      <c r="C31" s="20" t="s">
        <v>114</v>
      </c>
      <c r="D31" s="19" t="n">
        <v>25</v>
      </c>
      <c r="E31" s="33" t="n">
        <v>0.0070931186356378</v>
      </c>
      <c r="F31" s="33" t="n">
        <v>0.00878649370729464</v>
      </c>
      <c r="G31" s="33" t="n">
        <v>0.00466381376179517</v>
      </c>
      <c r="H31" s="33" t="n">
        <v>0.0148156326589139</v>
      </c>
      <c r="I31" s="33" t="n">
        <v>0.00791380088224101</v>
      </c>
      <c r="J31" s="33" t="n">
        <v>0.0157794182547949</v>
      </c>
      <c r="K31" s="33" t="n">
        <v>0.0159104812417205</v>
      </c>
      <c r="L31" s="33" t="n">
        <v>0.0279421493252695</v>
      </c>
      <c r="M31" s="33" t="n">
        <v>0.0116638219697846</v>
      </c>
      <c r="N31" s="33" t="n">
        <v>0.038788572649525</v>
      </c>
      <c r="O31" s="33" t="n">
        <v>0.0511360082996841</v>
      </c>
      <c r="P31" s="33" t="n">
        <v>0.00862357875278025</v>
      </c>
      <c r="Q31" s="33" t="n">
        <v>0.0167739325946186</v>
      </c>
      <c r="R31" s="33" t="n">
        <v>0.0118829858768585</v>
      </c>
      <c r="S31" s="33" t="n">
        <v>0.0320306237743438</v>
      </c>
      <c r="T31" s="33" t="n">
        <v>0.0200803105095507</v>
      </c>
      <c r="U31" s="33" t="n">
        <v>0.0238848307118825</v>
      </c>
      <c r="V31" s="33" t="n">
        <v>0.048757401769705</v>
      </c>
      <c r="W31" s="33" t="n">
        <v>0.00582263841647881</v>
      </c>
      <c r="X31" s="33" t="n">
        <v>0.0104111179886967</v>
      </c>
      <c r="Y31" s="33" t="n">
        <v>0.0188706282097682</v>
      </c>
      <c r="Z31" s="33" t="n">
        <v>0.0207768785080442</v>
      </c>
      <c r="AA31" s="33" t="n">
        <v>0.0441064151427179</v>
      </c>
      <c r="AB31" s="33" t="n">
        <v>0.0167346248706329</v>
      </c>
      <c r="AC31" s="33" t="n">
        <v>1.14915210356486</v>
      </c>
      <c r="AD31" s="33" t="n">
        <v>0.039536901244337</v>
      </c>
      <c r="AE31" s="33" t="n">
        <v>0.0183259802218738</v>
      </c>
      <c r="AF31" s="33" t="n">
        <v>0.0108369672123073</v>
      </c>
      <c r="AG31" s="33" t="n">
        <v>0.0210668932808644</v>
      </c>
      <c r="AH31" s="33" t="n">
        <v>0.0182757071490383</v>
      </c>
      <c r="AI31" s="33" t="n">
        <v>0.0389770574481733</v>
      </c>
      <c r="AJ31" s="33" t="n">
        <v>0.0337964456494602</v>
      </c>
      <c r="AK31" s="33" t="n">
        <v>0.0742013477598869</v>
      </c>
      <c r="AL31" s="33" t="n">
        <v>0.056017501787734</v>
      </c>
      <c r="AM31" s="33" t="n">
        <v>0.031786722828607</v>
      </c>
      <c r="AN31" s="33" t="n">
        <v>0.0432874021025255</v>
      </c>
      <c r="AO31" s="33" t="n">
        <v>0.0293010563373563</v>
      </c>
      <c r="AP31" s="33" t="n">
        <v>0.00479887693441186</v>
      </c>
      <c r="AQ31" s="33" t="n">
        <v>0.0146160921960968</v>
      </c>
      <c r="AR31" s="33" t="n">
        <v>0.0426365881552699</v>
      </c>
      <c r="AS31" s="33" t="n">
        <v>0.0225986672714773</v>
      </c>
      <c r="AT31" s="33" t="n">
        <v>0.0121972117589073</v>
      </c>
      <c r="AU31" s="33" t="n">
        <v>0.0292287771475447</v>
      </c>
      <c r="AV31" s="33" t="n">
        <v>0.00539191780038988</v>
      </c>
      <c r="AW31" s="33" t="n">
        <v>0.0259536463096683</v>
      </c>
      <c r="AX31" s="33" t="n">
        <v>0.00617013657309924</v>
      </c>
      <c r="AY31" s="33" t="n">
        <v>0.00644970307013241</v>
      </c>
      <c r="AZ31" s="33" t="n">
        <v>0.0132745556888173</v>
      </c>
      <c r="BA31" s="33" t="n">
        <v>0.0123320150679989</v>
      </c>
      <c r="BB31" s="33" t="n">
        <v>0.00724612922214842</v>
      </c>
      <c r="BC31" s="33" t="n">
        <v>0.00791774804649915</v>
      </c>
      <c r="BD31" s="33" t="n">
        <v>0.00320123914868866</v>
      </c>
      <c r="BE31" s="33" t="n">
        <v>0.00166749886737458</v>
      </c>
      <c r="BF31" s="33" t="n">
        <v>0.000960313597203522</v>
      </c>
      <c r="BG31" s="33" t="n">
        <v>0.00509215317061367</v>
      </c>
      <c r="BH31" s="33" t="n">
        <v>0.00402913279504383</v>
      </c>
      <c r="BI31" s="33" t="n">
        <v>0.00547115204501943</v>
      </c>
      <c r="BJ31" s="33" t="n">
        <v>0.0113986344063632</v>
      </c>
      <c r="BK31" s="33" t="n">
        <v>0.00621698995915238</v>
      </c>
      <c r="BL31" s="33" t="n">
        <v>0.00191367933637739</v>
      </c>
      <c r="BM31" s="33" t="n">
        <v>0.00260857091614627</v>
      </c>
      <c r="BN31" s="33" t="n">
        <v>0.00221547263831018</v>
      </c>
      <c r="BO31" s="33" t="n">
        <v>0.00285922503322244</v>
      </c>
      <c r="BP31" s="33" t="n">
        <v>0.00946442753549841</v>
      </c>
      <c r="BQ31" s="33" t="n">
        <v>0.00588968756465344</v>
      </c>
      <c r="BR31" s="33" t="n">
        <v>0.00485510073618054</v>
      </c>
      <c r="BS31" s="33" t="n">
        <v>0.00630877437037407</v>
      </c>
      <c r="BT31" s="33" t="n">
        <v>0</v>
      </c>
    </row>
    <row r="32" customFormat="false" ht="11.25" hidden="false" customHeight="true" outlineLevel="0" collapsed="false">
      <c r="B32" s="24" t="s">
        <v>115</v>
      </c>
      <c r="C32" s="25" t="s">
        <v>116</v>
      </c>
      <c r="D32" s="24" t="n">
        <v>26</v>
      </c>
      <c r="E32" s="34" t="n">
        <v>0.0102217980517509</v>
      </c>
      <c r="F32" s="34" t="n">
        <v>0.0169344335132501</v>
      </c>
      <c r="G32" s="34" t="n">
        <v>0.00338856433588954</v>
      </c>
      <c r="H32" s="34" t="n">
        <v>0.00609399744588501</v>
      </c>
      <c r="I32" s="34" t="n">
        <v>0.00283352571507237</v>
      </c>
      <c r="J32" s="34" t="n">
        <v>0.00399116624594394</v>
      </c>
      <c r="K32" s="34" t="n">
        <v>0.00488308163064823</v>
      </c>
      <c r="L32" s="34" t="n">
        <v>0.00924200223206021</v>
      </c>
      <c r="M32" s="34" t="n">
        <v>0.00866434288636749</v>
      </c>
      <c r="N32" s="34" t="n">
        <v>0.0118980554756424</v>
      </c>
      <c r="O32" s="34" t="n">
        <v>0.0334022536968067</v>
      </c>
      <c r="P32" s="34" t="n">
        <v>0.00461898379617603</v>
      </c>
      <c r="Q32" s="34" t="n">
        <v>0.0043840408669115</v>
      </c>
      <c r="R32" s="34" t="n">
        <v>0.00245931648633056</v>
      </c>
      <c r="S32" s="34" t="n">
        <v>0.0030464362237585</v>
      </c>
      <c r="T32" s="34" t="n">
        <v>0.00327561232070585</v>
      </c>
      <c r="U32" s="34" t="n">
        <v>0.00726309637955794</v>
      </c>
      <c r="V32" s="34" t="n">
        <v>0.00277892007823049</v>
      </c>
      <c r="W32" s="34" t="n">
        <v>0.00201915657701209</v>
      </c>
      <c r="X32" s="34" t="n">
        <v>0.00610893965178925</v>
      </c>
      <c r="Y32" s="34" t="n">
        <v>0.00805583442249005</v>
      </c>
      <c r="Z32" s="34" t="n">
        <v>0.00608124406224118</v>
      </c>
      <c r="AA32" s="34" t="n">
        <v>0.0120429552126236</v>
      </c>
      <c r="AB32" s="34" t="n">
        <v>0.00341267961836225</v>
      </c>
      <c r="AC32" s="34" t="n">
        <v>0.0091858675871291</v>
      </c>
      <c r="AD32" s="34" t="n">
        <v>1.11044630398186</v>
      </c>
      <c r="AE32" s="34" t="n">
        <v>0.00743915183127636</v>
      </c>
      <c r="AF32" s="34" t="n">
        <v>0.00688608077709904</v>
      </c>
      <c r="AG32" s="34" t="n">
        <v>0.00604742405221396</v>
      </c>
      <c r="AH32" s="34" t="n">
        <v>0.00154936642309556</v>
      </c>
      <c r="AI32" s="34" t="n">
        <v>0.00846935783400411</v>
      </c>
      <c r="AJ32" s="34" t="n">
        <v>0.0058749740916633</v>
      </c>
      <c r="AK32" s="34" t="n">
        <v>0.01737107111061</v>
      </c>
      <c r="AL32" s="34" t="n">
        <v>0.00482437065609582</v>
      </c>
      <c r="AM32" s="34" t="n">
        <v>0.00647728684819862</v>
      </c>
      <c r="AN32" s="34" t="n">
        <v>0.0104429920742858</v>
      </c>
      <c r="AO32" s="34" t="n">
        <v>0.00511222311523438</v>
      </c>
      <c r="AP32" s="34" t="n">
        <v>0.00821851535484024</v>
      </c>
      <c r="AQ32" s="34" t="n">
        <v>0.0205942439813679</v>
      </c>
      <c r="AR32" s="34" t="n">
        <v>0.10349724282515</v>
      </c>
      <c r="AS32" s="34" t="n">
        <v>0.00388973648586969</v>
      </c>
      <c r="AT32" s="34" t="n">
        <v>0.00208117951812722</v>
      </c>
      <c r="AU32" s="34" t="n">
        <v>0.00176666771622379</v>
      </c>
      <c r="AV32" s="34" t="n">
        <v>0.00137460979581365</v>
      </c>
      <c r="AW32" s="34" t="n">
        <v>0.00153229563427325</v>
      </c>
      <c r="AX32" s="34" t="n">
        <v>0.00253767363927884</v>
      </c>
      <c r="AY32" s="34" t="n">
        <v>0.0127072584082243</v>
      </c>
      <c r="AZ32" s="34" t="n">
        <v>0.00913627712379772</v>
      </c>
      <c r="BA32" s="34" t="n">
        <v>0.00245797821070928</v>
      </c>
      <c r="BB32" s="34" t="n">
        <v>0.00256210837641615</v>
      </c>
      <c r="BC32" s="34" t="n">
        <v>0.0042681362957331</v>
      </c>
      <c r="BD32" s="34" t="n">
        <v>0.00146738923167812</v>
      </c>
      <c r="BE32" s="34" t="n">
        <v>0.000813659387831415</v>
      </c>
      <c r="BF32" s="34" t="n">
        <v>0.00477249175508955</v>
      </c>
      <c r="BG32" s="34" t="n">
        <v>0.0012696274428468</v>
      </c>
      <c r="BH32" s="34" t="n">
        <v>0.00217831258048962</v>
      </c>
      <c r="BI32" s="34" t="n">
        <v>0.00157304637711376</v>
      </c>
      <c r="BJ32" s="34" t="n">
        <v>0.00159999078478025</v>
      </c>
      <c r="BK32" s="34" t="n">
        <v>0.00309284460610096</v>
      </c>
      <c r="BL32" s="34" t="n">
        <v>0.000599243612442292</v>
      </c>
      <c r="BM32" s="34" t="n">
        <v>0.00299046649840524</v>
      </c>
      <c r="BN32" s="34" t="n">
        <v>0.00140020641724939</v>
      </c>
      <c r="BO32" s="34" t="n">
        <v>0.00162130512146256</v>
      </c>
      <c r="BP32" s="34" t="n">
        <v>0.00453185744569955</v>
      </c>
      <c r="BQ32" s="34" t="n">
        <v>0.00181005341067975</v>
      </c>
      <c r="BR32" s="34" t="n">
        <v>0.00270701184737022</v>
      </c>
      <c r="BS32" s="34" t="n">
        <v>0.00452308795219288</v>
      </c>
      <c r="BT32" s="34" t="n">
        <v>0</v>
      </c>
    </row>
    <row r="33" customFormat="false" ht="11.25" hidden="false" customHeight="true" outlineLevel="0" collapsed="false">
      <c r="B33" s="19" t="s">
        <v>117</v>
      </c>
      <c r="C33" s="20" t="s">
        <v>118</v>
      </c>
      <c r="D33" s="19" t="n">
        <v>27</v>
      </c>
      <c r="E33" s="33" t="n">
        <v>0.00430069116156035</v>
      </c>
      <c r="F33" s="33" t="n">
        <v>0.00737094050902106</v>
      </c>
      <c r="G33" s="33" t="n">
        <v>0.00317165679983502</v>
      </c>
      <c r="H33" s="33" t="n">
        <v>0.0140530433076582</v>
      </c>
      <c r="I33" s="33" t="n">
        <v>0.0827140394003298</v>
      </c>
      <c r="J33" s="33" t="n">
        <v>0.0131452146417006</v>
      </c>
      <c r="K33" s="33" t="n">
        <v>0.0244893558895467</v>
      </c>
      <c r="L33" s="33" t="n">
        <v>0.0135880878654393</v>
      </c>
      <c r="M33" s="33" t="n">
        <v>0.00616584194648124</v>
      </c>
      <c r="N33" s="33" t="n">
        <v>0.00999286476866286</v>
      </c>
      <c r="O33" s="33" t="n">
        <v>0.0236588221937099</v>
      </c>
      <c r="P33" s="33" t="n">
        <v>0.00498164985300843</v>
      </c>
      <c r="Q33" s="33" t="n">
        <v>0.00658487295591696</v>
      </c>
      <c r="R33" s="33" t="n">
        <v>0.00506303528182217</v>
      </c>
      <c r="S33" s="33" t="n">
        <v>0.00689679746553298</v>
      </c>
      <c r="T33" s="33" t="n">
        <v>0.0125659360759903</v>
      </c>
      <c r="U33" s="33" t="n">
        <v>0.0128314825721</v>
      </c>
      <c r="V33" s="33" t="n">
        <v>0.00723128098983097</v>
      </c>
      <c r="W33" s="33" t="n">
        <v>0.0278233322397097</v>
      </c>
      <c r="X33" s="33" t="n">
        <v>0.00551600463722337</v>
      </c>
      <c r="Y33" s="33" t="n">
        <v>0.00893251002279686</v>
      </c>
      <c r="Z33" s="33" t="n">
        <v>0.00993793288905182</v>
      </c>
      <c r="AA33" s="33" t="n">
        <v>0.0122913700384417</v>
      </c>
      <c r="AB33" s="33" t="n">
        <v>0.00649400690113078</v>
      </c>
      <c r="AC33" s="33" t="n">
        <v>0.017825845663023</v>
      </c>
      <c r="AD33" s="33" t="n">
        <v>0.0229137789603386</v>
      </c>
      <c r="AE33" s="33" t="n">
        <v>1.12121582908473</v>
      </c>
      <c r="AF33" s="33" t="n">
        <v>0.0307166031939163</v>
      </c>
      <c r="AG33" s="33" t="n">
        <v>0.245610855764835</v>
      </c>
      <c r="AH33" s="33" t="n">
        <v>0.00835580870882004</v>
      </c>
      <c r="AI33" s="33" t="n">
        <v>0.0673079239825302</v>
      </c>
      <c r="AJ33" s="33" t="n">
        <v>0.103335800559161</v>
      </c>
      <c r="AK33" s="33" t="n">
        <v>0.0803885589333679</v>
      </c>
      <c r="AL33" s="33" t="n">
        <v>0.121065495625822</v>
      </c>
      <c r="AM33" s="33" t="n">
        <v>0.0387047140137749</v>
      </c>
      <c r="AN33" s="33" t="n">
        <v>0.032151639114501</v>
      </c>
      <c r="AO33" s="33" t="n">
        <v>0.0449204680586801</v>
      </c>
      <c r="AP33" s="33" t="n">
        <v>0.0102467465729387</v>
      </c>
      <c r="AQ33" s="33" t="n">
        <v>0.0108128641500015</v>
      </c>
      <c r="AR33" s="33" t="n">
        <v>0.0492316169982697</v>
      </c>
      <c r="AS33" s="33" t="n">
        <v>0.0168172673009342</v>
      </c>
      <c r="AT33" s="33" t="n">
        <v>0.00638031403120241</v>
      </c>
      <c r="AU33" s="33" t="n">
        <v>0.0137349012699546</v>
      </c>
      <c r="AV33" s="33" t="n">
        <v>0.00780617155562384</v>
      </c>
      <c r="AW33" s="33" t="n">
        <v>0.00687536845824302</v>
      </c>
      <c r="AX33" s="33" t="n">
        <v>0.00482141374565991</v>
      </c>
      <c r="AY33" s="33" t="n">
        <v>0.00596356843462985</v>
      </c>
      <c r="AZ33" s="33" t="n">
        <v>0.00787946097476373</v>
      </c>
      <c r="BA33" s="33" t="n">
        <v>0.00623690808274114</v>
      </c>
      <c r="BB33" s="33" t="n">
        <v>0.00457852024014841</v>
      </c>
      <c r="BC33" s="33" t="n">
        <v>0.00552892819274315</v>
      </c>
      <c r="BD33" s="33" t="n">
        <v>0.00252431588240872</v>
      </c>
      <c r="BE33" s="33" t="n">
        <v>0.00107057180852263</v>
      </c>
      <c r="BF33" s="33" t="n">
        <v>0.000752841587670381</v>
      </c>
      <c r="BG33" s="33" t="n">
        <v>0.00222739903548924</v>
      </c>
      <c r="BH33" s="33" t="n">
        <v>0.003385599238942</v>
      </c>
      <c r="BI33" s="33" t="n">
        <v>0.00290983338409222</v>
      </c>
      <c r="BJ33" s="33" t="n">
        <v>0.0094672687994144</v>
      </c>
      <c r="BK33" s="33" t="n">
        <v>0.00360409092427534</v>
      </c>
      <c r="BL33" s="33" t="n">
        <v>0.00225685210595459</v>
      </c>
      <c r="BM33" s="33" t="n">
        <v>0.00281537386733945</v>
      </c>
      <c r="BN33" s="33" t="n">
        <v>0.00128356619309659</v>
      </c>
      <c r="BO33" s="33" t="n">
        <v>0.00216422155912579</v>
      </c>
      <c r="BP33" s="33" t="n">
        <v>0.00380193775682342</v>
      </c>
      <c r="BQ33" s="33" t="n">
        <v>0.00248324752555934</v>
      </c>
      <c r="BR33" s="33" t="n">
        <v>0.00435700933978378</v>
      </c>
      <c r="BS33" s="33" t="n">
        <v>0.00384782287320624</v>
      </c>
      <c r="BT33" s="33" t="n">
        <v>0</v>
      </c>
    </row>
    <row r="34" customFormat="false" ht="11.25" hidden="false" customHeight="true" outlineLevel="0" collapsed="false">
      <c r="B34" s="24" t="s">
        <v>119</v>
      </c>
      <c r="C34" s="25" t="s">
        <v>120</v>
      </c>
      <c r="D34" s="24" t="n">
        <v>28</v>
      </c>
      <c r="E34" s="34" t="n">
        <v>0.00295682241978993</v>
      </c>
      <c r="F34" s="34" t="n">
        <v>0.00271684549698169</v>
      </c>
      <c r="G34" s="34" t="n">
        <v>0.00116371704041351</v>
      </c>
      <c r="H34" s="34" t="n">
        <v>0.00443929254959014</v>
      </c>
      <c r="I34" s="34" t="n">
        <v>0.00633923034150976</v>
      </c>
      <c r="J34" s="34" t="n">
        <v>0.00437801621764906</v>
      </c>
      <c r="K34" s="34" t="n">
        <v>0.0121618961779576</v>
      </c>
      <c r="L34" s="34" t="n">
        <v>0.0068971359119045</v>
      </c>
      <c r="M34" s="34" t="n">
        <v>0.00338527823203268</v>
      </c>
      <c r="N34" s="34" t="n">
        <v>0.00677217042730107</v>
      </c>
      <c r="O34" s="34" t="n">
        <v>0.00684779039332106</v>
      </c>
      <c r="P34" s="34" t="n">
        <v>0.00291750020601556</v>
      </c>
      <c r="Q34" s="34" t="n">
        <v>0.0040126963040198</v>
      </c>
      <c r="R34" s="34" t="n">
        <v>0.00316359904276574</v>
      </c>
      <c r="S34" s="34" t="n">
        <v>0.0039503907786769</v>
      </c>
      <c r="T34" s="34" t="n">
        <v>0.00520206227225032</v>
      </c>
      <c r="U34" s="34" t="n">
        <v>0.0108141782213236</v>
      </c>
      <c r="V34" s="34" t="n">
        <v>0.0227675731326575</v>
      </c>
      <c r="W34" s="34" t="n">
        <v>0.00298033468333711</v>
      </c>
      <c r="X34" s="34" t="n">
        <v>0.00315095165608931</v>
      </c>
      <c r="Y34" s="34" t="n">
        <v>0.0105566100959401</v>
      </c>
      <c r="Z34" s="34" t="n">
        <v>0.00903239206259742</v>
      </c>
      <c r="AA34" s="34" t="n">
        <v>0.00590091875304919</v>
      </c>
      <c r="AB34" s="34" t="n">
        <v>0.00371789695553913</v>
      </c>
      <c r="AC34" s="34" t="n">
        <v>0.00645650462016386</v>
      </c>
      <c r="AD34" s="34" t="n">
        <v>0.00768337658423008</v>
      </c>
      <c r="AE34" s="34" t="n">
        <v>0.0280931196134408</v>
      </c>
      <c r="AF34" s="34" t="n">
        <v>1.24085663747152</v>
      </c>
      <c r="AG34" s="34" t="n">
        <v>0.0476962866175897</v>
      </c>
      <c r="AH34" s="34" t="n">
        <v>0.00777623701063848</v>
      </c>
      <c r="AI34" s="34" t="n">
        <v>0.1404345944957</v>
      </c>
      <c r="AJ34" s="34" t="n">
        <v>0.0299485224890122</v>
      </c>
      <c r="AK34" s="34" t="n">
        <v>0.0286641167977551</v>
      </c>
      <c r="AL34" s="34" t="n">
        <v>0.0699590670736427</v>
      </c>
      <c r="AM34" s="34" t="n">
        <v>0.0378006288542715</v>
      </c>
      <c r="AN34" s="34" t="n">
        <v>0.0429237370649828</v>
      </c>
      <c r="AO34" s="34" t="n">
        <v>0.032875620668212</v>
      </c>
      <c r="AP34" s="34" t="n">
        <v>0.00523073424407752</v>
      </c>
      <c r="AQ34" s="34" t="n">
        <v>0.00569560741991498</v>
      </c>
      <c r="AR34" s="34" t="n">
        <v>0.0148664405924366</v>
      </c>
      <c r="AS34" s="34" t="n">
        <v>0.0132319636112311</v>
      </c>
      <c r="AT34" s="34" t="n">
        <v>0.00293535357212914</v>
      </c>
      <c r="AU34" s="34" t="n">
        <v>0.00581412142814443</v>
      </c>
      <c r="AV34" s="34" t="n">
        <v>0.00390541953785016</v>
      </c>
      <c r="AW34" s="34" t="n">
        <v>0.00209356636811539</v>
      </c>
      <c r="AX34" s="34" t="n">
        <v>0.00272610141763694</v>
      </c>
      <c r="AY34" s="34" t="n">
        <v>0.00303661901775668</v>
      </c>
      <c r="AZ34" s="34" t="n">
        <v>0.00311562084862049</v>
      </c>
      <c r="BA34" s="34" t="n">
        <v>0.0047561533546617</v>
      </c>
      <c r="BB34" s="34" t="n">
        <v>0.00290562238582863</v>
      </c>
      <c r="BC34" s="34" t="n">
        <v>0.00337183002149691</v>
      </c>
      <c r="BD34" s="34" t="n">
        <v>0.00153099528823759</v>
      </c>
      <c r="BE34" s="34" t="n">
        <v>0.0007598879241596</v>
      </c>
      <c r="BF34" s="34" t="n">
        <v>0.000517622309291886</v>
      </c>
      <c r="BG34" s="34" t="n">
        <v>0.00188856532027648</v>
      </c>
      <c r="BH34" s="34" t="n">
        <v>0.001890383749109</v>
      </c>
      <c r="BI34" s="34" t="n">
        <v>0.00238677893454821</v>
      </c>
      <c r="BJ34" s="34" t="n">
        <v>0.00305188646589511</v>
      </c>
      <c r="BK34" s="34" t="n">
        <v>0.00223136997073905</v>
      </c>
      <c r="BL34" s="34" t="n">
        <v>0.00109333971746156</v>
      </c>
      <c r="BM34" s="34" t="n">
        <v>0.00114150715659925</v>
      </c>
      <c r="BN34" s="34" t="n">
        <v>0.000689970250216134</v>
      </c>
      <c r="BO34" s="34" t="n">
        <v>0.00157197055452562</v>
      </c>
      <c r="BP34" s="34" t="n">
        <v>0.00223531206030711</v>
      </c>
      <c r="BQ34" s="34" t="n">
        <v>0.00246477911806847</v>
      </c>
      <c r="BR34" s="34" t="n">
        <v>0.00389497124864551</v>
      </c>
      <c r="BS34" s="34" t="n">
        <v>0.00298289047864349</v>
      </c>
      <c r="BT34" s="34" t="n">
        <v>0</v>
      </c>
    </row>
    <row r="35" customFormat="false" ht="11.25" hidden="false" customHeight="true" outlineLevel="0" collapsed="false">
      <c r="B35" s="19" t="s">
        <v>121</v>
      </c>
      <c r="C35" s="20" t="s">
        <v>122</v>
      </c>
      <c r="D35" s="19" t="n">
        <v>29</v>
      </c>
      <c r="E35" s="33" t="n">
        <v>0.00455579867118815</v>
      </c>
      <c r="F35" s="33" t="n">
        <v>0.008507990104753</v>
      </c>
      <c r="G35" s="33" t="n">
        <v>0.00352387668596098</v>
      </c>
      <c r="H35" s="33" t="n">
        <v>0.00973881459898949</v>
      </c>
      <c r="I35" s="33" t="n">
        <v>0.0185506063018107</v>
      </c>
      <c r="J35" s="33" t="n">
        <v>0.0180553917541514</v>
      </c>
      <c r="K35" s="33" t="n">
        <v>0.0283552399250719</v>
      </c>
      <c r="L35" s="33" t="n">
        <v>0.0209772735881844</v>
      </c>
      <c r="M35" s="33" t="n">
        <v>0.00664933631153697</v>
      </c>
      <c r="N35" s="33" t="n">
        <v>0.0159982949868979</v>
      </c>
      <c r="O35" s="33" t="n">
        <v>0.0720220443863344</v>
      </c>
      <c r="P35" s="33" t="n">
        <v>0.005572132907586</v>
      </c>
      <c r="Q35" s="33" t="n">
        <v>0.00710065257336758</v>
      </c>
      <c r="R35" s="33" t="n">
        <v>0.00578820196392899</v>
      </c>
      <c r="S35" s="33" t="n">
        <v>0.00726898023806732</v>
      </c>
      <c r="T35" s="33" t="n">
        <v>0.0270654390858478</v>
      </c>
      <c r="U35" s="33" t="n">
        <v>0.0104028041406209</v>
      </c>
      <c r="V35" s="33" t="n">
        <v>0.00814869833667449</v>
      </c>
      <c r="W35" s="33" t="n">
        <v>0.00884179374097656</v>
      </c>
      <c r="X35" s="33" t="n">
        <v>0.00639399592126433</v>
      </c>
      <c r="Y35" s="33" t="n">
        <v>0.0092334435578982</v>
      </c>
      <c r="Z35" s="33" t="n">
        <v>0.0177376243989983</v>
      </c>
      <c r="AA35" s="33" t="n">
        <v>0.0293587412843211</v>
      </c>
      <c r="AB35" s="33" t="n">
        <v>0.0073472995668519</v>
      </c>
      <c r="AC35" s="33" t="n">
        <v>0.00976074987105986</v>
      </c>
      <c r="AD35" s="33" t="n">
        <v>0.0108476332134522</v>
      </c>
      <c r="AE35" s="33" t="n">
        <v>0.032442534976831</v>
      </c>
      <c r="AF35" s="33" t="n">
        <v>0.0175835025390901</v>
      </c>
      <c r="AG35" s="33" t="n">
        <v>1.10244362056236</v>
      </c>
      <c r="AH35" s="33" t="n">
        <v>0.0148125200576248</v>
      </c>
      <c r="AI35" s="33" t="n">
        <v>0.0486668358070961</v>
      </c>
      <c r="AJ35" s="33" t="n">
        <v>0.0585682572926228</v>
      </c>
      <c r="AK35" s="33" t="n">
        <v>0.0404013835960279</v>
      </c>
      <c r="AL35" s="33" t="n">
        <v>0.0388792872105344</v>
      </c>
      <c r="AM35" s="33" t="n">
        <v>0.0506676183778993</v>
      </c>
      <c r="AN35" s="33" t="n">
        <v>0.0280937226745366</v>
      </c>
      <c r="AO35" s="33" t="n">
        <v>0.0566311249660326</v>
      </c>
      <c r="AP35" s="33" t="n">
        <v>0.0134917050353091</v>
      </c>
      <c r="AQ35" s="33" t="n">
        <v>0.0133436590749037</v>
      </c>
      <c r="AR35" s="33" t="n">
        <v>0.0503122001201974</v>
      </c>
      <c r="AS35" s="33" t="n">
        <v>0.00928790171462501</v>
      </c>
      <c r="AT35" s="33" t="n">
        <v>0.00482472652590845</v>
      </c>
      <c r="AU35" s="33" t="n">
        <v>0.00598762302526551</v>
      </c>
      <c r="AV35" s="33" t="n">
        <v>0.00658086238487134</v>
      </c>
      <c r="AW35" s="33" t="n">
        <v>0.00404915972906782</v>
      </c>
      <c r="AX35" s="33" t="n">
        <v>0.00400681240259957</v>
      </c>
      <c r="AY35" s="33" t="n">
        <v>0.0112102222014163</v>
      </c>
      <c r="AZ35" s="33" t="n">
        <v>0.0194033027444009</v>
      </c>
      <c r="BA35" s="33" t="n">
        <v>0.00571334613068632</v>
      </c>
      <c r="BB35" s="33" t="n">
        <v>0.00451683650548509</v>
      </c>
      <c r="BC35" s="33" t="n">
        <v>0.00510037778342182</v>
      </c>
      <c r="BD35" s="33" t="n">
        <v>0.00228631965833857</v>
      </c>
      <c r="BE35" s="33" t="n">
        <v>0.00101982152338325</v>
      </c>
      <c r="BF35" s="33" t="n">
        <v>0.00116239448851595</v>
      </c>
      <c r="BG35" s="33" t="n">
        <v>0.00197341338142988</v>
      </c>
      <c r="BH35" s="33" t="n">
        <v>0.00274794068717762</v>
      </c>
      <c r="BI35" s="33" t="n">
        <v>0.00275619592369417</v>
      </c>
      <c r="BJ35" s="33" t="n">
        <v>0.00354419641737899</v>
      </c>
      <c r="BK35" s="33" t="n">
        <v>0.00436282929816196</v>
      </c>
      <c r="BL35" s="33" t="n">
        <v>0.00385590256316628</v>
      </c>
      <c r="BM35" s="33" t="n">
        <v>0.0034302591005589</v>
      </c>
      <c r="BN35" s="33" t="n">
        <v>0.00138479021643867</v>
      </c>
      <c r="BO35" s="33" t="n">
        <v>0.00177844761577355</v>
      </c>
      <c r="BP35" s="33" t="n">
        <v>0.00455058330294775</v>
      </c>
      <c r="BQ35" s="33" t="n">
        <v>0.00261655352523356</v>
      </c>
      <c r="BR35" s="33" t="n">
        <v>0.00365621683399839</v>
      </c>
      <c r="BS35" s="33" t="n">
        <v>0.00483538846324026</v>
      </c>
      <c r="BT35" s="33" t="n">
        <v>0</v>
      </c>
    </row>
    <row r="36" customFormat="false" ht="11.25" hidden="false" customHeight="true" outlineLevel="0" collapsed="false">
      <c r="B36" s="24" t="s">
        <v>123</v>
      </c>
      <c r="C36" s="25" t="s">
        <v>124</v>
      </c>
      <c r="D36" s="24" t="n">
        <v>30</v>
      </c>
      <c r="E36" s="34" t="n">
        <v>0.000789830943278258</v>
      </c>
      <c r="F36" s="34" t="n">
        <v>0.000918201243383928</v>
      </c>
      <c r="G36" s="34" t="n">
        <v>0.000523308832647867</v>
      </c>
      <c r="H36" s="34" t="n">
        <v>0.00309524967680631</v>
      </c>
      <c r="I36" s="34" t="n">
        <v>0.00500151267625096</v>
      </c>
      <c r="J36" s="34" t="n">
        <v>0.00360182498821904</v>
      </c>
      <c r="K36" s="34" t="n">
        <v>0.00507057032655687</v>
      </c>
      <c r="L36" s="34" t="n">
        <v>0.003577819966736</v>
      </c>
      <c r="M36" s="34" t="n">
        <v>0.00199269866909934</v>
      </c>
      <c r="N36" s="34" t="n">
        <v>0.00271686859543575</v>
      </c>
      <c r="O36" s="34" t="n">
        <v>0.00265598124335958</v>
      </c>
      <c r="P36" s="34" t="n">
        <v>0.00242105099932995</v>
      </c>
      <c r="Q36" s="34" t="n">
        <v>0.00211506323082029</v>
      </c>
      <c r="R36" s="34" t="n">
        <v>0.00199281828713228</v>
      </c>
      <c r="S36" s="34" t="n">
        <v>0.00299170131559946</v>
      </c>
      <c r="T36" s="34" t="n">
        <v>0.00287044375501278</v>
      </c>
      <c r="U36" s="34" t="n">
        <v>0.00423543675801545</v>
      </c>
      <c r="V36" s="34" t="n">
        <v>0.0161362523988051</v>
      </c>
      <c r="W36" s="34" t="n">
        <v>0.00221504517148958</v>
      </c>
      <c r="X36" s="34" t="n">
        <v>0.0017602542675501</v>
      </c>
      <c r="Y36" s="34" t="n">
        <v>0.00210110239508237</v>
      </c>
      <c r="Z36" s="34" t="n">
        <v>0.00289572321842672</v>
      </c>
      <c r="AA36" s="34" t="n">
        <v>0.00226999856483469</v>
      </c>
      <c r="AB36" s="34" t="n">
        <v>0.00333075272646539</v>
      </c>
      <c r="AC36" s="34" t="n">
        <v>0.00315629541875203</v>
      </c>
      <c r="AD36" s="34" t="n">
        <v>0.00347209225003566</v>
      </c>
      <c r="AE36" s="34" t="n">
        <v>0.00436180060602831</v>
      </c>
      <c r="AF36" s="34" t="n">
        <v>0.00316931221631364</v>
      </c>
      <c r="AG36" s="34" t="n">
        <v>0.00328919274219005</v>
      </c>
      <c r="AH36" s="34" t="n">
        <v>1.19024739964713</v>
      </c>
      <c r="AI36" s="34" t="n">
        <v>0.0137498231702617</v>
      </c>
      <c r="AJ36" s="34" t="n">
        <v>0.013631669528129</v>
      </c>
      <c r="AK36" s="34" t="n">
        <v>0.00539344570061096</v>
      </c>
      <c r="AL36" s="34" t="n">
        <v>0.00524145597370438</v>
      </c>
      <c r="AM36" s="34" t="n">
        <v>0.00446269020743765</v>
      </c>
      <c r="AN36" s="34" t="n">
        <v>0.00336106422986379</v>
      </c>
      <c r="AO36" s="34" t="n">
        <v>0.0170030261901429</v>
      </c>
      <c r="AP36" s="34" t="n">
        <v>0.00316589056168795</v>
      </c>
      <c r="AQ36" s="34" t="n">
        <v>0.00196763360989992</v>
      </c>
      <c r="AR36" s="34" t="n">
        <v>0.00327706973905017</v>
      </c>
      <c r="AS36" s="34" t="n">
        <v>0.00204471947831554</v>
      </c>
      <c r="AT36" s="34" t="n">
        <v>0.00253888466494589</v>
      </c>
      <c r="AU36" s="34" t="n">
        <v>0.00195450539021794</v>
      </c>
      <c r="AV36" s="34" t="n">
        <v>0.00318000376286653</v>
      </c>
      <c r="AW36" s="34" t="n">
        <v>0.00274388866005477</v>
      </c>
      <c r="AX36" s="34" t="n">
        <v>0.0046781749692413</v>
      </c>
      <c r="AY36" s="34" t="n">
        <v>0.00159262643983845</v>
      </c>
      <c r="AZ36" s="34" t="n">
        <v>0.00122226193214822</v>
      </c>
      <c r="BA36" s="34" t="n">
        <v>0.00455485046212272</v>
      </c>
      <c r="BB36" s="34" t="n">
        <v>0.0131566606787877</v>
      </c>
      <c r="BC36" s="34" t="n">
        <v>0.00644628750014482</v>
      </c>
      <c r="BD36" s="34" t="n">
        <v>0.0211728717239657</v>
      </c>
      <c r="BE36" s="34" t="n">
        <v>0.00261157581002045</v>
      </c>
      <c r="BF36" s="34" t="n">
        <v>0.00028190516450521</v>
      </c>
      <c r="BG36" s="34" t="n">
        <v>0.00387287110431487</v>
      </c>
      <c r="BH36" s="34" t="n">
        <v>0.0176630771991182</v>
      </c>
      <c r="BI36" s="34" t="n">
        <v>0.00847894367966635</v>
      </c>
      <c r="BJ36" s="34" t="n">
        <v>0.00279826926912609</v>
      </c>
      <c r="BK36" s="34" t="n">
        <v>0.00867176350985561</v>
      </c>
      <c r="BL36" s="34" t="n">
        <v>0.00607946488771389</v>
      </c>
      <c r="BM36" s="34" t="n">
        <v>0.00172309294955409</v>
      </c>
      <c r="BN36" s="34" t="n">
        <v>0.0028874462575397</v>
      </c>
      <c r="BO36" s="34" t="n">
        <v>0.00279565494273296</v>
      </c>
      <c r="BP36" s="34" t="n">
        <v>0.00394458979614965</v>
      </c>
      <c r="BQ36" s="34" t="n">
        <v>0.00183087268647461</v>
      </c>
      <c r="BR36" s="34" t="n">
        <v>0.00426852837218461</v>
      </c>
      <c r="BS36" s="34" t="n">
        <v>0.00859022907080411</v>
      </c>
      <c r="BT36" s="34" t="n">
        <v>0</v>
      </c>
    </row>
    <row r="37" customFormat="false" ht="11.25" hidden="false" customHeight="true" outlineLevel="0" collapsed="false">
      <c r="B37" s="19" t="s">
        <v>125</v>
      </c>
      <c r="C37" s="20" t="s">
        <v>126</v>
      </c>
      <c r="D37" s="19" t="n">
        <v>31</v>
      </c>
      <c r="E37" s="33" t="n">
        <v>0.00201894020412167</v>
      </c>
      <c r="F37" s="33" t="n">
        <v>0.00297905114458281</v>
      </c>
      <c r="G37" s="33" t="n">
        <v>0.0014491303990538</v>
      </c>
      <c r="H37" s="33" t="n">
        <v>0.00645435761238762</v>
      </c>
      <c r="I37" s="33" t="n">
        <v>0.00629492218816124</v>
      </c>
      <c r="J37" s="33" t="n">
        <v>0.00559940645215953</v>
      </c>
      <c r="K37" s="33" t="n">
        <v>0.00902751066371478</v>
      </c>
      <c r="L37" s="33" t="n">
        <v>0.00615330350398322</v>
      </c>
      <c r="M37" s="33" t="n">
        <v>0.00388127886714942</v>
      </c>
      <c r="N37" s="33" t="n">
        <v>0.0047761051547913</v>
      </c>
      <c r="O37" s="33" t="n">
        <v>0.00453073503194607</v>
      </c>
      <c r="P37" s="33" t="n">
        <v>0.00336175779210351</v>
      </c>
      <c r="Q37" s="33" t="n">
        <v>0.00504920526174637</v>
      </c>
      <c r="R37" s="33" t="n">
        <v>0.00340634420955289</v>
      </c>
      <c r="S37" s="33" t="n">
        <v>0.00456999180287622</v>
      </c>
      <c r="T37" s="33" t="n">
        <v>0.00642326584683632</v>
      </c>
      <c r="U37" s="33" t="n">
        <v>0.00777419916429414</v>
      </c>
      <c r="V37" s="33" t="n">
        <v>0.00593585493319497</v>
      </c>
      <c r="W37" s="33" t="n">
        <v>0.00311027450064986</v>
      </c>
      <c r="X37" s="33" t="n">
        <v>0.00322602448614823</v>
      </c>
      <c r="Y37" s="33" t="n">
        <v>0.00490281958063242</v>
      </c>
      <c r="Z37" s="33" t="n">
        <v>0.00452011537162036</v>
      </c>
      <c r="AA37" s="33" t="n">
        <v>0.00374079840274266</v>
      </c>
      <c r="AB37" s="33" t="n">
        <v>0.00453214584402784</v>
      </c>
      <c r="AC37" s="33" t="n">
        <v>0.00580059249702243</v>
      </c>
      <c r="AD37" s="33" t="n">
        <v>0.0084926447942711</v>
      </c>
      <c r="AE37" s="33" t="n">
        <v>0.00891694093724316</v>
      </c>
      <c r="AF37" s="33" t="n">
        <v>0.00932454043067257</v>
      </c>
      <c r="AG37" s="33" t="n">
        <v>0.00702254439989938</v>
      </c>
      <c r="AH37" s="33" t="n">
        <v>0.0275884053622198</v>
      </c>
      <c r="AI37" s="33" t="n">
        <v>1.13738401084121</v>
      </c>
      <c r="AJ37" s="33" t="n">
        <v>0.0355956682993747</v>
      </c>
      <c r="AK37" s="33" t="n">
        <v>0.0157418258019465</v>
      </c>
      <c r="AL37" s="33" t="n">
        <v>0.0190077327116963</v>
      </c>
      <c r="AM37" s="33" t="n">
        <v>0.0129993060341568</v>
      </c>
      <c r="AN37" s="33" t="n">
        <v>0.00830098726662218</v>
      </c>
      <c r="AO37" s="33" t="n">
        <v>0.0442123640893725</v>
      </c>
      <c r="AP37" s="33" t="n">
        <v>0.0289818157065349</v>
      </c>
      <c r="AQ37" s="33" t="n">
        <v>0.00785341685178816</v>
      </c>
      <c r="AR37" s="33" t="n">
        <v>0.0231522837686841</v>
      </c>
      <c r="AS37" s="33" t="n">
        <v>0.0072658670096344</v>
      </c>
      <c r="AT37" s="33" t="n">
        <v>0.00434436821722336</v>
      </c>
      <c r="AU37" s="33" t="n">
        <v>0.00810705487167781</v>
      </c>
      <c r="AV37" s="33" t="n">
        <v>0.00619150875053014</v>
      </c>
      <c r="AW37" s="33" t="n">
        <v>0.00281697080452628</v>
      </c>
      <c r="AX37" s="33" t="n">
        <v>0.00429133316657888</v>
      </c>
      <c r="AY37" s="33" t="n">
        <v>0.00530418931551892</v>
      </c>
      <c r="AZ37" s="33" t="n">
        <v>0.00245053384103126</v>
      </c>
      <c r="BA37" s="33" t="n">
        <v>0.00531580740303485</v>
      </c>
      <c r="BB37" s="33" t="n">
        <v>0.00574651317905881</v>
      </c>
      <c r="BC37" s="33" t="n">
        <v>0.0097736041487737</v>
      </c>
      <c r="BD37" s="33" t="n">
        <v>0.00263262746201125</v>
      </c>
      <c r="BE37" s="33" t="n">
        <v>0.00127199136265062</v>
      </c>
      <c r="BF37" s="33" t="n">
        <v>0.0012639955464242</v>
      </c>
      <c r="BG37" s="33" t="n">
        <v>0.00522665489254356</v>
      </c>
      <c r="BH37" s="33" t="n">
        <v>0.00339464017665072</v>
      </c>
      <c r="BI37" s="33" t="n">
        <v>0.0034854039466926</v>
      </c>
      <c r="BJ37" s="33" t="n">
        <v>0.00331417953898484</v>
      </c>
      <c r="BK37" s="33" t="n">
        <v>0.00584486706663999</v>
      </c>
      <c r="BL37" s="33" t="n">
        <v>0.0014036467360391</v>
      </c>
      <c r="BM37" s="33" t="n">
        <v>0.0015478013109844</v>
      </c>
      <c r="BN37" s="33" t="n">
        <v>0.00100021280884594</v>
      </c>
      <c r="BO37" s="33" t="n">
        <v>0.00204634478053591</v>
      </c>
      <c r="BP37" s="33" t="n">
        <v>0.00233290663600951</v>
      </c>
      <c r="BQ37" s="33" t="n">
        <v>0.00145079745159181</v>
      </c>
      <c r="BR37" s="33" t="n">
        <v>0.00566965996860009</v>
      </c>
      <c r="BS37" s="33" t="n">
        <v>0.00965704926809352</v>
      </c>
      <c r="BT37" s="33" t="n">
        <v>0</v>
      </c>
    </row>
    <row r="38" customFormat="false" ht="11.25" hidden="false" customHeight="true" outlineLevel="0" collapsed="false">
      <c r="B38" s="24" t="s">
        <v>127</v>
      </c>
      <c r="C38" s="25" t="s">
        <v>128</v>
      </c>
      <c r="D38" s="24" t="n">
        <v>32</v>
      </c>
      <c r="E38" s="34" t="n">
        <v>0.00186751377444033</v>
      </c>
      <c r="F38" s="34" t="n">
        <v>0.00220257433877397</v>
      </c>
      <c r="G38" s="34" t="n">
        <v>0.00147555300558369</v>
      </c>
      <c r="H38" s="34" t="n">
        <v>0.0142470612097597</v>
      </c>
      <c r="I38" s="34" t="n">
        <v>0.0353734671124356</v>
      </c>
      <c r="J38" s="34" t="n">
        <v>0.0477229104319321</v>
      </c>
      <c r="K38" s="34" t="n">
        <v>0.06580818152433</v>
      </c>
      <c r="L38" s="34" t="n">
        <v>0.00605005028728054</v>
      </c>
      <c r="M38" s="34" t="n">
        <v>0.00441504381383674</v>
      </c>
      <c r="N38" s="34" t="n">
        <v>0.0045596805528082</v>
      </c>
      <c r="O38" s="34" t="n">
        <v>0.00576093956175881</v>
      </c>
      <c r="P38" s="34" t="n">
        <v>0.00308328647860028</v>
      </c>
      <c r="Q38" s="34" t="n">
        <v>0.00394544323706949</v>
      </c>
      <c r="R38" s="34" t="n">
        <v>0.00332209827700198</v>
      </c>
      <c r="S38" s="34" t="n">
        <v>0.00469153255870267</v>
      </c>
      <c r="T38" s="34" t="n">
        <v>0.00953639346927024</v>
      </c>
      <c r="U38" s="34" t="n">
        <v>0.0102599114203873</v>
      </c>
      <c r="V38" s="34" t="n">
        <v>0.0113691666449159</v>
      </c>
      <c r="W38" s="34" t="n">
        <v>0.012332720017671</v>
      </c>
      <c r="X38" s="34" t="n">
        <v>0.00366850144351907</v>
      </c>
      <c r="Y38" s="34" t="n">
        <v>0.00526292869657556</v>
      </c>
      <c r="Z38" s="34" t="n">
        <v>0.005030643848738</v>
      </c>
      <c r="AA38" s="34" t="n">
        <v>0.00420038959349994</v>
      </c>
      <c r="AB38" s="34" t="n">
        <v>0.00478065839402573</v>
      </c>
      <c r="AC38" s="34" t="n">
        <v>0.00607765978607997</v>
      </c>
      <c r="AD38" s="34" t="n">
        <v>0.00981816280067854</v>
      </c>
      <c r="AE38" s="34" t="n">
        <v>0.026557222587894</v>
      </c>
      <c r="AF38" s="34" t="n">
        <v>0.0173323143479933</v>
      </c>
      <c r="AG38" s="34" t="n">
        <v>0.0127262864831953</v>
      </c>
      <c r="AH38" s="34" t="n">
        <v>0.00446039569647016</v>
      </c>
      <c r="AI38" s="34" t="n">
        <v>0.0166218622324268</v>
      </c>
      <c r="AJ38" s="34" t="n">
        <v>1.14378262746198</v>
      </c>
      <c r="AK38" s="34" t="n">
        <v>0.0144959853672683</v>
      </c>
      <c r="AL38" s="34" t="n">
        <v>0.00904508867482443</v>
      </c>
      <c r="AM38" s="34" t="n">
        <v>0.0149935820488055</v>
      </c>
      <c r="AN38" s="34" t="n">
        <v>0.00645166891045975</v>
      </c>
      <c r="AO38" s="34" t="n">
        <v>0.12443003592615</v>
      </c>
      <c r="AP38" s="34" t="n">
        <v>0.00434247896124136</v>
      </c>
      <c r="AQ38" s="34" t="n">
        <v>0.00570051948636316</v>
      </c>
      <c r="AR38" s="34" t="n">
        <v>0.0116177020724251</v>
      </c>
      <c r="AS38" s="34" t="n">
        <v>0.00509330744543364</v>
      </c>
      <c r="AT38" s="34" t="n">
        <v>0.003292682809191</v>
      </c>
      <c r="AU38" s="34" t="n">
        <v>0.00518499727428828</v>
      </c>
      <c r="AV38" s="34" t="n">
        <v>0.0188753722198345</v>
      </c>
      <c r="AW38" s="34" t="n">
        <v>0.00615574219153215</v>
      </c>
      <c r="AX38" s="34" t="n">
        <v>0.00645021286399814</v>
      </c>
      <c r="AY38" s="34" t="n">
        <v>0.00223836053722942</v>
      </c>
      <c r="AZ38" s="34" t="n">
        <v>0.00236711954667616</v>
      </c>
      <c r="BA38" s="34" t="n">
        <v>0.00737383423741141</v>
      </c>
      <c r="BB38" s="34" t="n">
        <v>0.00339776103829282</v>
      </c>
      <c r="BC38" s="34" t="n">
        <v>0.00420458765374055</v>
      </c>
      <c r="BD38" s="34" t="n">
        <v>0.00260175431602127</v>
      </c>
      <c r="BE38" s="34" t="n">
        <v>0.000865711896379826</v>
      </c>
      <c r="BF38" s="34" t="n">
        <v>0.000305784555691259</v>
      </c>
      <c r="BG38" s="34" t="n">
        <v>0.00177651658168827</v>
      </c>
      <c r="BH38" s="34" t="n">
        <v>0.00223734219971945</v>
      </c>
      <c r="BI38" s="34" t="n">
        <v>0.00243479926336119</v>
      </c>
      <c r="BJ38" s="34" t="n">
        <v>0.0043637215814782</v>
      </c>
      <c r="BK38" s="34" t="n">
        <v>0.0069490997255377</v>
      </c>
      <c r="BL38" s="34" t="n">
        <v>0.00160836421006117</v>
      </c>
      <c r="BM38" s="34" t="n">
        <v>0.00131035738506975</v>
      </c>
      <c r="BN38" s="34" t="n">
        <v>0.000730162236610393</v>
      </c>
      <c r="BO38" s="34" t="n">
        <v>0.00108307588141061</v>
      </c>
      <c r="BP38" s="34" t="n">
        <v>0.00303741054404578</v>
      </c>
      <c r="BQ38" s="34" t="n">
        <v>0.00133248197478232</v>
      </c>
      <c r="BR38" s="34" t="n">
        <v>0.00341964711118083</v>
      </c>
      <c r="BS38" s="34" t="n">
        <v>0.00250551182962279</v>
      </c>
      <c r="BT38" s="34" t="n">
        <v>0</v>
      </c>
    </row>
    <row r="39" customFormat="false" ht="11.25" hidden="false" customHeight="true" outlineLevel="0" collapsed="false">
      <c r="B39" s="19" t="s">
        <v>129</v>
      </c>
      <c r="C39" s="20" t="s">
        <v>130</v>
      </c>
      <c r="D39" s="19" t="n">
        <v>33</v>
      </c>
      <c r="E39" s="33" t="n">
        <v>0.000243202723132819</v>
      </c>
      <c r="F39" s="33" t="n">
        <v>0.0002322831455058</v>
      </c>
      <c r="G39" s="33" t="n">
        <v>0.000184605515295927</v>
      </c>
      <c r="H39" s="33" t="n">
        <v>0.000605718747990515</v>
      </c>
      <c r="I39" s="33" t="n">
        <v>0.000651549999806088</v>
      </c>
      <c r="J39" s="33" t="n">
        <v>0.000971742016295587</v>
      </c>
      <c r="K39" s="33" t="n">
        <v>0.00107888799590086</v>
      </c>
      <c r="L39" s="33" t="n">
        <v>0.000745648120064227</v>
      </c>
      <c r="M39" s="33" t="n">
        <v>0.0014822471263814</v>
      </c>
      <c r="N39" s="33" t="n">
        <v>0.000653804310060743</v>
      </c>
      <c r="O39" s="33" t="n">
        <v>0.000596486137677649</v>
      </c>
      <c r="P39" s="33" t="n">
        <v>0.00038000170644237</v>
      </c>
      <c r="Q39" s="33" t="n">
        <v>0.000540578304885568</v>
      </c>
      <c r="R39" s="33" t="n">
        <v>0.000381442566872156</v>
      </c>
      <c r="S39" s="33" t="n">
        <v>0.000564292620128784</v>
      </c>
      <c r="T39" s="33" t="n">
        <v>0.000607955940800679</v>
      </c>
      <c r="U39" s="33" t="n">
        <v>0.00074167412893695</v>
      </c>
      <c r="V39" s="33" t="n">
        <v>0.000424460354225293</v>
      </c>
      <c r="W39" s="33" t="n">
        <v>0.000385179896026101</v>
      </c>
      <c r="X39" s="33" t="n">
        <v>0.000387496028089389</v>
      </c>
      <c r="Y39" s="33" t="n">
        <v>0.000491034192687746</v>
      </c>
      <c r="Z39" s="33" t="n">
        <v>0.000753207334418912</v>
      </c>
      <c r="AA39" s="33" t="n">
        <v>0.000510902440798316</v>
      </c>
      <c r="AB39" s="33" t="n">
        <v>0.000655774462445361</v>
      </c>
      <c r="AC39" s="33" t="n">
        <v>0.000715197625285008</v>
      </c>
      <c r="AD39" s="33" t="n">
        <v>0.000752850807420988</v>
      </c>
      <c r="AE39" s="33" t="n">
        <v>0.000859055204929612</v>
      </c>
      <c r="AF39" s="33" t="n">
        <v>0.000587102526511774</v>
      </c>
      <c r="AG39" s="33" t="n">
        <v>0.000647976051184537</v>
      </c>
      <c r="AH39" s="33" t="n">
        <v>0.000794660886163407</v>
      </c>
      <c r="AI39" s="33" t="n">
        <v>0.0026663507648827</v>
      </c>
      <c r="AJ39" s="33" t="n">
        <v>0.00250843680819766</v>
      </c>
      <c r="AK39" s="33" t="n">
        <v>1.03924005738222</v>
      </c>
      <c r="AL39" s="33" t="n">
        <v>0.00335428948882246</v>
      </c>
      <c r="AM39" s="33" t="n">
        <v>0.00167874667847113</v>
      </c>
      <c r="AN39" s="33" t="n">
        <v>0.000537618690426139</v>
      </c>
      <c r="AO39" s="33" t="n">
        <v>0.00195764468213733</v>
      </c>
      <c r="AP39" s="33" t="n">
        <v>0.000671714181390816</v>
      </c>
      <c r="AQ39" s="33" t="n">
        <v>0.000530896526180827</v>
      </c>
      <c r="AR39" s="33" t="n">
        <v>0.000698423653056729</v>
      </c>
      <c r="AS39" s="33" t="n">
        <v>0.0042176868919948</v>
      </c>
      <c r="AT39" s="33" t="n">
        <v>0.000528692158168949</v>
      </c>
      <c r="AU39" s="33" t="n">
        <v>0.00362493253717244</v>
      </c>
      <c r="AV39" s="33" t="n">
        <v>0.000439195415861017</v>
      </c>
      <c r="AW39" s="33" t="n">
        <v>0.000268656188888383</v>
      </c>
      <c r="AX39" s="33" t="n">
        <v>0.000514812872889956</v>
      </c>
      <c r="AY39" s="33" t="n">
        <v>0.000253065342861453</v>
      </c>
      <c r="AZ39" s="33" t="n">
        <v>0.000268410013895037</v>
      </c>
      <c r="BA39" s="33" t="n">
        <v>0.000490825493281432</v>
      </c>
      <c r="BB39" s="33" t="n">
        <v>0.000382326469181388</v>
      </c>
      <c r="BC39" s="33" t="n">
        <v>0.000417957704223447</v>
      </c>
      <c r="BD39" s="33" t="n">
        <v>0.000163480091652352</v>
      </c>
      <c r="BE39" s="33" t="n">
        <v>7.92354279379148E-005</v>
      </c>
      <c r="BF39" s="33" t="n">
        <v>3.72273804399867E-005</v>
      </c>
      <c r="BG39" s="33" t="n">
        <v>0.000189917854665599</v>
      </c>
      <c r="BH39" s="33" t="n">
        <v>0.000681637375415147</v>
      </c>
      <c r="BI39" s="33" t="n">
        <v>0.000225934595015115</v>
      </c>
      <c r="BJ39" s="33" t="n">
        <v>0.00068658742222598</v>
      </c>
      <c r="BK39" s="33" t="n">
        <v>0.000250661929011776</v>
      </c>
      <c r="BL39" s="33" t="n">
        <v>0.000196196804529927</v>
      </c>
      <c r="BM39" s="33" t="n">
        <v>0.000176604743236486</v>
      </c>
      <c r="BN39" s="33" t="n">
        <v>9.99328237346778E-005</v>
      </c>
      <c r="BO39" s="33" t="n">
        <v>0.000156572285649172</v>
      </c>
      <c r="BP39" s="33" t="n">
        <v>0.000323266799399517</v>
      </c>
      <c r="BQ39" s="33" t="n">
        <v>0.00015490755204273</v>
      </c>
      <c r="BR39" s="33" t="n">
        <v>0.000295960683238309</v>
      </c>
      <c r="BS39" s="33" t="n">
        <v>0.000304064114065811</v>
      </c>
      <c r="BT39" s="33" t="n">
        <v>0</v>
      </c>
    </row>
    <row r="40" customFormat="false" ht="11.25" hidden="false" customHeight="true" outlineLevel="0" collapsed="false">
      <c r="B40" s="24" t="s">
        <v>131</v>
      </c>
      <c r="C40" s="25" t="s">
        <v>132</v>
      </c>
      <c r="D40" s="24" t="n">
        <v>34</v>
      </c>
      <c r="E40" s="34" t="n">
        <v>0.00269289943546887</v>
      </c>
      <c r="F40" s="34" t="n">
        <v>0.0024736644870293</v>
      </c>
      <c r="G40" s="34" t="n">
        <v>0.00227425813150459</v>
      </c>
      <c r="H40" s="34" t="n">
        <v>0.00612985885127829</v>
      </c>
      <c r="I40" s="34" t="n">
        <v>0.0056662298363432</v>
      </c>
      <c r="J40" s="34" t="n">
        <v>0.00852254788209868</v>
      </c>
      <c r="K40" s="34" t="n">
        <v>0.00956427396437611</v>
      </c>
      <c r="L40" s="34" t="n">
        <v>0.00891195390191074</v>
      </c>
      <c r="M40" s="34" t="n">
        <v>0.00621926176576072</v>
      </c>
      <c r="N40" s="34" t="n">
        <v>0.00771264634157414</v>
      </c>
      <c r="O40" s="34" t="n">
        <v>0.00711508391971865</v>
      </c>
      <c r="P40" s="34" t="n">
        <v>0.00405004872114399</v>
      </c>
      <c r="Q40" s="34" t="n">
        <v>0.00496733561597123</v>
      </c>
      <c r="R40" s="34" t="n">
        <v>0.00392718509153403</v>
      </c>
      <c r="S40" s="34" t="n">
        <v>0.00614941308700071</v>
      </c>
      <c r="T40" s="34" t="n">
        <v>0.00669058953812418</v>
      </c>
      <c r="U40" s="34" t="n">
        <v>0.0081463026696984</v>
      </c>
      <c r="V40" s="34" t="n">
        <v>0.00385530804814347</v>
      </c>
      <c r="W40" s="34" t="n">
        <v>0.0037284424177008</v>
      </c>
      <c r="X40" s="34" t="n">
        <v>0.00436125409433364</v>
      </c>
      <c r="Y40" s="34" t="n">
        <v>0.00546803750685577</v>
      </c>
      <c r="Z40" s="34" t="n">
        <v>0.00593897580539064</v>
      </c>
      <c r="AA40" s="34" t="n">
        <v>0.0056142925638475</v>
      </c>
      <c r="AB40" s="34" t="n">
        <v>0.00711474905710372</v>
      </c>
      <c r="AC40" s="34" t="n">
        <v>0.00711026503303733</v>
      </c>
      <c r="AD40" s="34" t="n">
        <v>0.00791995731101762</v>
      </c>
      <c r="AE40" s="34" t="n">
        <v>0.00878720716274144</v>
      </c>
      <c r="AF40" s="34" t="n">
        <v>0.00515965793259975</v>
      </c>
      <c r="AG40" s="34" t="n">
        <v>0.00832304096645994</v>
      </c>
      <c r="AH40" s="34" t="n">
        <v>0.00586473585524259</v>
      </c>
      <c r="AI40" s="34" t="n">
        <v>0.00863500029613717</v>
      </c>
      <c r="AJ40" s="34" t="n">
        <v>0.0167868896925083</v>
      </c>
      <c r="AK40" s="34" t="n">
        <v>0.293412079943695</v>
      </c>
      <c r="AL40" s="34" t="n">
        <v>1.14177525941258</v>
      </c>
      <c r="AM40" s="34" t="n">
        <v>0.00740629255554873</v>
      </c>
      <c r="AN40" s="34" t="n">
        <v>0.00529581327025372</v>
      </c>
      <c r="AO40" s="34" t="n">
        <v>0.00824678347062778</v>
      </c>
      <c r="AP40" s="34" t="n">
        <v>0.00297943794729036</v>
      </c>
      <c r="AQ40" s="34" t="n">
        <v>0.0046640569823962</v>
      </c>
      <c r="AR40" s="34" t="n">
        <v>0.0042176964490479</v>
      </c>
      <c r="AS40" s="34" t="n">
        <v>0.12588718130195</v>
      </c>
      <c r="AT40" s="34" t="n">
        <v>0.00610748549315525</v>
      </c>
      <c r="AU40" s="34" t="n">
        <v>0.0539776614075722</v>
      </c>
      <c r="AV40" s="34" t="n">
        <v>0.00360016699007174</v>
      </c>
      <c r="AW40" s="34" t="n">
        <v>0.00295919606141569</v>
      </c>
      <c r="AX40" s="34" t="n">
        <v>0.00572669728800563</v>
      </c>
      <c r="AY40" s="34" t="n">
        <v>0.00197523081631859</v>
      </c>
      <c r="AZ40" s="34" t="n">
        <v>0.00302171288967081</v>
      </c>
      <c r="BA40" s="34" t="n">
        <v>0.00537316388522087</v>
      </c>
      <c r="BB40" s="34" t="n">
        <v>0.00387804843315831</v>
      </c>
      <c r="BC40" s="34" t="n">
        <v>0.00339084731095842</v>
      </c>
      <c r="BD40" s="34" t="n">
        <v>0.00139901946787676</v>
      </c>
      <c r="BE40" s="34" t="n">
        <v>0.000733531331977544</v>
      </c>
      <c r="BF40" s="34" t="n">
        <v>0.000222225409172131</v>
      </c>
      <c r="BG40" s="34" t="n">
        <v>0.00134527001430862</v>
      </c>
      <c r="BH40" s="34" t="n">
        <v>0.00343325924959062</v>
      </c>
      <c r="BI40" s="34" t="n">
        <v>0.00220567608112045</v>
      </c>
      <c r="BJ40" s="34" t="n">
        <v>0.010510944565485</v>
      </c>
      <c r="BK40" s="34" t="n">
        <v>0.00159530675525076</v>
      </c>
      <c r="BL40" s="34" t="n">
        <v>0.00207197467476179</v>
      </c>
      <c r="BM40" s="34" t="n">
        <v>0.00251992363984644</v>
      </c>
      <c r="BN40" s="34" t="n">
        <v>0.00167352445470215</v>
      </c>
      <c r="BO40" s="34" t="n">
        <v>0.00160544220563088</v>
      </c>
      <c r="BP40" s="34" t="n">
        <v>0.00423325674514699</v>
      </c>
      <c r="BQ40" s="34" t="n">
        <v>0.00154549066058099</v>
      </c>
      <c r="BR40" s="34" t="n">
        <v>0.00230812489306196</v>
      </c>
      <c r="BS40" s="34" t="n">
        <v>0.00243027413117571</v>
      </c>
      <c r="BT40" s="34" t="n">
        <v>0</v>
      </c>
    </row>
    <row r="41" customFormat="false" ht="11.25" hidden="false" customHeight="true" outlineLevel="0" collapsed="false">
      <c r="B41" s="19" t="s">
        <v>133</v>
      </c>
      <c r="C41" s="20" t="s">
        <v>134</v>
      </c>
      <c r="D41" s="19" t="n">
        <v>35</v>
      </c>
      <c r="E41" s="33" t="n">
        <v>0.000182127653858886</v>
      </c>
      <c r="F41" s="33" t="n">
        <v>0.000191135626414797</v>
      </c>
      <c r="G41" s="33" t="n">
        <v>0.000157043606994115</v>
      </c>
      <c r="H41" s="33" t="n">
        <v>0.000986526968715818</v>
      </c>
      <c r="I41" s="33" t="n">
        <v>0.000827838089889933</v>
      </c>
      <c r="J41" s="33" t="n">
        <v>0.000739220936921141</v>
      </c>
      <c r="K41" s="33" t="n">
        <v>0.00132106372331536</v>
      </c>
      <c r="L41" s="33" t="n">
        <v>0.000697140877929773</v>
      </c>
      <c r="M41" s="33" t="n">
        <v>0.000523449920279972</v>
      </c>
      <c r="N41" s="33" t="n">
        <v>0.000532147555262889</v>
      </c>
      <c r="O41" s="33" t="n">
        <v>0.000644069813501395</v>
      </c>
      <c r="P41" s="33" t="n">
        <v>0.000370281019681384</v>
      </c>
      <c r="Q41" s="33" t="n">
        <v>0.000430078282664439</v>
      </c>
      <c r="R41" s="33" t="n">
        <v>0.000502753061813336</v>
      </c>
      <c r="S41" s="33" t="n">
        <v>0.000562021838857959</v>
      </c>
      <c r="T41" s="33" t="n">
        <v>0.000856292908535217</v>
      </c>
      <c r="U41" s="33" t="n">
        <v>0.00117210224127032</v>
      </c>
      <c r="V41" s="33" t="n">
        <v>0.00131430736333196</v>
      </c>
      <c r="W41" s="33" t="n">
        <v>0.000424185778975061</v>
      </c>
      <c r="X41" s="33" t="n">
        <v>0.000412176806706797</v>
      </c>
      <c r="Y41" s="33" t="n">
        <v>0.000530449553523423</v>
      </c>
      <c r="Z41" s="33" t="n">
        <v>0.000558427934696837</v>
      </c>
      <c r="AA41" s="33" t="n">
        <v>0.000494684710504575</v>
      </c>
      <c r="AB41" s="33" t="n">
        <v>0.000661124036165625</v>
      </c>
      <c r="AC41" s="33" t="n">
        <v>0.00060411638180692</v>
      </c>
      <c r="AD41" s="33" t="n">
        <v>0.00102858533859784</v>
      </c>
      <c r="AE41" s="33" t="n">
        <v>0.00180334555794748</v>
      </c>
      <c r="AF41" s="33" t="n">
        <v>0.00109031656818719</v>
      </c>
      <c r="AG41" s="33" t="n">
        <v>0.00119594923015009</v>
      </c>
      <c r="AH41" s="33" t="n">
        <v>0.000310004222433475</v>
      </c>
      <c r="AI41" s="33" t="n">
        <v>0.000983727370593202</v>
      </c>
      <c r="AJ41" s="33" t="n">
        <v>0.0015082851852095</v>
      </c>
      <c r="AK41" s="33" t="n">
        <v>0.00073306793054095</v>
      </c>
      <c r="AL41" s="33" t="n">
        <v>0.000792359871840674</v>
      </c>
      <c r="AM41" s="33" t="n">
        <v>1.14401013609099</v>
      </c>
      <c r="AN41" s="33" t="n">
        <v>0.000693130784845432</v>
      </c>
      <c r="AO41" s="33" t="n">
        <v>0.0149434973932389</v>
      </c>
      <c r="AP41" s="33" t="n">
        <v>0.000304879734671086</v>
      </c>
      <c r="AQ41" s="33" t="n">
        <v>0.000449345099229525</v>
      </c>
      <c r="AR41" s="33" t="n">
        <v>0.000535791215318993</v>
      </c>
      <c r="AS41" s="33" t="n">
        <v>0.0008061223948229</v>
      </c>
      <c r="AT41" s="33" t="n">
        <v>0.000370689136657162</v>
      </c>
      <c r="AU41" s="33" t="n">
        <v>0.00164595230621429</v>
      </c>
      <c r="AV41" s="33" t="n">
        <v>0.00143137103339094</v>
      </c>
      <c r="AW41" s="33" t="n">
        <v>0.000541706921881119</v>
      </c>
      <c r="AX41" s="33" t="n">
        <v>0.00063904251878513</v>
      </c>
      <c r="AY41" s="33" t="n">
        <v>0.000187082056740231</v>
      </c>
      <c r="AZ41" s="33" t="n">
        <v>0.000256487068234298</v>
      </c>
      <c r="BA41" s="33" t="n">
        <v>0.000879562284222755</v>
      </c>
      <c r="BB41" s="33" t="n">
        <v>0.000370150261102031</v>
      </c>
      <c r="BC41" s="33" t="n">
        <v>0.000362365128414471</v>
      </c>
      <c r="BD41" s="33" t="n">
        <v>0.000281289554144429</v>
      </c>
      <c r="BE41" s="33" t="n">
        <v>7.94597774001202E-005</v>
      </c>
      <c r="BF41" s="33" t="n">
        <v>2.72139982921675E-005</v>
      </c>
      <c r="BG41" s="33" t="n">
        <v>0.000191841464308078</v>
      </c>
      <c r="BH41" s="33" t="n">
        <v>0.000470358551925004</v>
      </c>
      <c r="BI41" s="33" t="n">
        <v>0.000275440320420047</v>
      </c>
      <c r="BJ41" s="33" t="n">
        <v>0.000539255923578167</v>
      </c>
      <c r="BK41" s="33" t="n">
        <v>0.000227319514239447</v>
      </c>
      <c r="BL41" s="33" t="n">
        <v>0.000175560365515405</v>
      </c>
      <c r="BM41" s="33" t="n">
        <v>0.000261109135441262</v>
      </c>
      <c r="BN41" s="33" t="n">
        <v>6.67451444593046E-005</v>
      </c>
      <c r="BO41" s="33" t="n">
        <v>0.000117678695116353</v>
      </c>
      <c r="BP41" s="33" t="n">
        <v>0.000271639976782725</v>
      </c>
      <c r="BQ41" s="33" t="n">
        <v>0.00026272725780951</v>
      </c>
      <c r="BR41" s="33" t="n">
        <v>0.000408168840478187</v>
      </c>
      <c r="BS41" s="33" t="n">
        <v>0.000590001196350241</v>
      </c>
      <c r="BT41" s="33" t="n">
        <v>0</v>
      </c>
    </row>
    <row r="42" customFormat="false" ht="11.25" hidden="false" customHeight="true" outlineLevel="0" collapsed="false">
      <c r="B42" s="24" t="s">
        <v>135</v>
      </c>
      <c r="C42" s="25" t="s">
        <v>136</v>
      </c>
      <c r="D42" s="24" t="n">
        <v>36</v>
      </c>
      <c r="E42" s="34" t="n">
        <v>0.000544971327229364</v>
      </c>
      <c r="F42" s="34" t="n">
        <v>0.000612666383239221</v>
      </c>
      <c r="G42" s="34" t="n">
        <v>0.000446247659073336</v>
      </c>
      <c r="H42" s="34" t="n">
        <v>0.00132616547463482</v>
      </c>
      <c r="I42" s="34" t="n">
        <v>0.00141556495969803</v>
      </c>
      <c r="J42" s="34" t="n">
        <v>0.00121991645309738</v>
      </c>
      <c r="K42" s="34" t="n">
        <v>0.00163603008110426</v>
      </c>
      <c r="L42" s="34" t="n">
        <v>0.00178422673491648</v>
      </c>
      <c r="M42" s="34" t="n">
        <v>0.000963241840532442</v>
      </c>
      <c r="N42" s="34" t="n">
        <v>0.00156926578797712</v>
      </c>
      <c r="O42" s="34" t="n">
        <v>0.00203030908597664</v>
      </c>
      <c r="P42" s="34" t="n">
        <v>0.000967016390722095</v>
      </c>
      <c r="Q42" s="34" t="n">
        <v>0.00271400899312189</v>
      </c>
      <c r="R42" s="34" t="n">
        <v>0.0164620452427891</v>
      </c>
      <c r="S42" s="34" t="n">
        <v>0.0059408581843871</v>
      </c>
      <c r="T42" s="34" t="n">
        <v>0.00214207439086711</v>
      </c>
      <c r="U42" s="34" t="n">
        <v>0.0018605667015871</v>
      </c>
      <c r="V42" s="34" t="n">
        <v>0.00144734311682412</v>
      </c>
      <c r="W42" s="34" t="n">
        <v>0.000754250186935332</v>
      </c>
      <c r="X42" s="34" t="n">
        <v>0.000810901373827747</v>
      </c>
      <c r="Y42" s="34" t="n">
        <v>0.00153476010546995</v>
      </c>
      <c r="Z42" s="34" t="n">
        <v>0.00196496400398214</v>
      </c>
      <c r="AA42" s="34" t="n">
        <v>0.00164036820276788</v>
      </c>
      <c r="AB42" s="34" t="n">
        <v>0.00189933702999582</v>
      </c>
      <c r="AC42" s="34" t="n">
        <v>0.00297148355784201</v>
      </c>
      <c r="AD42" s="34" t="n">
        <v>0.00270126919052682</v>
      </c>
      <c r="AE42" s="34" t="n">
        <v>0.0015825698217652</v>
      </c>
      <c r="AF42" s="34" t="n">
        <v>0.00120326848095306</v>
      </c>
      <c r="AG42" s="34" t="n">
        <v>0.00202655660566541</v>
      </c>
      <c r="AH42" s="34" t="n">
        <v>0.0015285915635235</v>
      </c>
      <c r="AI42" s="34" t="n">
        <v>0.00216449624106318</v>
      </c>
      <c r="AJ42" s="34" t="n">
        <v>0.00483667172892744</v>
      </c>
      <c r="AK42" s="34" t="n">
        <v>0.00412708195365671</v>
      </c>
      <c r="AL42" s="34" t="n">
        <v>0.00575771755907607</v>
      </c>
      <c r="AM42" s="34" t="n">
        <v>0.00193766107459144</v>
      </c>
      <c r="AN42" s="34" t="n">
        <v>1.02819370802035</v>
      </c>
      <c r="AO42" s="34" t="n">
        <v>0.00299298977242037</v>
      </c>
      <c r="AP42" s="34" t="n">
        <v>0.000627494589465241</v>
      </c>
      <c r="AQ42" s="34" t="n">
        <v>0.00107931894256105</v>
      </c>
      <c r="AR42" s="34" t="n">
        <v>0.00252069522866248</v>
      </c>
      <c r="AS42" s="34" t="n">
        <v>0.00148469892781122</v>
      </c>
      <c r="AT42" s="34" t="n">
        <v>0.00105273085597802</v>
      </c>
      <c r="AU42" s="34" t="n">
        <v>0.00111488787486476</v>
      </c>
      <c r="AV42" s="34" t="n">
        <v>0.00388399597730545</v>
      </c>
      <c r="AW42" s="34" t="n">
        <v>0.000938834943007429</v>
      </c>
      <c r="AX42" s="34" t="n">
        <v>0.00160213790456049</v>
      </c>
      <c r="AY42" s="34" t="n">
        <v>0.00091021280023476</v>
      </c>
      <c r="AZ42" s="34" t="n">
        <v>0.000772742252428305</v>
      </c>
      <c r="BA42" s="34" t="n">
        <v>0.00137855764647664</v>
      </c>
      <c r="BB42" s="34" t="n">
        <v>0.00200702202407578</v>
      </c>
      <c r="BC42" s="34" t="n">
        <v>0.00109260895931414</v>
      </c>
      <c r="BD42" s="34" t="n">
        <v>0.000801710056450922</v>
      </c>
      <c r="BE42" s="34" t="n">
        <v>0.00047086873534781</v>
      </c>
      <c r="BF42" s="34" t="n">
        <v>0.000239672623761151</v>
      </c>
      <c r="BG42" s="34" t="n">
        <v>0.0011895482586756</v>
      </c>
      <c r="BH42" s="34" t="n">
        <v>0.00429180141141325</v>
      </c>
      <c r="BI42" s="34" t="n">
        <v>0.00288519004265045</v>
      </c>
      <c r="BJ42" s="34" t="n">
        <v>0.0066010362000668</v>
      </c>
      <c r="BK42" s="34" t="n">
        <v>0.000899720195120563</v>
      </c>
      <c r="BL42" s="34" t="n">
        <v>0.000642179818751999</v>
      </c>
      <c r="BM42" s="34" t="n">
        <v>0.0010838322120062</v>
      </c>
      <c r="BN42" s="34" t="n">
        <v>0.0020398886366825</v>
      </c>
      <c r="BO42" s="34" t="n">
        <v>0.000572943306258876</v>
      </c>
      <c r="BP42" s="34" t="n">
        <v>0.0128869754246643</v>
      </c>
      <c r="BQ42" s="34" t="n">
        <v>0.0350138582596679</v>
      </c>
      <c r="BR42" s="34" t="n">
        <v>0.00324273983182909</v>
      </c>
      <c r="BS42" s="34" t="n">
        <v>0.00114059457404752</v>
      </c>
      <c r="BT42" s="34" t="n">
        <v>0</v>
      </c>
    </row>
    <row r="43" customFormat="false" ht="11.25" hidden="false" customHeight="true" outlineLevel="0" collapsed="false">
      <c r="B43" s="19" t="s">
        <v>137</v>
      </c>
      <c r="C43" s="20" t="s">
        <v>138</v>
      </c>
      <c r="D43" s="19" t="n">
        <v>37</v>
      </c>
      <c r="E43" s="33" t="n">
        <v>0.00511308126340498</v>
      </c>
      <c r="F43" s="33" t="n">
        <v>0.00518213934315675</v>
      </c>
      <c r="G43" s="33" t="n">
        <v>0.00501538975053075</v>
      </c>
      <c r="H43" s="33" t="n">
        <v>0.0460194455399533</v>
      </c>
      <c r="I43" s="33" t="n">
        <v>0.0287104887003353</v>
      </c>
      <c r="J43" s="33" t="n">
        <v>0.0207166349706352</v>
      </c>
      <c r="K43" s="33" t="n">
        <v>0.0486722351942431</v>
      </c>
      <c r="L43" s="33" t="n">
        <v>0.0166712385888312</v>
      </c>
      <c r="M43" s="33" t="n">
        <v>0.0183989219936741</v>
      </c>
      <c r="N43" s="33" t="n">
        <v>0.0121948424375178</v>
      </c>
      <c r="O43" s="33" t="n">
        <v>0.0156852055785485</v>
      </c>
      <c r="P43" s="33" t="n">
        <v>0.00903770683936156</v>
      </c>
      <c r="Q43" s="33" t="n">
        <v>0.0117325503889743</v>
      </c>
      <c r="R43" s="33" t="n">
        <v>0.0110544192123842</v>
      </c>
      <c r="S43" s="33" t="n">
        <v>0.0137000740182448</v>
      </c>
      <c r="T43" s="33" t="n">
        <v>0.0327764346132888</v>
      </c>
      <c r="U43" s="33" t="n">
        <v>0.0486054303902545</v>
      </c>
      <c r="V43" s="33" t="n">
        <v>0.0698257506205522</v>
      </c>
      <c r="W43" s="33" t="n">
        <v>0.0145744725991451</v>
      </c>
      <c r="X43" s="33" t="n">
        <v>0.0141421345876256</v>
      </c>
      <c r="Y43" s="33" t="n">
        <v>0.0179965483910353</v>
      </c>
      <c r="Z43" s="33" t="n">
        <v>0.0167389880793601</v>
      </c>
      <c r="AA43" s="33" t="n">
        <v>0.0128126907400349</v>
      </c>
      <c r="AB43" s="33" t="n">
        <v>0.0175266886502655</v>
      </c>
      <c r="AC43" s="33" t="n">
        <v>0.0161635729104707</v>
      </c>
      <c r="AD43" s="33" t="n">
        <v>0.0432725146866712</v>
      </c>
      <c r="AE43" s="33" t="n">
        <v>0.0823513082466037</v>
      </c>
      <c r="AF43" s="33" t="n">
        <v>0.0495285471144865</v>
      </c>
      <c r="AG43" s="33" t="n">
        <v>0.0333894782418433</v>
      </c>
      <c r="AH43" s="33" t="n">
        <v>0.00642012400707846</v>
      </c>
      <c r="AI43" s="33" t="n">
        <v>0.0237542294786117</v>
      </c>
      <c r="AJ43" s="33" t="n">
        <v>0.0289976863387841</v>
      </c>
      <c r="AK43" s="33" t="n">
        <v>0.0152369623222548</v>
      </c>
      <c r="AL43" s="33" t="n">
        <v>0.0224172511572764</v>
      </c>
      <c r="AM43" s="33" t="n">
        <v>0.01672777928948</v>
      </c>
      <c r="AN43" s="33" t="n">
        <v>0.0218484259953092</v>
      </c>
      <c r="AO43" s="33" t="n">
        <v>1.02042835018657</v>
      </c>
      <c r="AP43" s="33" t="n">
        <v>0.00986340053556652</v>
      </c>
      <c r="AQ43" s="33" t="n">
        <v>0.0200703562814017</v>
      </c>
      <c r="AR43" s="33" t="n">
        <v>0.0153361017468391</v>
      </c>
      <c r="AS43" s="33" t="n">
        <v>0.0101123837845256</v>
      </c>
      <c r="AT43" s="33" t="n">
        <v>0.0101229211828439</v>
      </c>
      <c r="AU43" s="33" t="n">
        <v>0.0104172602473463</v>
      </c>
      <c r="AV43" s="33" t="n">
        <v>0.0774979073727417</v>
      </c>
      <c r="AW43" s="33" t="n">
        <v>0.026982556264047</v>
      </c>
      <c r="AX43" s="33" t="n">
        <v>0.0281106414938458</v>
      </c>
      <c r="AY43" s="33" t="n">
        <v>0.00496555825597118</v>
      </c>
      <c r="AZ43" s="33" t="n">
        <v>0.0066081993675434</v>
      </c>
      <c r="BA43" s="33" t="n">
        <v>0.0383287453675105</v>
      </c>
      <c r="BB43" s="33" t="n">
        <v>0.0117610256710053</v>
      </c>
      <c r="BC43" s="33" t="n">
        <v>0.00991675836950249</v>
      </c>
      <c r="BD43" s="33" t="n">
        <v>0.0120759950996552</v>
      </c>
      <c r="BE43" s="33" t="n">
        <v>0.00278096668813797</v>
      </c>
      <c r="BF43" s="33" t="n">
        <v>0.000930403568828395</v>
      </c>
      <c r="BG43" s="33" t="n">
        <v>0.00742087529039757</v>
      </c>
      <c r="BH43" s="33" t="n">
        <v>0.00630108146759436</v>
      </c>
      <c r="BI43" s="33" t="n">
        <v>0.0099187110305264</v>
      </c>
      <c r="BJ43" s="33" t="n">
        <v>0.0247062540006341</v>
      </c>
      <c r="BK43" s="33" t="n">
        <v>0.00824905466565037</v>
      </c>
      <c r="BL43" s="33" t="n">
        <v>0.0076620651364371</v>
      </c>
      <c r="BM43" s="33" t="n">
        <v>0.0036494710986043</v>
      </c>
      <c r="BN43" s="33" t="n">
        <v>0.00190498476440272</v>
      </c>
      <c r="BO43" s="33" t="n">
        <v>0.00299974675005364</v>
      </c>
      <c r="BP43" s="33" t="n">
        <v>0.00877400625009335</v>
      </c>
      <c r="BQ43" s="33" t="n">
        <v>0.00481066607166601</v>
      </c>
      <c r="BR43" s="33" t="n">
        <v>0.0178122710622698</v>
      </c>
      <c r="BS43" s="33" t="n">
        <v>0.00857524273407827</v>
      </c>
      <c r="BT43" s="33" t="n">
        <v>0</v>
      </c>
    </row>
    <row r="44" customFormat="false" ht="11.25" hidden="false" customHeight="true" outlineLevel="0" collapsed="false">
      <c r="B44" s="24" t="s">
        <v>139</v>
      </c>
      <c r="C44" s="25" t="s">
        <v>140</v>
      </c>
      <c r="D44" s="24" t="n">
        <v>38</v>
      </c>
      <c r="E44" s="34" t="n">
        <v>0.0376364760946654</v>
      </c>
      <c r="F44" s="34" t="n">
        <v>0.053865122577468</v>
      </c>
      <c r="G44" s="34" t="n">
        <v>0.0217211055444836</v>
      </c>
      <c r="H44" s="34" t="n">
        <v>0.0550472800241937</v>
      </c>
      <c r="I44" s="34" t="n">
        <v>0.0149551063184309</v>
      </c>
      <c r="J44" s="34" t="n">
        <v>0.021779785377687</v>
      </c>
      <c r="K44" s="34" t="n">
        <v>0.0442673748493231</v>
      </c>
      <c r="L44" s="34" t="n">
        <v>0.0589282092541255</v>
      </c>
      <c r="M44" s="34" t="n">
        <v>0.0305534682675556</v>
      </c>
      <c r="N44" s="34" t="n">
        <v>0.0483181453094764</v>
      </c>
      <c r="O44" s="34" t="n">
        <v>0.0322130914125854</v>
      </c>
      <c r="P44" s="34" t="n">
        <v>0.0342582847571877</v>
      </c>
      <c r="Q44" s="34" t="n">
        <v>0.0676398124734043</v>
      </c>
      <c r="R44" s="34" t="n">
        <v>0.033647954560378</v>
      </c>
      <c r="S44" s="34" t="n">
        <v>0.0406420210766183</v>
      </c>
      <c r="T44" s="34" t="n">
        <v>0.0634993652497589</v>
      </c>
      <c r="U44" s="34" t="n">
        <v>0.0635378850654225</v>
      </c>
      <c r="V44" s="34" t="n">
        <v>0.0221905887879915</v>
      </c>
      <c r="W44" s="34" t="n">
        <v>0.0120477809008503</v>
      </c>
      <c r="X44" s="34" t="n">
        <v>0.0333578696612171</v>
      </c>
      <c r="Y44" s="34" t="n">
        <v>0.0556180297412131</v>
      </c>
      <c r="Z44" s="34" t="n">
        <v>0.0376184999675254</v>
      </c>
      <c r="AA44" s="34" t="n">
        <v>0.0272735041600366</v>
      </c>
      <c r="AB44" s="34" t="n">
        <v>0.0314748323911465</v>
      </c>
      <c r="AC44" s="34" t="n">
        <v>0.0561169525208355</v>
      </c>
      <c r="AD44" s="34" t="n">
        <v>0.0787586778548171</v>
      </c>
      <c r="AE44" s="34" t="n">
        <v>0.0570657113645552</v>
      </c>
      <c r="AF44" s="34" t="n">
        <v>0.0802508558898205</v>
      </c>
      <c r="AG44" s="34" t="n">
        <v>0.0495258565941995</v>
      </c>
      <c r="AH44" s="34" t="n">
        <v>0.0161788444655601</v>
      </c>
      <c r="AI44" s="34" t="n">
        <v>0.0432135294184933</v>
      </c>
      <c r="AJ44" s="34" t="n">
        <v>0.0396789701569391</v>
      </c>
      <c r="AK44" s="34" t="n">
        <v>0.0260452628802363</v>
      </c>
      <c r="AL44" s="34" t="n">
        <v>0.0360935883266999</v>
      </c>
      <c r="AM44" s="34" t="n">
        <v>0.0210543424400442</v>
      </c>
      <c r="AN44" s="34" t="n">
        <v>0.0323705048769196</v>
      </c>
      <c r="AO44" s="34" t="n">
        <v>0.0177100570643478</v>
      </c>
      <c r="AP44" s="34" t="n">
        <v>1.45480685530431</v>
      </c>
      <c r="AQ44" s="34" t="n">
        <v>0.076290763521568</v>
      </c>
      <c r="AR44" s="34" t="n">
        <v>0.0199488220646097</v>
      </c>
      <c r="AS44" s="34" t="n">
        <v>0.0245560689464089</v>
      </c>
      <c r="AT44" s="34" t="n">
        <v>0.0421368129674695</v>
      </c>
      <c r="AU44" s="34" t="n">
        <v>0.0162923553965539</v>
      </c>
      <c r="AV44" s="34" t="n">
        <v>0.0121423956813064</v>
      </c>
      <c r="AW44" s="34" t="n">
        <v>0.0125267420175184</v>
      </c>
      <c r="AX44" s="34" t="n">
        <v>0.0225912239432279</v>
      </c>
      <c r="AY44" s="34" t="n">
        <v>0.112583466161628</v>
      </c>
      <c r="AZ44" s="34" t="n">
        <v>0.0276587766695572</v>
      </c>
      <c r="BA44" s="34" t="n">
        <v>0.0360497073889503</v>
      </c>
      <c r="BB44" s="34" t="n">
        <v>0.0394248928721581</v>
      </c>
      <c r="BC44" s="34" t="n">
        <v>0.0450150761029678</v>
      </c>
      <c r="BD44" s="34" t="n">
        <v>0.0159177832038162</v>
      </c>
      <c r="BE44" s="34" t="n">
        <v>0.011814609532872</v>
      </c>
      <c r="BF44" s="34" t="n">
        <v>0.00356203613789749</v>
      </c>
      <c r="BG44" s="34" t="n">
        <v>0.01778508696506</v>
      </c>
      <c r="BH44" s="34" t="n">
        <v>0.0136518544353228</v>
      </c>
      <c r="BI44" s="34" t="n">
        <v>0.0221038316990371</v>
      </c>
      <c r="BJ44" s="34" t="n">
        <v>0.0129393406342498</v>
      </c>
      <c r="BK44" s="34" t="n">
        <v>0.0535727186000913</v>
      </c>
      <c r="BL44" s="34" t="n">
        <v>0.00899441989763016</v>
      </c>
      <c r="BM44" s="34" t="n">
        <v>0.0150882330138179</v>
      </c>
      <c r="BN44" s="34" t="n">
        <v>0.0103418249858892</v>
      </c>
      <c r="BO44" s="34" t="n">
        <v>0.0377556122824093</v>
      </c>
      <c r="BP44" s="34" t="n">
        <v>0.0184836584596421</v>
      </c>
      <c r="BQ44" s="34" t="n">
        <v>0.0162737686025693</v>
      </c>
      <c r="BR44" s="34" t="n">
        <v>0.0560825093294388</v>
      </c>
      <c r="BS44" s="34" t="n">
        <v>0.0423212739277852</v>
      </c>
      <c r="BT44" s="34" t="n">
        <v>0</v>
      </c>
    </row>
    <row r="45" customFormat="false" ht="11.25" hidden="false" customHeight="true" outlineLevel="0" collapsed="false">
      <c r="B45" s="19" t="s">
        <v>141</v>
      </c>
      <c r="C45" s="20" t="s">
        <v>142</v>
      </c>
      <c r="D45" s="19" t="n">
        <v>39</v>
      </c>
      <c r="E45" s="33" t="n">
        <v>0.00270409678043113</v>
      </c>
      <c r="F45" s="33" t="n">
        <v>0.00248697355215844</v>
      </c>
      <c r="G45" s="33" t="n">
        <v>0.00109762963299139</v>
      </c>
      <c r="H45" s="33" t="n">
        <v>0.0058046171698315</v>
      </c>
      <c r="I45" s="33" t="n">
        <v>0.00607993414349116</v>
      </c>
      <c r="J45" s="33" t="n">
        <v>0.0057713141210577</v>
      </c>
      <c r="K45" s="33" t="n">
        <v>0.00876571465467274</v>
      </c>
      <c r="L45" s="33" t="n">
        <v>0.00837754386496269</v>
      </c>
      <c r="M45" s="33" t="n">
        <v>0.00512537259962448</v>
      </c>
      <c r="N45" s="33" t="n">
        <v>0.00726571054784897</v>
      </c>
      <c r="O45" s="33" t="n">
        <v>0.0129168407426271</v>
      </c>
      <c r="P45" s="33" t="n">
        <v>0.00479445441384629</v>
      </c>
      <c r="Q45" s="33" t="n">
        <v>0.00657753611408981</v>
      </c>
      <c r="R45" s="33" t="n">
        <v>0.00479605976574032</v>
      </c>
      <c r="S45" s="33" t="n">
        <v>0.00694684159596477</v>
      </c>
      <c r="T45" s="33" t="n">
        <v>0.0144720613497109</v>
      </c>
      <c r="U45" s="33" t="n">
        <v>0.0121094950540887</v>
      </c>
      <c r="V45" s="33" t="n">
        <v>0.00414519409570793</v>
      </c>
      <c r="W45" s="33" t="n">
        <v>0.00486490384822568</v>
      </c>
      <c r="X45" s="33" t="n">
        <v>0.0048081265095725</v>
      </c>
      <c r="Y45" s="33" t="n">
        <v>0.00961804013762109</v>
      </c>
      <c r="Z45" s="33" t="n">
        <v>0.0127251175113048</v>
      </c>
      <c r="AA45" s="33" t="n">
        <v>0.00807766602948659</v>
      </c>
      <c r="AB45" s="33" t="n">
        <v>0.00709383669291354</v>
      </c>
      <c r="AC45" s="33" t="n">
        <v>0.0120563158832991</v>
      </c>
      <c r="AD45" s="33" t="n">
        <v>0.0170985874111308</v>
      </c>
      <c r="AE45" s="33" t="n">
        <v>0.0472504807027827</v>
      </c>
      <c r="AF45" s="33" t="n">
        <v>0.0422074354881268</v>
      </c>
      <c r="AG45" s="33" t="n">
        <v>0.0175861581176092</v>
      </c>
      <c r="AH45" s="33" t="n">
        <v>0.00366531549750578</v>
      </c>
      <c r="AI45" s="33" t="n">
        <v>0.0126398360723888</v>
      </c>
      <c r="AJ45" s="33" t="n">
        <v>0.0115290013304625</v>
      </c>
      <c r="AK45" s="33" t="n">
        <v>0.00871905250319074</v>
      </c>
      <c r="AL45" s="33" t="n">
        <v>0.0129749401877408</v>
      </c>
      <c r="AM45" s="33" t="n">
        <v>0.00770716643469332</v>
      </c>
      <c r="AN45" s="33" t="n">
        <v>0.00816344800389214</v>
      </c>
      <c r="AO45" s="33" t="n">
        <v>0.00526203431395119</v>
      </c>
      <c r="AP45" s="33" t="n">
        <v>0.00238901457638016</v>
      </c>
      <c r="AQ45" s="33" t="n">
        <v>1.01664269386505</v>
      </c>
      <c r="AR45" s="33" t="n">
        <v>0.00623734070363343</v>
      </c>
      <c r="AS45" s="33" t="n">
        <v>0.00626719174013637</v>
      </c>
      <c r="AT45" s="33" t="n">
        <v>0.00818803289657934</v>
      </c>
      <c r="AU45" s="33" t="n">
        <v>0.00459438298401697</v>
      </c>
      <c r="AV45" s="33" t="n">
        <v>0.00335841746213332</v>
      </c>
      <c r="AW45" s="33" t="n">
        <v>0.00410096269072156</v>
      </c>
      <c r="AX45" s="33" t="n">
        <v>0.00930158209916874</v>
      </c>
      <c r="AY45" s="33" t="n">
        <v>0.0268590537781723</v>
      </c>
      <c r="AZ45" s="33" t="n">
        <v>0.00889389713087826</v>
      </c>
      <c r="BA45" s="33" t="n">
        <v>0.00727907414864865</v>
      </c>
      <c r="BB45" s="33" t="n">
        <v>0.00691035872054479</v>
      </c>
      <c r="BC45" s="33" t="n">
        <v>0.00777317529341751</v>
      </c>
      <c r="BD45" s="33" t="n">
        <v>0.00371151955486934</v>
      </c>
      <c r="BE45" s="33" t="n">
        <v>0.00305534386569568</v>
      </c>
      <c r="BF45" s="33" t="n">
        <v>0.00115573116602803</v>
      </c>
      <c r="BG45" s="33" t="n">
        <v>0.00582846849204597</v>
      </c>
      <c r="BH45" s="33" t="n">
        <v>0.00333890358553375</v>
      </c>
      <c r="BI45" s="33" t="n">
        <v>0.00412538545049648</v>
      </c>
      <c r="BJ45" s="33" t="n">
        <v>0.00336701961200134</v>
      </c>
      <c r="BK45" s="33" t="n">
        <v>0.026511128549718</v>
      </c>
      <c r="BL45" s="33" t="n">
        <v>0.00225480121971468</v>
      </c>
      <c r="BM45" s="33" t="n">
        <v>0.0137293874382336</v>
      </c>
      <c r="BN45" s="33" t="n">
        <v>0.00555417245734013</v>
      </c>
      <c r="BO45" s="33" t="n">
        <v>0.00469255876204938</v>
      </c>
      <c r="BP45" s="33" t="n">
        <v>0.0112245966694052</v>
      </c>
      <c r="BQ45" s="33" t="n">
        <v>0.00995321523761724</v>
      </c>
      <c r="BR45" s="33" t="n">
        <v>0.00656675598730441</v>
      </c>
      <c r="BS45" s="33" t="n">
        <v>0.0185634370804528</v>
      </c>
      <c r="BT45" s="33" t="n">
        <v>0</v>
      </c>
    </row>
    <row r="46" customFormat="false" ht="11.25" hidden="false" customHeight="true" outlineLevel="0" collapsed="false">
      <c r="B46" s="24" t="s">
        <v>143</v>
      </c>
      <c r="C46" s="25" t="s">
        <v>144</v>
      </c>
      <c r="D46" s="24" t="n">
        <v>40</v>
      </c>
      <c r="E46" s="34" t="n">
        <v>0.00147449289704421</v>
      </c>
      <c r="F46" s="34" t="n">
        <v>0.00240843995183165</v>
      </c>
      <c r="G46" s="34" t="n">
        <v>0.0010977203494899</v>
      </c>
      <c r="H46" s="34" t="n">
        <v>0.00282597301075715</v>
      </c>
      <c r="I46" s="34" t="n">
        <v>0.0116078519222169</v>
      </c>
      <c r="J46" s="34" t="n">
        <v>0.0299006565403882</v>
      </c>
      <c r="K46" s="34" t="n">
        <v>0.0240720738890648</v>
      </c>
      <c r="L46" s="34" t="n">
        <v>0.00503164229710339</v>
      </c>
      <c r="M46" s="34" t="n">
        <v>0.00323091760881222</v>
      </c>
      <c r="N46" s="34" t="n">
        <v>0.00383804488598059</v>
      </c>
      <c r="O46" s="34" t="n">
        <v>0.00393624011062536</v>
      </c>
      <c r="P46" s="34" t="n">
        <v>0.0029971554814033</v>
      </c>
      <c r="Q46" s="34" t="n">
        <v>0.00347502756244827</v>
      </c>
      <c r="R46" s="34" t="n">
        <v>0.00279355047275121</v>
      </c>
      <c r="S46" s="34" t="n">
        <v>0.00364988500870223</v>
      </c>
      <c r="T46" s="34" t="n">
        <v>0.00348302481610741</v>
      </c>
      <c r="U46" s="34" t="n">
        <v>0.00543126783300339</v>
      </c>
      <c r="V46" s="34" t="n">
        <v>0.00368742687774552</v>
      </c>
      <c r="W46" s="34" t="n">
        <v>0.00473340868693757</v>
      </c>
      <c r="X46" s="34" t="n">
        <v>0.00302111483050554</v>
      </c>
      <c r="Y46" s="34" t="n">
        <v>0.0036292968958883</v>
      </c>
      <c r="Z46" s="34" t="n">
        <v>0.00408718022729912</v>
      </c>
      <c r="AA46" s="34" t="n">
        <v>0.00295532743289053</v>
      </c>
      <c r="AB46" s="34" t="n">
        <v>0.00391822078515655</v>
      </c>
      <c r="AC46" s="34" t="n">
        <v>0.00389806015055161</v>
      </c>
      <c r="AD46" s="34" t="n">
        <v>0.00478312592558919</v>
      </c>
      <c r="AE46" s="34" t="n">
        <v>0.0147175490459339</v>
      </c>
      <c r="AF46" s="34" t="n">
        <v>0.0423183377074081</v>
      </c>
      <c r="AG46" s="34" t="n">
        <v>0.00797250893579376</v>
      </c>
      <c r="AH46" s="34" t="n">
        <v>0.00329283530768777</v>
      </c>
      <c r="AI46" s="34" t="n">
        <v>0.00858665120192188</v>
      </c>
      <c r="AJ46" s="34" t="n">
        <v>0.00651131665575806</v>
      </c>
      <c r="AK46" s="34" t="n">
        <v>0.00585396842558768</v>
      </c>
      <c r="AL46" s="34" t="n">
        <v>0.00605149917475711</v>
      </c>
      <c r="AM46" s="34" t="n">
        <v>0.0089888994329688</v>
      </c>
      <c r="AN46" s="34" t="n">
        <v>0.00438834069533326</v>
      </c>
      <c r="AO46" s="34" t="n">
        <v>0.00314188565154035</v>
      </c>
      <c r="AP46" s="34" t="n">
        <v>0.00187283677225649</v>
      </c>
      <c r="AQ46" s="34" t="n">
        <v>0.0539930234003176</v>
      </c>
      <c r="AR46" s="34" t="n">
        <v>1.10849147314187</v>
      </c>
      <c r="AS46" s="34" t="n">
        <v>0.00561352879905786</v>
      </c>
      <c r="AT46" s="34" t="n">
        <v>0.00443580395322793</v>
      </c>
      <c r="AU46" s="34" t="n">
        <v>0.00384864910971698</v>
      </c>
      <c r="AV46" s="34" t="n">
        <v>0.0045290949019862</v>
      </c>
      <c r="AW46" s="34" t="n">
        <v>0.00538428372470593</v>
      </c>
      <c r="AX46" s="34" t="n">
        <v>0.0150121180585664</v>
      </c>
      <c r="AY46" s="34" t="n">
        <v>0.0151910860809642</v>
      </c>
      <c r="AZ46" s="34" t="n">
        <v>0.00442195278210713</v>
      </c>
      <c r="BA46" s="34" t="n">
        <v>0.00481765568535882</v>
      </c>
      <c r="BB46" s="34" t="n">
        <v>0.0100721647082221</v>
      </c>
      <c r="BC46" s="34" t="n">
        <v>0.0290339355034131</v>
      </c>
      <c r="BD46" s="34" t="n">
        <v>0.00829442125108357</v>
      </c>
      <c r="BE46" s="34" t="n">
        <v>0.00391043962501775</v>
      </c>
      <c r="BF46" s="34" t="n">
        <v>0.00339020512739946</v>
      </c>
      <c r="BG46" s="34" t="n">
        <v>0.00386715382598972</v>
      </c>
      <c r="BH46" s="34" t="n">
        <v>0.013667210056408</v>
      </c>
      <c r="BI46" s="34" t="n">
        <v>0.00520157958148338</v>
      </c>
      <c r="BJ46" s="34" t="n">
        <v>0.00603891772538959</v>
      </c>
      <c r="BK46" s="34" t="n">
        <v>0.0140759014173513</v>
      </c>
      <c r="BL46" s="34" t="n">
        <v>0.00168631551383946</v>
      </c>
      <c r="BM46" s="34" t="n">
        <v>0.0196179011342022</v>
      </c>
      <c r="BN46" s="34" t="n">
        <v>0.00563077203679702</v>
      </c>
      <c r="BO46" s="34" t="n">
        <v>0.00625344510537922</v>
      </c>
      <c r="BP46" s="34" t="n">
        <v>0.0220944614518016</v>
      </c>
      <c r="BQ46" s="34" t="n">
        <v>0.00178455167935582</v>
      </c>
      <c r="BR46" s="34" t="n">
        <v>0.00721709838689663</v>
      </c>
      <c r="BS46" s="34" t="n">
        <v>0.0063255895869981</v>
      </c>
      <c r="BT46" s="34" t="n">
        <v>0</v>
      </c>
    </row>
    <row r="47" customFormat="false" ht="11.25" hidden="false" customHeight="true" outlineLevel="0" collapsed="false">
      <c r="B47" s="19" t="s">
        <v>145</v>
      </c>
      <c r="C47" s="20" t="s">
        <v>146</v>
      </c>
      <c r="D47" s="19" t="n">
        <v>41</v>
      </c>
      <c r="E47" s="33" t="n">
        <v>0.00428800678267342</v>
      </c>
      <c r="F47" s="33" t="n">
        <v>0.00394519864040721</v>
      </c>
      <c r="G47" s="33" t="n">
        <v>0.00361855972478996</v>
      </c>
      <c r="H47" s="33" t="n">
        <v>0.0126346837893315</v>
      </c>
      <c r="I47" s="33" t="n">
        <v>0.00884351653398959</v>
      </c>
      <c r="J47" s="33" t="n">
        <v>0.0315005040816625</v>
      </c>
      <c r="K47" s="33" t="n">
        <v>0.0227803011532334</v>
      </c>
      <c r="L47" s="33" t="n">
        <v>0.0144707999723416</v>
      </c>
      <c r="M47" s="33" t="n">
        <v>0.00846628932478209</v>
      </c>
      <c r="N47" s="33" t="n">
        <v>0.0114424015071775</v>
      </c>
      <c r="O47" s="33" t="n">
        <v>0.00927160558488575</v>
      </c>
      <c r="P47" s="33" t="n">
        <v>0.00721428798020047</v>
      </c>
      <c r="Q47" s="33" t="n">
        <v>0.00787711499184626</v>
      </c>
      <c r="R47" s="33" t="n">
        <v>0.00666122197635564</v>
      </c>
      <c r="S47" s="33" t="n">
        <v>0.0105428563013518</v>
      </c>
      <c r="T47" s="33" t="n">
        <v>0.00950892935167207</v>
      </c>
      <c r="U47" s="33" t="n">
        <v>0.0132860309867688</v>
      </c>
      <c r="V47" s="33" t="n">
        <v>0.00531976904362216</v>
      </c>
      <c r="W47" s="33" t="n">
        <v>0.00543069504541155</v>
      </c>
      <c r="X47" s="33" t="n">
        <v>0.00690704272771108</v>
      </c>
      <c r="Y47" s="33" t="n">
        <v>0.00751426559097389</v>
      </c>
      <c r="Z47" s="33" t="n">
        <v>0.00941332724425084</v>
      </c>
      <c r="AA47" s="33" t="n">
        <v>0.0070124615421641</v>
      </c>
      <c r="AB47" s="33" t="n">
        <v>0.0120146206356677</v>
      </c>
      <c r="AC47" s="33" t="n">
        <v>0.0135694319639034</v>
      </c>
      <c r="AD47" s="33" t="n">
        <v>0.019209360769168</v>
      </c>
      <c r="AE47" s="33" t="n">
        <v>0.0182822256609013</v>
      </c>
      <c r="AF47" s="33" t="n">
        <v>0.0110078066634411</v>
      </c>
      <c r="AG47" s="33" t="n">
        <v>0.0120434164386095</v>
      </c>
      <c r="AH47" s="33" t="n">
        <v>0.0158677067170279</v>
      </c>
      <c r="AI47" s="33" t="n">
        <v>0.0108709946938292</v>
      </c>
      <c r="AJ47" s="33" t="n">
        <v>0.0550861078090425</v>
      </c>
      <c r="AK47" s="33" t="n">
        <v>0.014258441875743</v>
      </c>
      <c r="AL47" s="33" t="n">
        <v>0.00794131116723784</v>
      </c>
      <c r="AM47" s="33" t="n">
        <v>0.00558894978112382</v>
      </c>
      <c r="AN47" s="33" t="n">
        <v>0.00880581304754084</v>
      </c>
      <c r="AO47" s="33" t="n">
        <v>0.010250349698043</v>
      </c>
      <c r="AP47" s="33" t="n">
        <v>0.00519981706932476</v>
      </c>
      <c r="AQ47" s="33" t="n">
        <v>0.0242355025776011</v>
      </c>
      <c r="AR47" s="33" t="n">
        <v>0.00693229802265839</v>
      </c>
      <c r="AS47" s="33" t="n">
        <v>1.0198967138501</v>
      </c>
      <c r="AT47" s="33" t="n">
        <v>0.0141845949303017</v>
      </c>
      <c r="AU47" s="33" t="n">
        <v>0.0502192089522064</v>
      </c>
      <c r="AV47" s="33" t="n">
        <v>0.0065718084532021</v>
      </c>
      <c r="AW47" s="33" t="n">
        <v>0.00644056205719953</v>
      </c>
      <c r="AX47" s="33" t="n">
        <v>0.0129539531000693</v>
      </c>
      <c r="AY47" s="33" t="n">
        <v>0.00308938240548488</v>
      </c>
      <c r="AZ47" s="33" t="n">
        <v>0.00498475937683453</v>
      </c>
      <c r="BA47" s="33" t="n">
        <v>0.0101717928194414</v>
      </c>
      <c r="BB47" s="33" t="n">
        <v>0.00990128248447606</v>
      </c>
      <c r="BC47" s="33" t="n">
        <v>0.00739657832299906</v>
      </c>
      <c r="BD47" s="33" t="n">
        <v>0.00272732258908614</v>
      </c>
      <c r="BE47" s="33" t="n">
        <v>0.0014618328591788</v>
      </c>
      <c r="BF47" s="33" t="n">
        <v>0.000394148277642082</v>
      </c>
      <c r="BG47" s="33" t="n">
        <v>0.00203289871844294</v>
      </c>
      <c r="BH47" s="33" t="n">
        <v>0.0058471004935778</v>
      </c>
      <c r="BI47" s="33" t="n">
        <v>0.00498717340720984</v>
      </c>
      <c r="BJ47" s="33" t="n">
        <v>0.0381616286210479</v>
      </c>
      <c r="BK47" s="33" t="n">
        <v>0.00328604927770959</v>
      </c>
      <c r="BL47" s="33" t="n">
        <v>0.0107179144518166</v>
      </c>
      <c r="BM47" s="33" t="n">
        <v>0.00547138749395876</v>
      </c>
      <c r="BN47" s="33" t="n">
        <v>0.00303045794963717</v>
      </c>
      <c r="BO47" s="33" t="n">
        <v>0.00234500863415487</v>
      </c>
      <c r="BP47" s="33" t="n">
        <v>0.014541396298948</v>
      </c>
      <c r="BQ47" s="33" t="n">
        <v>0.00639897438140393</v>
      </c>
      <c r="BR47" s="33" t="n">
        <v>0.00493004812209351</v>
      </c>
      <c r="BS47" s="33" t="n">
        <v>0.0038101043627682</v>
      </c>
      <c r="BT47" s="33" t="n">
        <v>0</v>
      </c>
    </row>
    <row r="48" customFormat="false" ht="11.25" hidden="false" customHeight="true" outlineLevel="0" collapsed="false">
      <c r="B48" s="24" t="s">
        <v>147</v>
      </c>
      <c r="C48" s="25" t="s">
        <v>148</v>
      </c>
      <c r="D48" s="24" t="n">
        <v>42</v>
      </c>
      <c r="E48" s="34" t="n">
        <v>0.0730010765085975</v>
      </c>
      <c r="F48" s="34" t="n">
        <v>0.103406587568185</v>
      </c>
      <c r="G48" s="34" t="n">
        <v>0.032120240032148</v>
      </c>
      <c r="H48" s="34" t="n">
        <v>0.126147372497824</v>
      </c>
      <c r="I48" s="34" t="n">
        <v>0.088053980364838</v>
      </c>
      <c r="J48" s="34" t="n">
        <v>0.0829143966431973</v>
      </c>
      <c r="K48" s="34" t="n">
        <v>0.158453582893245</v>
      </c>
      <c r="L48" s="34" t="n">
        <v>0.745629893942241</v>
      </c>
      <c r="M48" s="34" t="n">
        <v>0.206434305090282</v>
      </c>
      <c r="N48" s="34" t="n">
        <v>0.460472115470037</v>
      </c>
      <c r="O48" s="34" t="n">
        <v>0.180941037461623</v>
      </c>
      <c r="P48" s="34" t="n">
        <v>0.373240905435868</v>
      </c>
      <c r="Q48" s="34" t="n">
        <v>0.368056893093769</v>
      </c>
      <c r="R48" s="34" t="n">
        <v>0.371769934253525</v>
      </c>
      <c r="S48" s="34" t="n">
        <v>0.601848408479904</v>
      </c>
      <c r="T48" s="34" t="n">
        <v>0.362167911808566</v>
      </c>
      <c r="U48" s="34" t="n">
        <v>0.634810958475308</v>
      </c>
      <c r="V48" s="34" t="n">
        <v>0.170374071152854</v>
      </c>
      <c r="W48" s="34" t="n">
        <v>0.114457226639298</v>
      </c>
      <c r="X48" s="34" t="n">
        <v>0.256486093555236</v>
      </c>
      <c r="Y48" s="34" t="n">
        <v>0.229455172047327</v>
      </c>
      <c r="Z48" s="34" t="n">
        <v>0.429578858677885</v>
      </c>
      <c r="AA48" s="34" t="n">
        <v>0.194177463290322</v>
      </c>
      <c r="AB48" s="34" t="n">
        <v>0.509749455011694</v>
      </c>
      <c r="AC48" s="34" t="n">
        <v>0.44258476571925</v>
      </c>
      <c r="AD48" s="34" t="n">
        <v>0.421890291268977</v>
      </c>
      <c r="AE48" s="34" t="n">
        <v>0.362888092486271</v>
      </c>
      <c r="AF48" s="34" t="n">
        <v>0.24733475020602</v>
      </c>
      <c r="AG48" s="34" t="n">
        <v>0.467301456010805</v>
      </c>
      <c r="AH48" s="34" t="n">
        <v>0.23988116374371</v>
      </c>
      <c r="AI48" s="34" t="n">
        <v>0.450112619281678</v>
      </c>
      <c r="AJ48" s="34" t="n">
        <v>0.597124093898969</v>
      </c>
      <c r="AK48" s="34" t="n">
        <v>0.128250386805601</v>
      </c>
      <c r="AL48" s="34" t="n">
        <v>0.12881320333471</v>
      </c>
      <c r="AM48" s="34" t="n">
        <v>0.165496161205923</v>
      </c>
      <c r="AN48" s="34" t="n">
        <v>0.322615932533066</v>
      </c>
      <c r="AO48" s="34" t="n">
        <v>0.140391584171821</v>
      </c>
      <c r="AP48" s="34" t="n">
        <v>0.0373151228079108</v>
      </c>
      <c r="AQ48" s="34" t="n">
        <v>0.0479309919138726</v>
      </c>
      <c r="AR48" s="34" t="n">
        <v>0.120892705335933</v>
      </c>
      <c r="AS48" s="34" t="n">
        <v>0.0475598417825794</v>
      </c>
      <c r="AT48" s="34" t="n">
        <v>1.16552369829102</v>
      </c>
      <c r="AU48" s="34" t="n">
        <v>0.0562459745489065</v>
      </c>
      <c r="AV48" s="34" t="n">
        <v>0.0482441288143344</v>
      </c>
      <c r="AW48" s="34" t="n">
        <v>0.0534815609208274</v>
      </c>
      <c r="AX48" s="34" t="n">
        <v>0.0356136254547821</v>
      </c>
      <c r="AY48" s="34" t="n">
        <v>0.0649527041808954</v>
      </c>
      <c r="AZ48" s="34" t="n">
        <v>0.131247817902978</v>
      </c>
      <c r="BA48" s="34" t="n">
        <v>0.496372117693018</v>
      </c>
      <c r="BB48" s="34" t="n">
        <v>0.343442336268223</v>
      </c>
      <c r="BC48" s="34" t="n">
        <v>0.421247211873512</v>
      </c>
      <c r="BD48" s="34" t="n">
        <v>0.0885453017768903</v>
      </c>
      <c r="BE48" s="34" t="n">
        <v>0.0254833866260053</v>
      </c>
      <c r="BF48" s="34" t="n">
        <v>0.00720251223195621</v>
      </c>
      <c r="BG48" s="34" t="n">
        <v>0.0706865769703989</v>
      </c>
      <c r="BH48" s="34" t="n">
        <v>0.0468264490037673</v>
      </c>
      <c r="BI48" s="34" t="n">
        <v>0.171957216637135</v>
      </c>
      <c r="BJ48" s="34" t="n">
        <v>0.0377983172419055</v>
      </c>
      <c r="BK48" s="34" t="n">
        <v>0.0719330882686115</v>
      </c>
      <c r="BL48" s="34" t="n">
        <v>0.0469204680702124</v>
      </c>
      <c r="BM48" s="34" t="n">
        <v>0.0232582450496417</v>
      </c>
      <c r="BN48" s="34" t="n">
        <v>0.0207750055092933</v>
      </c>
      <c r="BO48" s="34" t="n">
        <v>0.0356129357366297</v>
      </c>
      <c r="BP48" s="34" t="n">
        <v>0.0557718198128896</v>
      </c>
      <c r="BQ48" s="34" t="n">
        <v>0.0525613215397166</v>
      </c>
      <c r="BR48" s="34" t="n">
        <v>0.0490090743716053</v>
      </c>
      <c r="BS48" s="34" t="n">
        <v>0.0552728566631182</v>
      </c>
      <c r="BT48" s="34" t="n">
        <v>0</v>
      </c>
    </row>
    <row r="49" customFormat="false" ht="11.25" hidden="false" customHeight="true" outlineLevel="0" collapsed="false">
      <c r="B49" s="19" t="s">
        <v>149</v>
      </c>
      <c r="C49" s="20" t="s">
        <v>150</v>
      </c>
      <c r="D49" s="19" t="n">
        <v>43</v>
      </c>
      <c r="E49" s="33" t="n">
        <v>0.048933680788333</v>
      </c>
      <c r="F49" s="33" t="n">
        <v>0.0416810411848055</v>
      </c>
      <c r="G49" s="33" t="n">
        <v>0.0427349937213534</v>
      </c>
      <c r="H49" s="33" t="n">
        <v>0.0959570712640957</v>
      </c>
      <c r="I49" s="33" t="n">
        <v>0.0683654774822228</v>
      </c>
      <c r="J49" s="33" t="n">
        <v>0.0662685818757286</v>
      </c>
      <c r="K49" s="33" t="n">
        <v>0.10633308604467</v>
      </c>
      <c r="L49" s="33" t="n">
        <v>0.160373728678561</v>
      </c>
      <c r="M49" s="33" t="n">
        <v>0.113565745819886</v>
      </c>
      <c r="N49" s="33" t="n">
        <v>0.142294992908943</v>
      </c>
      <c r="O49" s="33" t="n">
        <v>0.114364295931181</v>
      </c>
      <c r="P49" s="33" t="n">
        <v>0.0700155357862179</v>
      </c>
      <c r="Q49" s="33" t="n">
        <v>0.087469364652677</v>
      </c>
      <c r="R49" s="33" t="n">
        <v>0.0680849360148449</v>
      </c>
      <c r="S49" s="33" t="n">
        <v>0.106215899339193</v>
      </c>
      <c r="T49" s="33" t="n">
        <v>0.118117966706113</v>
      </c>
      <c r="U49" s="33" t="n">
        <v>0.143538829459478</v>
      </c>
      <c r="V49" s="33" t="n">
        <v>0.0531802233176219</v>
      </c>
      <c r="W49" s="33" t="n">
        <v>0.0588281564016299</v>
      </c>
      <c r="X49" s="33" t="n">
        <v>0.0796018257515013</v>
      </c>
      <c r="Y49" s="33" t="n">
        <v>0.102164790824726</v>
      </c>
      <c r="Z49" s="33" t="n">
        <v>0.102976541223182</v>
      </c>
      <c r="AA49" s="33" t="n">
        <v>0.0994065823949021</v>
      </c>
      <c r="AB49" s="33" t="n">
        <v>0.128316317328251</v>
      </c>
      <c r="AC49" s="33" t="n">
        <v>0.106058788363212</v>
      </c>
      <c r="AD49" s="33" t="n">
        <v>0.112023539671665</v>
      </c>
      <c r="AE49" s="33" t="n">
        <v>0.121670762117941</v>
      </c>
      <c r="AF49" s="33" t="n">
        <v>0.062537281679791</v>
      </c>
      <c r="AG49" s="33" t="n">
        <v>0.112766223643963</v>
      </c>
      <c r="AH49" s="33" t="n">
        <v>0.0506564290754322</v>
      </c>
      <c r="AI49" s="33" t="n">
        <v>0.0895474141956441</v>
      </c>
      <c r="AJ49" s="33" t="n">
        <v>0.0959782987543729</v>
      </c>
      <c r="AK49" s="33" t="n">
        <v>0.0809528866754747</v>
      </c>
      <c r="AL49" s="33" t="n">
        <v>0.0681826011756475</v>
      </c>
      <c r="AM49" s="33" t="n">
        <v>0.0520699169841534</v>
      </c>
      <c r="AN49" s="33" t="n">
        <v>0.0798700067207296</v>
      </c>
      <c r="AO49" s="33" t="n">
        <v>0.031526276640013</v>
      </c>
      <c r="AP49" s="33" t="n">
        <v>0.0378380875664715</v>
      </c>
      <c r="AQ49" s="33" t="n">
        <v>0.0228222439232595</v>
      </c>
      <c r="AR49" s="33" t="n">
        <v>0.0376947867011653</v>
      </c>
      <c r="AS49" s="33" t="n">
        <v>0.0293762955621915</v>
      </c>
      <c r="AT49" s="33" t="n">
        <v>0.0965129321885039</v>
      </c>
      <c r="AU49" s="33" t="n">
        <v>1.22527785734535</v>
      </c>
      <c r="AV49" s="33" t="n">
        <v>0.0450526187770023</v>
      </c>
      <c r="AW49" s="33" t="n">
        <v>0.0371041531872472</v>
      </c>
      <c r="AX49" s="33" t="n">
        <v>0.0898336177656418</v>
      </c>
      <c r="AY49" s="33" t="n">
        <v>0.0237658669630579</v>
      </c>
      <c r="AZ49" s="33" t="n">
        <v>0.0461248598970615</v>
      </c>
      <c r="BA49" s="33" t="n">
        <v>0.0867058480954758</v>
      </c>
      <c r="BB49" s="33" t="n">
        <v>0.051785362678054</v>
      </c>
      <c r="BC49" s="33" t="n">
        <v>0.046196881933844</v>
      </c>
      <c r="BD49" s="33" t="n">
        <v>0.0173915998298936</v>
      </c>
      <c r="BE49" s="33" t="n">
        <v>0.00999437228772842</v>
      </c>
      <c r="BF49" s="33" t="n">
        <v>0.00229988233219966</v>
      </c>
      <c r="BG49" s="33" t="n">
        <v>0.0183177782646929</v>
      </c>
      <c r="BH49" s="33" t="n">
        <v>0.0329617165304496</v>
      </c>
      <c r="BI49" s="33" t="n">
        <v>0.0300572598446742</v>
      </c>
      <c r="BJ49" s="33" t="n">
        <v>0.0260080083762317</v>
      </c>
      <c r="BK49" s="33" t="n">
        <v>0.0161820078196482</v>
      </c>
      <c r="BL49" s="33" t="n">
        <v>0.0123042397704118</v>
      </c>
      <c r="BM49" s="33" t="n">
        <v>0.0111653078632412</v>
      </c>
      <c r="BN49" s="33" t="n">
        <v>0.00949873180318091</v>
      </c>
      <c r="BO49" s="33" t="n">
        <v>0.0236411530059327</v>
      </c>
      <c r="BP49" s="33" t="n">
        <v>0.0223569375215344</v>
      </c>
      <c r="BQ49" s="33" t="n">
        <v>0.0128631142092445</v>
      </c>
      <c r="BR49" s="33" t="n">
        <v>0.0206088244084425</v>
      </c>
      <c r="BS49" s="33" t="n">
        <v>0.0370682704290887</v>
      </c>
      <c r="BT49" s="33" t="n">
        <v>0</v>
      </c>
    </row>
    <row r="50" customFormat="false" ht="11.25" hidden="false" customHeight="true" outlineLevel="0" collapsed="false">
      <c r="B50" s="24" t="s">
        <v>151</v>
      </c>
      <c r="C50" s="25" t="s">
        <v>152</v>
      </c>
      <c r="D50" s="24" t="n">
        <v>44</v>
      </c>
      <c r="E50" s="34" t="n">
        <v>0.00202350657858794</v>
      </c>
      <c r="F50" s="34" t="n">
        <v>0.00184728967714756</v>
      </c>
      <c r="G50" s="34" t="n">
        <v>0.000850332249783649</v>
      </c>
      <c r="H50" s="34" t="n">
        <v>0.00205163920634654</v>
      </c>
      <c r="I50" s="34" t="n">
        <v>0.0369434009925636</v>
      </c>
      <c r="J50" s="34" t="n">
        <v>0.00168002962337283</v>
      </c>
      <c r="K50" s="34" t="n">
        <v>0.00356947051777579</v>
      </c>
      <c r="L50" s="34" t="n">
        <v>0.0106156000206043</v>
      </c>
      <c r="M50" s="34" t="n">
        <v>0.00469759488897224</v>
      </c>
      <c r="N50" s="34" t="n">
        <v>0.0053980235091055</v>
      </c>
      <c r="O50" s="34" t="n">
        <v>0.00206465922221572</v>
      </c>
      <c r="P50" s="34" t="n">
        <v>0.00299619265589778</v>
      </c>
      <c r="Q50" s="34" t="n">
        <v>0.00324713845121055</v>
      </c>
      <c r="R50" s="34" t="n">
        <v>0.00219244410398033</v>
      </c>
      <c r="S50" s="34" t="n">
        <v>0.00341175473147779</v>
      </c>
      <c r="T50" s="34" t="n">
        <v>0.0117242832209686</v>
      </c>
      <c r="U50" s="34" t="n">
        <v>0.0272800495347869</v>
      </c>
      <c r="V50" s="34" t="n">
        <v>0.00357606874616709</v>
      </c>
      <c r="W50" s="34" t="n">
        <v>0.0125189929947058</v>
      </c>
      <c r="X50" s="34" t="n">
        <v>0.00253744023643345</v>
      </c>
      <c r="Y50" s="34" t="n">
        <v>0.0100144704766074</v>
      </c>
      <c r="Z50" s="34" t="n">
        <v>0.00344729343381526</v>
      </c>
      <c r="AA50" s="34" t="n">
        <v>0.0045257645872216</v>
      </c>
      <c r="AB50" s="34" t="n">
        <v>0.00262527991514659</v>
      </c>
      <c r="AC50" s="34" t="n">
        <v>0.00460742193800085</v>
      </c>
      <c r="AD50" s="34" t="n">
        <v>0.00526542580878509</v>
      </c>
      <c r="AE50" s="34" t="n">
        <v>0.00606232641919736</v>
      </c>
      <c r="AF50" s="34" t="n">
        <v>0.00254986500399731</v>
      </c>
      <c r="AG50" s="34" t="n">
        <v>0.00386217300451023</v>
      </c>
      <c r="AH50" s="34" t="n">
        <v>0.0017454288824798</v>
      </c>
      <c r="AI50" s="34" t="n">
        <v>0.00340282666234712</v>
      </c>
      <c r="AJ50" s="34" t="n">
        <v>0.00545461429353881</v>
      </c>
      <c r="AK50" s="34" t="n">
        <v>0.00332726441075666</v>
      </c>
      <c r="AL50" s="34" t="n">
        <v>0.0030934983069133</v>
      </c>
      <c r="AM50" s="34" t="n">
        <v>0.00449134800961835</v>
      </c>
      <c r="AN50" s="34" t="n">
        <v>0.00295529320724285</v>
      </c>
      <c r="AO50" s="34" t="n">
        <v>0.00150758250544258</v>
      </c>
      <c r="AP50" s="34" t="n">
        <v>0.00199966777607038</v>
      </c>
      <c r="AQ50" s="34" t="n">
        <v>0.00132367562658446</v>
      </c>
      <c r="AR50" s="34" t="n">
        <v>0.00170674832086428</v>
      </c>
      <c r="AS50" s="34" t="n">
        <v>0.000997450395200361</v>
      </c>
      <c r="AT50" s="34" t="n">
        <v>0.00296610668317322</v>
      </c>
      <c r="AU50" s="34" t="n">
        <v>0.00628096973542137</v>
      </c>
      <c r="AV50" s="34" t="n">
        <v>1.06423580668392</v>
      </c>
      <c r="AW50" s="34" t="n">
        <v>0.00238843872041749</v>
      </c>
      <c r="AX50" s="34" t="n">
        <v>0.00168480975547084</v>
      </c>
      <c r="AY50" s="34" t="n">
        <v>0.00128519329095217</v>
      </c>
      <c r="AZ50" s="34" t="n">
        <v>0.00203161635872972</v>
      </c>
      <c r="BA50" s="34" t="n">
        <v>0.00305766692785269</v>
      </c>
      <c r="BB50" s="34" t="n">
        <v>0.0015912850829247</v>
      </c>
      <c r="BC50" s="34" t="n">
        <v>0.00162628296101907</v>
      </c>
      <c r="BD50" s="34" t="n">
        <v>0.000771740462412883</v>
      </c>
      <c r="BE50" s="34" t="n">
        <v>0.000379991799190433</v>
      </c>
      <c r="BF50" s="34" t="n">
        <v>0.000116525226626495</v>
      </c>
      <c r="BG50" s="34" t="n">
        <v>0.000755406786031411</v>
      </c>
      <c r="BH50" s="34" t="n">
        <v>0.000810401624926367</v>
      </c>
      <c r="BI50" s="34" t="n">
        <v>0.00110530273071537</v>
      </c>
      <c r="BJ50" s="34" t="n">
        <v>0.000889304184753188</v>
      </c>
      <c r="BK50" s="34" t="n">
        <v>0.00174926703440183</v>
      </c>
      <c r="BL50" s="34" t="n">
        <v>0.000468229641854974</v>
      </c>
      <c r="BM50" s="34" t="n">
        <v>0.000489147262590155</v>
      </c>
      <c r="BN50" s="34" t="n">
        <v>0.00033051421765114</v>
      </c>
      <c r="BO50" s="34" t="n">
        <v>0.000735061895908617</v>
      </c>
      <c r="BP50" s="34" t="n">
        <v>0.000701875321893746</v>
      </c>
      <c r="BQ50" s="34" t="n">
        <v>0.000569358664477762</v>
      </c>
      <c r="BR50" s="34" t="n">
        <v>0.00108572497331536</v>
      </c>
      <c r="BS50" s="34" t="n">
        <v>0.00106620046757488</v>
      </c>
      <c r="BT50" s="34" t="n">
        <v>0</v>
      </c>
    </row>
    <row r="51" customFormat="false" ht="11.25" hidden="false" customHeight="true" outlineLevel="0" collapsed="false">
      <c r="B51" s="19" t="s">
        <v>153</v>
      </c>
      <c r="C51" s="20" t="s">
        <v>154</v>
      </c>
      <c r="D51" s="19" t="n">
        <v>45</v>
      </c>
      <c r="E51" s="33" t="n">
        <v>0.000754565457680092</v>
      </c>
      <c r="F51" s="33" t="n">
        <v>0.000724927208861507</v>
      </c>
      <c r="G51" s="33" t="n">
        <v>0.000423008556763944</v>
      </c>
      <c r="H51" s="33" t="n">
        <v>0.00117581555310915</v>
      </c>
      <c r="I51" s="33" t="n">
        <v>0.010525011433519</v>
      </c>
      <c r="J51" s="33" t="n">
        <v>0.00099689765411419</v>
      </c>
      <c r="K51" s="33" t="n">
        <v>0.00224157832985465</v>
      </c>
      <c r="L51" s="33" t="n">
        <v>0.00275615216413862</v>
      </c>
      <c r="M51" s="33" t="n">
        <v>0.00129203949270671</v>
      </c>
      <c r="N51" s="33" t="n">
        <v>0.00208689576712361</v>
      </c>
      <c r="O51" s="33" t="n">
        <v>0.00160643340517574</v>
      </c>
      <c r="P51" s="33" t="n">
        <v>0.00207537756386762</v>
      </c>
      <c r="Q51" s="33" t="n">
        <v>0.00167401343923974</v>
      </c>
      <c r="R51" s="33" t="n">
        <v>0.00146859137683494</v>
      </c>
      <c r="S51" s="33" t="n">
        <v>0.00226336933124249</v>
      </c>
      <c r="T51" s="33" t="n">
        <v>0.00212874458845</v>
      </c>
      <c r="U51" s="33" t="n">
        <v>0.00271914954606879</v>
      </c>
      <c r="V51" s="33" t="n">
        <v>0.00115424599456693</v>
      </c>
      <c r="W51" s="33" t="n">
        <v>0.00376388145896491</v>
      </c>
      <c r="X51" s="33" t="n">
        <v>0.00124328057542204</v>
      </c>
      <c r="Y51" s="33" t="n">
        <v>0.00226215996026271</v>
      </c>
      <c r="Z51" s="33" t="n">
        <v>0.00329630345766051</v>
      </c>
      <c r="AA51" s="33" t="n">
        <v>0.00138337948344559</v>
      </c>
      <c r="AB51" s="33" t="n">
        <v>0.00253405853026338</v>
      </c>
      <c r="AC51" s="33" t="n">
        <v>0.00190757998800171</v>
      </c>
      <c r="AD51" s="33" t="n">
        <v>0.00230873499309144</v>
      </c>
      <c r="AE51" s="33" t="n">
        <v>0.00192084405267587</v>
      </c>
      <c r="AF51" s="33" t="n">
        <v>0.00143860723185767</v>
      </c>
      <c r="AG51" s="33" t="n">
        <v>0.0019332698345171</v>
      </c>
      <c r="AH51" s="33" t="n">
        <v>0.00200686881381343</v>
      </c>
      <c r="AI51" s="33" t="n">
        <v>0.00253967699712356</v>
      </c>
      <c r="AJ51" s="33" t="n">
        <v>0.00247941900861634</v>
      </c>
      <c r="AK51" s="33" t="n">
        <v>0.00164026684007142</v>
      </c>
      <c r="AL51" s="33" t="n">
        <v>0.00130730945720881</v>
      </c>
      <c r="AM51" s="33" t="n">
        <v>0.00116424753659395</v>
      </c>
      <c r="AN51" s="33" t="n">
        <v>0.00145411390601086</v>
      </c>
      <c r="AO51" s="33" t="n">
        <v>0.00106636007172657</v>
      </c>
      <c r="AP51" s="33" t="n">
        <v>0.00169093924001072</v>
      </c>
      <c r="AQ51" s="33" t="n">
        <v>0.000956339562071294</v>
      </c>
      <c r="AR51" s="33" t="n">
        <v>0.00161146122677034</v>
      </c>
      <c r="AS51" s="33" t="n">
        <v>0.00106457811941568</v>
      </c>
      <c r="AT51" s="33" t="n">
        <v>0.00241369726710272</v>
      </c>
      <c r="AU51" s="33" t="n">
        <v>0.00158259940631154</v>
      </c>
      <c r="AV51" s="33" t="n">
        <v>0.00299963839064128</v>
      </c>
      <c r="AW51" s="33" t="n">
        <v>1.00156751707659</v>
      </c>
      <c r="AX51" s="33" t="n">
        <v>0.00340504678490604</v>
      </c>
      <c r="AY51" s="33" t="n">
        <v>0.00177357131925642</v>
      </c>
      <c r="AZ51" s="33" t="n">
        <v>0.000862394489386388</v>
      </c>
      <c r="BA51" s="33" t="n">
        <v>0.00204233702386765</v>
      </c>
      <c r="BB51" s="33" t="n">
        <v>0.00319142662706241</v>
      </c>
      <c r="BC51" s="33" t="n">
        <v>0.00225865608310217</v>
      </c>
      <c r="BD51" s="33" t="n">
        <v>0.00264510867040021</v>
      </c>
      <c r="BE51" s="33" t="n">
        <v>0.00190153636449876</v>
      </c>
      <c r="BF51" s="33" t="n">
        <v>0.000167807139231716</v>
      </c>
      <c r="BG51" s="33" t="n">
        <v>0.00241439394753642</v>
      </c>
      <c r="BH51" s="33" t="n">
        <v>0.00249829230724159</v>
      </c>
      <c r="BI51" s="33" t="n">
        <v>0.00397587586645844</v>
      </c>
      <c r="BJ51" s="33" t="n">
        <v>0.00127704732725029</v>
      </c>
      <c r="BK51" s="33" t="n">
        <v>0.0012021432510547</v>
      </c>
      <c r="BL51" s="33" t="n">
        <v>0.000735660930906679</v>
      </c>
      <c r="BM51" s="33" t="n">
        <v>0.00124200268090484</v>
      </c>
      <c r="BN51" s="33" t="n">
        <v>0.00063117681217008</v>
      </c>
      <c r="BO51" s="33" t="n">
        <v>0.00742015531986629</v>
      </c>
      <c r="BP51" s="33" t="n">
        <v>0.00220698958088571</v>
      </c>
      <c r="BQ51" s="33" t="n">
        <v>0.000539586925097992</v>
      </c>
      <c r="BR51" s="33" t="n">
        <v>0.00181405827007687</v>
      </c>
      <c r="BS51" s="33" t="n">
        <v>0.0223803973344406</v>
      </c>
      <c r="BT51" s="33" t="n">
        <v>0</v>
      </c>
    </row>
    <row r="52" customFormat="false" ht="11.25" hidden="false" customHeight="true" outlineLevel="0" collapsed="false">
      <c r="B52" s="24" t="s">
        <v>155</v>
      </c>
      <c r="C52" s="25" t="s">
        <v>156</v>
      </c>
      <c r="D52" s="24" t="n">
        <v>46</v>
      </c>
      <c r="E52" s="34" t="n">
        <v>0.0111321500704006</v>
      </c>
      <c r="F52" s="34" t="n">
        <v>0.00829286371029732</v>
      </c>
      <c r="G52" s="34" t="n">
        <v>0.0125448440903351</v>
      </c>
      <c r="H52" s="34" t="n">
        <v>0.0118911449630368</v>
      </c>
      <c r="I52" s="34" t="n">
        <v>0.0362554272537921</v>
      </c>
      <c r="J52" s="34" t="n">
        <v>0.0343983782847413</v>
      </c>
      <c r="K52" s="34" t="n">
        <v>0.043992251848735</v>
      </c>
      <c r="L52" s="34" t="n">
        <v>0.0383415352712131</v>
      </c>
      <c r="M52" s="34" t="n">
        <v>0.0533409124461021</v>
      </c>
      <c r="N52" s="34" t="n">
        <v>0.0323494980980334</v>
      </c>
      <c r="O52" s="34" t="n">
        <v>0.0432636105826134</v>
      </c>
      <c r="P52" s="34" t="n">
        <v>0.0168841524843393</v>
      </c>
      <c r="Q52" s="34" t="n">
        <v>0.0183928415255755</v>
      </c>
      <c r="R52" s="34" t="n">
        <v>0.0144756465030853</v>
      </c>
      <c r="S52" s="34" t="n">
        <v>0.0228540385428401</v>
      </c>
      <c r="T52" s="34" t="n">
        <v>0.0268090390515686</v>
      </c>
      <c r="U52" s="34" t="n">
        <v>0.0446271878026065</v>
      </c>
      <c r="V52" s="34" t="n">
        <v>0.0178339776062292</v>
      </c>
      <c r="W52" s="34" t="n">
        <v>0.0204238446067674</v>
      </c>
      <c r="X52" s="34" t="n">
        <v>0.0285484069479883</v>
      </c>
      <c r="Y52" s="34" t="n">
        <v>0.0211395407610749</v>
      </c>
      <c r="Z52" s="34" t="n">
        <v>0.0284666827524276</v>
      </c>
      <c r="AA52" s="34" t="n">
        <v>0.0226837371833394</v>
      </c>
      <c r="AB52" s="34" t="n">
        <v>0.0266661397055839</v>
      </c>
      <c r="AC52" s="34" t="n">
        <v>0.0198279378319581</v>
      </c>
      <c r="AD52" s="34" t="n">
        <v>0.0213331596812317</v>
      </c>
      <c r="AE52" s="34" t="n">
        <v>0.047530225962849</v>
      </c>
      <c r="AF52" s="34" t="n">
        <v>0.0172890854729298</v>
      </c>
      <c r="AG52" s="34" t="n">
        <v>0.0334983568275274</v>
      </c>
      <c r="AH52" s="34" t="n">
        <v>0.0164389512915155</v>
      </c>
      <c r="AI52" s="34" t="n">
        <v>0.0303553311648369</v>
      </c>
      <c r="AJ52" s="34" t="n">
        <v>0.024267092335011</v>
      </c>
      <c r="AK52" s="34" t="n">
        <v>0.0342483675579502</v>
      </c>
      <c r="AL52" s="34" t="n">
        <v>0.0196240153134626</v>
      </c>
      <c r="AM52" s="34" t="n">
        <v>0.0163606159681107</v>
      </c>
      <c r="AN52" s="34" t="n">
        <v>0.0189801992957651</v>
      </c>
      <c r="AO52" s="34" t="n">
        <v>0.0107699204470963</v>
      </c>
      <c r="AP52" s="34" t="n">
        <v>0.00741622116124979</v>
      </c>
      <c r="AQ52" s="34" t="n">
        <v>0.00474659299275226</v>
      </c>
      <c r="AR52" s="34" t="n">
        <v>0.00973952190248556</v>
      </c>
      <c r="AS52" s="34" t="n">
        <v>0.00949987144351707</v>
      </c>
      <c r="AT52" s="34" t="n">
        <v>0.0259694060897601</v>
      </c>
      <c r="AU52" s="34" t="n">
        <v>0.0371293669409621</v>
      </c>
      <c r="AV52" s="34" t="n">
        <v>0.142752011033423</v>
      </c>
      <c r="AW52" s="34" t="n">
        <v>0.156230334880584</v>
      </c>
      <c r="AX52" s="34" t="n">
        <v>1.0478785065414</v>
      </c>
      <c r="AY52" s="34" t="n">
        <v>0.00832398944335354</v>
      </c>
      <c r="AZ52" s="34" t="n">
        <v>0.0126527014370171</v>
      </c>
      <c r="BA52" s="34" t="n">
        <v>0.0192500569993546</v>
      </c>
      <c r="BB52" s="34" t="n">
        <v>0.013380104661588</v>
      </c>
      <c r="BC52" s="34" t="n">
        <v>0.0155770346792513</v>
      </c>
      <c r="BD52" s="34" t="n">
        <v>0.00531195999831493</v>
      </c>
      <c r="BE52" s="34" t="n">
        <v>0.00848116085279708</v>
      </c>
      <c r="BF52" s="34" t="n">
        <v>0.0010783580753835</v>
      </c>
      <c r="BG52" s="34" t="n">
        <v>0.00695643945013939</v>
      </c>
      <c r="BH52" s="34" t="n">
        <v>0.00766012826805005</v>
      </c>
      <c r="BI52" s="34" t="n">
        <v>0.010499023193844</v>
      </c>
      <c r="BJ52" s="34" t="n">
        <v>0.00827844301648412</v>
      </c>
      <c r="BK52" s="34" t="n">
        <v>0.00720970423063288</v>
      </c>
      <c r="BL52" s="34" t="n">
        <v>0.00463056524370271</v>
      </c>
      <c r="BM52" s="34" t="n">
        <v>0.00670302873375012</v>
      </c>
      <c r="BN52" s="34" t="n">
        <v>0.00252978256654974</v>
      </c>
      <c r="BO52" s="34" t="n">
        <v>0.00805626956481025</v>
      </c>
      <c r="BP52" s="34" t="n">
        <v>0.00656138091777295</v>
      </c>
      <c r="BQ52" s="34" t="n">
        <v>0.00446194291299612</v>
      </c>
      <c r="BR52" s="34" t="n">
        <v>0.00625153170227005</v>
      </c>
      <c r="BS52" s="34" t="n">
        <v>0.0184041820926297</v>
      </c>
      <c r="BT52" s="34" t="n">
        <v>0</v>
      </c>
    </row>
    <row r="53" customFormat="false" ht="11.25" hidden="false" customHeight="true" outlineLevel="0" collapsed="false">
      <c r="B53" s="19" t="s">
        <v>157</v>
      </c>
      <c r="C53" s="20" t="s">
        <v>158</v>
      </c>
      <c r="D53" s="19" t="n">
        <v>47</v>
      </c>
      <c r="E53" s="33" t="n">
        <v>0.000488996024167477</v>
      </c>
      <c r="F53" s="33" t="n">
        <v>0.000546056174208525</v>
      </c>
      <c r="G53" s="33" t="n">
        <v>0.00031784417660829</v>
      </c>
      <c r="H53" s="33" t="n">
        <v>0.00104241116196844</v>
      </c>
      <c r="I53" s="33" t="n">
        <v>0.00186874276679338</v>
      </c>
      <c r="J53" s="33" t="n">
        <v>0.00117593573636268</v>
      </c>
      <c r="K53" s="33" t="n">
        <v>0.00155812366939789</v>
      </c>
      <c r="L53" s="33" t="n">
        <v>0.00265814168129029</v>
      </c>
      <c r="M53" s="33" t="n">
        <v>0.00122239118331794</v>
      </c>
      <c r="N53" s="33" t="n">
        <v>0.00195797814243637</v>
      </c>
      <c r="O53" s="33" t="n">
        <v>0.00145405270175191</v>
      </c>
      <c r="P53" s="33" t="n">
        <v>0.00229550175000864</v>
      </c>
      <c r="Q53" s="33" t="n">
        <v>0.00144232745247662</v>
      </c>
      <c r="R53" s="33" t="n">
        <v>0.00130815834821305</v>
      </c>
      <c r="S53" s="33" t="n">
        <v>0.00194609209112461</v>
      </c>
      <c r="T53" s="33" t="n">
        <v>0.00137780078206031</v>
      </c>
      <c r="U53" s="33" t="n">
        <v>0.00239425939827473</v>
      </c>
      <c r="V53" s="33" t="n">
        <v>0.00102393944016241</v>
      </c>
      <c r="W53" s="33" t="n">
        <v>0.000980923300556506</v>
      </c>
      <c r="X53" s="33" t="n">
        <v>0.00111253644610651</v>
      </c>
      <c r="Y53" s="33" t="n">
        <v>0.00146541580797445</v>
      </c>
      <c r="Z53" s="33" t="n">
        <v>0.00241697505223083</v>
      </c>
      <c r="AA53" s="33" t="n">
        <v>0.00140035790939376</v>
      </c>
      <c r="AB53" s="33" t="n">
        <v>0.00311286309289885</v>
      </c>
      <c r="AC53" s="33" t="n">
        <v>0.00191529407306723</v>
      </c>
      <c r="AD53" s="33" t="n">
        <v>0.00195819353147236</v>
      </c>
      <c r="AE53" s="33" t="n">
        <v>0.00225491539183678</v>
      </c>
      <c r="AF53" s="33" t="n">
        <v>0.00146483799502903</v>
      </c>
      <c r="AG53" s="33" t="n">
        <v>0.00258060363006522</v>
      </c>
      <c r="AH53" s="33" t="n">
        <v>0.00166800028603755</v>
      </c>
      <c r="AI53" s="33" t="n">
        <v>0.00239264509683736</v>
      </c>
      <c r="AJ53" s="33" t="n">
        <v>0.0030733666217791</v>
      </c>
      <c r="AK53" s="33" t="n">
        <v>0.00140798702186418</v>
      </c>
      <c r="AL53" s="33" t="n">
        <v>0.00136877606044506</v>
      </c>
      <c r="AM53" s="33" t="n">
        <v>0.00140530815372374</v>
      </c>
      <c r="AN53" s="33" t="n">
        <v>0.00189008724373427</v>
      </c>
      <c r="AO53" s="33" t="n">
        <v>0.00119696936024932</v>
      </c>
      <c r="AP53" s="33" t="n">
        <v>0.000900106253690082</v>
      </c>
      <c r="AQ53" s="33" t="n">
        <v>0.000575824660004494</v>
      </c>
      <c r="AR53" s="33" t="n">
        <v>0.0017213663213074</v>
      </c>
      <c r="AS53" s="33" t="n">
        <v>0.00157486507339466</v>
      </c>
      <c r="AT53" s="33" t="n">
        <v>0.0023570845887132</v>
      </c>
      <c r="AU53" s="33" t="n">
        <v>0.00095157565121656</v>
      </c>
      <c r="AV53" s="33" t="n">
        <v>0.000736382017227065</v>
      </c>
      <c r="AW53" s="33" t="n">
        <v>0.00164198421580123</v>
      </c>
      <c r="AX53" s="33" t="n">
        <v>0.00158337192218959</v>
      </c>
      <c r="AY53" s="33" t="n">
        <v>1.00063690248146</v>
      </c>
      <c r="AZ53" s="33" t="n">
        <v>0.000733371075448725</v>
      </c>
      <c r="BA53" s="33" t="n">
        <v>0.0032431733113882</v>
      </c>
      <c r="BB53" s="33" t="n">
        <v>0.00324941102489952</v>
      </c>
      <c r="BC53" s="33" t="n">
        <v>0.00199334402543925</v>
      </c>
      <c r="BD53" s="33" t="n">
        <v>0.00249998927567911</v>
      </c>
      <c r="BE53" s="33" t="n">
        <v>0.00117231137387964</v>
      </c>
      <c r="BF53" s="33" t="n">
        <v>0.000136717096221622</v>
      </c>
      <c r="BG53" s="33" t="n">
        <v>0.00131670968950175</v>
      </c>
      <c r="BH53" s="33" t="n">
        <v>0.00271180570015196</v>
      </c>
      <c r="BI53" s="33" t="n">
        <v>0.00236851824921699</v>
      </c>
      <c r="BJ53" s="33" t="n">
        <v>0.00188176102991668</v>
      </c>
      <c r="BK53" s="33" t="n">
        <v>0.000866495930875925</v>
      </c>
      <c r="BL53" s="33" t="n">
        <v>0.000907884221355812</v>
      </c>
      <c r="BM53" s="33" t="n">
        <v>0.00195404223748306</v>
      </c>
      <c r="BN53" s="33" t="n">
        <v>0.000566730312344454</v>
      </c>
      <c r="BO53" s="33" t="n">
        <v>0.00199063273175678</v>
      </c>
      <c r="BP53" s="33" t="n">
        <v>0.00202294574855882</v>
      </c>
      <c r="BQ53" s="33" t="n">
        <v>0.000526601175151371</v>
      </c>
      <c r="BR53" s="33" t="n">
        <v>0.00245705944891918</v>
      </c>
      <c r="BS53" s="33" t="n">
        <v>0.0236926505758818</v>
      </c>
      <c r="BT53" s="33" t="n">
        <v>0</v>
      </c>
    </row>
    <row r="54" customFormat="false" ht="11.25" hidden="false" customHeight="true" outlineLevel="0" collapsed="false">
      <c r="B54" s="24" t="s">
        <v>159</v>
      </c>
      <c r="C54" s="25" t="s">
        <v>160</v>
      </c>
      <c r="D54" s="24" t="n">
        <v>48</v>
      </c>
      <c r="E54" s="34" t="n">
        <v>0.000744795229311196</v>
      </c>
      <c r="F54" s="34" t="n">
        <v>0.000773799624165742</v>
      </c>
      <c r="G54" s="34" t="n">
        <v>0.000453927787374696</v>
      </c>
      <c r="H54" s="34" t="n">
        <v>0.0015514673533752</v>
      </c>
      <c r="I54" s="34" t="n">
        <v>0.00262002068767382</v>
      </c>
      <c r="J54" s="34" t="n">
        <v>0.0012136368469087</v>
      </c>
      <c r="K54" s="34" t="n">
        <v>0.00212048701694297</v>
      </c>
      <c r="L54" s="34" t="n">
        <v>0.00235708906292877</v>
      </c>
      <c r="M54" s="34" t="n">
        <v>0.00144840843699097</v>
      </c>
      <c r="N54" s="34" t="n">
        <v>0.0022558461595057</v>
      </c>
      <c r="O54" s="34" t="n">
        <v>0.00207419869481436</v>
      </c>
      <c r="P54" s="34" t="n">
        <v>0.00183183601605707</v>
      </c>
      <c r="Q54" s="34" t="n">
        <v>0.00165251701095918</v>
      </c>
      <c r="R54" s="34" t="n">
        <v>0.00143057916426044</v>
      </c>
      <c r="S54" s="34" t="n">
        <v>0.00193911919003543</v>
      </c>
      <c r="T54" s="34" t="n">
        <v>0.00160135317102584</v>
      </c>
      <c r="U54" s="34" t="n">
        <v>0.00240064240524241</v>
      </c>
      <c r="V54" s="34" t="n">
        <v>0.00172431644299933</v>
      </c>
      <c r="W54" s="34" t="n">
        <v>0.00139564047238885</v>
      </c>
      <c r="X54" s="34" t="n">
        <v>0.00132881208520565</v>
      </c>
      <c r="Y54" s="34" t="n">
        <v>0.00214930891100351</v>
      </c>
      <c r="Z54" s="34" t="n">
        <v>0.00348101385591385</v>
      </c>
      <c r="AA54" s="34" t="n">
        <v>0.00169001345720528</v>
      </c>
      <c r="AB54" s="34" t="n">
        <v>0.0062751252928088</v>
      </c>
      <c r="AC54" s="34" t="n">
        <v>0.00200328880819704</v>
      </c>
      <c r="AD54" s="34" t="n">
        <v>0.00196960132415261</v>
      </c>
      <c r="AE54" s="34" t="n">
        <v>0.0020240312138593</v>
      </c>
      <c r="AF54" s="34" t="n">
        <v>0.00242359886835966</v>
      </c>
      <c r="AG54" s="34" t="n">
        <v>0.00225458934761704</v>
      </c>
      <c r="AH54" s="34" t="n">
        <v>0.00141394708272823</v>
      </c>
      <c r="AI54" s="34" t="n">
        <v>0.00196384897671589</v>
      </c>
      <c r="AJ54" s="34" t="n">
        <v>0.00289587595270738</v>
      </c>
      <c r="AK54" s="34" t="n">
        <v>0.00357312958837879</v>
      </c>
      <c r="AL54" s="34" t="n">
        <v>0.00134888904048363</v>
      </c>
      <c r="AM54" s="34" t="n">
        <v>0.0011046068061488</v>
      </c>
      <c r="AN54" s="34" t="n">
        <v>0.00138434173847345</v>
      </c>
      <c r="AO54" s="34" t="n">
        <v>0.00160021408373702</v>
      </c>
      <c r="AP54" s="34" t="n">
        <v>0.00183125446736419</v>
      </c>
      <c r="AQ54" s="34" t="n">
        <v>0.000907321830867222</v>
      </c>
      <c r="AR54" s="34" t="n">
        <v>0.000915945886608351</v>
      </c>
      <c r="AS54" s="34" t="n">
        <v>0.00195745127342191</v>
      </c>
      <c r="AT54" s="34" t="n">
        <v>0.00227568159283231</v>
      </c>
      <c r="AU54" s="34" t="n">
        <v>0.00113512462367823</v>
      </c>
      <c r="AV54" s="34" t="n">
        <v>0.00123290975672575</v>
      </c>
      <c r="AW54" s="34" t="n">
        <v>0.0146738959755298</v>
      </c>
      <c r="AX54" s="34" t="n">
        <v>0.00186818317426891</v>
      </c>
      <c r="AY54" s="34" t="n">
        <v>0.00936896215088159</v>
      </c>
      <c r="AZ54" s="34" t="n">
        <v>1.0010552632944</v>
      </c>
      <c r="BA54" s="34" t="n">
        <v>0.00235255795616469</v>
      </c>
      <c r="BB54" s="34" t="n">
        <v>0.0195258796200646</v>
      </c>
      <c r="BC54" s="34" t="n">
        <v>0.00415979599402542</v>
      </c>
      <c r="BD54" s="34" t="n">
        <v>0.00180763157662144</v>
      </c>
      <c r="BE54" s="34" t="n">
        <v>0.00478262929985571</v>
      </c>
      <c r="BF54" s="34" t="n">
        <v>0.000387185996501951</v>
      </c>
      <c r="BG54" s="34" t="n">
        <v>0.0074367477265655</v>
      </c>
      <c r="BH54" s="34" t="n">
        <v>0.00136952017609552</v>
      </c>
      <c r="BI54" s="34" t="n">
        <v>0.00830933310539666</v>
      </c>
      <c r="BJ54" s="34" t="n">
        <v>0.00129428934603139</v>
      </c>
      <c r="BK54" s="34" t="n">
        <v>0.00541998790619101</v>
      </c>
      <c r="BL54" s="34" t="n">
        <v>0.000964815533273873</v>
      </c>
      <c r="BM54" s="34" t="n">
        <v>0.0112923930118205</v>
      </c>
      <c r="BN54" s="34" t="n">
        <v>0.00496226065365807</v>
      </c>
      <c r="BO54" s="34" t="n">
        <v>0.00342111488928814</v>
      </c>
      <c r="BP54" s="34" t="n">
        <v>0.0247344654802543</v>
      </c>
      <c r="BQ54" s="34" t="n">
        <v>0.0129637590755447</v>
      </c>
      <c r="BR54" s="34" t="n">
        <v>0.002860759832261</v>
      </c>
      <c r="BS54" s="34" t="n">
        <v>0.0616492931761954</v>
      </c>
      <c r="BT54" s="34" t="n">
        <v>0</v>
      </c>
    </row>
    <row r="55" customFormat="false" ht="11.25" hidden="false" customHeight="true" outlineLevel="0" collapsed="false">
      <c r="B55" s="19" t="s">
        <v>161</v>
      </c>
      <c r="C55" s="20" t="s">
        <v>162</v>
      </c>
      <c r="D55" s="19" t="n">
        <v>49</v>
      </c>
      <c r="E55" s="33" t="n">
        <v>0.000325993906568035</v>
      </c>
      <c r="F55" s="33" t="n">
        <v>0.000369264403093096</v>
      </c>
      <c r="G55" s="33" t="n">
        <v>0.000202742236835104</v>
      </c>
      <c r="H55" s="33" t="n">
        <v>0.000483800323599209</v>
      </c>
      <c r="I55" s="33" t="n">
        <v>0.000486967364164116</v>
      </c>
      <c r="J55" s="33" t="n">
        <v>0.000334790988385164</v>
      </c>
      <c r="K55" s="33" t="n">
        <v>0.000510186637690112</v>
      </c>
      <c r="L55" s="33" t="n">
        <v>0.00131177624331685</v>
      </c>
      <c r="M55" s="33" t="n">
        <v>0.00063674255913736</v>
      </c>
      <c r="N55" s="33" t="n">
        <v>0.00105608656756795</v>
      </c>
      <c r="O55" s="33" t="n">
        <v>0.00205758160895769</v>
      </c>
      <c r="P55" s="33" t="n">
        <v>0.00106457732982431</v>
      </c>
      <c r="Q55" s="33" t="n">
        <v>0.000739682335444997</v>
      </c>
      <c r="R55" s="33" t="n">
        <v>0.000722546531305495</v>
      </c>
      <c r="S55" s="33" t="n">
        <v>0.00127372221848831</v>
      </c>
      <c r="T55" s="33" t="n">
        <v>0.000687891843941256</v>
      </c>
      <c r="U55" s="33" t="n">
        <v>0.00121223973986848</v>
      </c>
      <c r="V55" s="33" t="n">
        <v>0.00156527814221005</v>
      </c>
      <c r="W55" s="33" t="n">
        <v>0.000387837781445487</v>
      </c>
      <c r="X55" s="33" t="n">
        <v>0.000595848381506308</v>
      </c>
      <c r="Y55" s="33" t="n">
        <v>0.00139457900904969</v>
      </c>
      <c r="Z55" s="33" t="n">
        <v>0.00103025533858954</v>
      </c>
      <c r="AA55" s="33" t="n">
        <v>0.00111997018611811</v>
      </c>
      <c r="AB55" s="33" t="n">
        <v>0.00146799009302502</v>
      </c>
      <c r="AC55" s="33" t="n">
        <v>0.000986209273772601</v>
      </c>
      <c r="AD55" s="33" t="n">
        <v>0.000863089533385923</v>
      </c>
      <c r="AE55" s="33" t="n">
        <v>0.000751894540115193</v>
      </c>
      <c r="AF55" s="33" t="n">
        <v>0.000553196743382152</v>
      </c>
      <c r="AG55" s="33" t="n">
        <v>0.000888331535807536</v>
      </c>
      <c r="AH55" s="33" t="n">
        <v>0.000812980380135073</v>
      </c>
      <c r="AI55" s="33" t="n">
        <v>0.000936387521056879</v>
      </c>
      <c r="AJ55" s="33" t="n">
        <v>0.00100498130742142</v>
      </c>
      <c r="AK55" s="33" t="n">
        <v>0.000916968257555768</v>
      </c>
      <c r="AL55" s="33" t="n">
        <v>0.000466010811576358</v>
      </c>
      <c r="AM55" s="33" t="n">
        <v>0.000500257029194747</v>
      </c>
      <c r="AN55" s="33" t="n">
        <v>0.000683584544084873</v>
      </c>
      <c r="AO55" s="33" t="n">
        <v>0.000494739947803852</v>
      </c>
      <c r="AP55" s="33" t="n">
        <v>0.000747157386318067</v>
      </c>
      <c r="AQ55" s="33" t="n">
        <v>0.000386051999799745</v>
      </c>
      <c r="AR55" s="33" t="n">
        <v>0.00039185388629946</v>
      </c>
      <c r="AS55" s="33" t="n">
        <v>0.000615263895795301</v>
      </c>
      <c r="AT55" s="33" t="n">
        <v>0.00118526002989254</v>
      </c>
      <c r="AU55" s="33" t="n">
        <v>0.000412592041517854</v>
      </c>
      <c r="AV55" s="33" t="n">
        <v>0.000417843277816454</v>
      </c>
      <c r="AW55" s="33" t="n">
        <v>0.00050683914221196</v>
      </c>
      <c r="AX55" s="33" t="n">
        <v>0.000615688989360947</v>
      </c>
      <c r="AY55" s="33" t="n">
        <v>0.00222913174997669</v>
      </c>
      <c r="AZ55" s="33" t="n">
        <v>0.000574017180610554</v>
      </c>
      <c r="BA55" s="33" t="n">
        <v>1.00373605600223</v>
      </c>
      <c r="BB55" s="33" t="n">
        <v>0.00196790074574955</v>
      </c>
      <c r="BC55" s="33" t="n">
        <v>0.00175282582450608</v>
      </c>
      <c r="BD55" s="33" t="n">
        <v>0.000690675228412835</v>
      </c>
      <c r="BE55" s="33" t="n">
        <v>0.0022727859619896</v>
      </c>
      <c r="BF55" s="33" t="n">
        <v>0.000196784659147283</v>
      </c>
      <c r="BG55" s="33" t="n">
        <v>0.00197183485021998</v>
      </c>
      <c r="BH55" s="33" t="n">
        <v>0.00205628206585613</v>
      </c>
      <c r="BI55" s="33" t="n">
        <v>0.0208025858559959</v>
      </c>
      <c r="BJ55" s="33" t="n">
        <v>0.00100572625179548</v>
      </c>
      <c r="BK55" s="33" t="n">
        <v>0.000641936894524746</v>
      </c>
      <c r="BL55" s="33" t="n">
        <v>0.00039442815138525</v>
      </c>
      <c r="BM55" s="33" t="n">
        <v>0.00126443580759207</v>
      </c>
      <c r="BN55" s="33" t="n">
        <v>0.00621066035106686</v>
      </c>
      <c r="BO55" s="33" t="n">
        <v>0.0103432380414154</v>
      </c>
      <c r="BP55" s="33" t="n">
        <v>0.000577648193903672</v>
      </c>
      <c r="BQ55" s="33" t="n">
        <v>0.000585886585888276</v>
      </c>
      <c r="BR55" s="33" t="n">
        <v>0.00142579013545357</v>
      </c>
      <c r="BS55" s="33" t="n">
        <v>0.00149485438848426</v>
      </c>
      <c r="BT55" s="33" t="n">
        <v>0</v>
      </c>
    </row>
    <row r="56" customFormat="false" ht="11.25" hidden="false" customHeight="true" outlineLevel="0" collapsed="false">
      <c r="B56" s="24" t="s">
        <v>163</v>
      </c>
      <c r="C56" s="25" t="s">
        <v>164</v>
      </c>
      <c r="D56" s="24" t="n">
        <v>50</v>
      </c>
      <c r="E56" s="34" t="n">
        <v>0.00129069260206831</v>
      </c>
      <c r="F56" s="34" t="n">
        <v>0.00256524851359505</v>
      </c>
      <c r="G56" s="34" t="n">
        <v>0.00157188846077885</v>
      </c>
      <c r="H56" s="34" t="n">
        <v>0.00286168572390937</v>
      </c>
      <c r="I56" s="34" t="n">
        <v>0.00311336387806496</v>
      </c>
      <c r="J56" s="34" t="n">
        <v>0.0018012120827954</v>
      </c>
      <c r="K56" s="34" t="n">
        <v>0.00266032058199567</v>
      </c>
      <c r="L56" s="34" t="n">
        <v>0.00950716371671947</v>
      </c>
      <c r="M56" s="34" t="n">
        <v>0.00391808334113702</v>
      </c>
      <c r="N56" s="34" t="n">
        <v>0.00800649555121482</v>
      </c>
      <c r="O56" s="34" t="n">
        <v>0.0230884204268791</v>
      </c>
      <c r="P56" s="34" t="n">
        <v>0.008634273764717</v>
      </c>
      <c r="Q56" s="34" t="n">
        <v>0.00413735899149397</v>
      </c>
      <c r="R56" s="34" t="n">
        <v>0.00531015799430444</v>
      </c>
      <c r="S56" s="34" t="n">
        <v>0.0104566569777941</v>
      </c>
      <c r="T56" s="34" t="n">
        <v>0.00413996909727576</v>
      </c>
      <c r="U56" s="34" t="n">
        <v>0.00773409548463315</v>
      </c>
      <c r="V56" s="34" t="n">
        <v>0.00339313379930216</v>
      </c>
      <c r="W56" s="34" t="n">
        <v>0.00236514570516089</v>
      </c>
      <c r="X56" s="34" t="n">
        <v>0.00356612007761092</v>
      </c>
      <c r="Y56" s="34" t="n">
        <v>0.00309126222392368</v>
      </c>
      <c r="Z56" s="34" t="n">
        <v>0.00632481389044266</v>
      </c>
      <c r="AA56" s="34" t="n">
        <v>0.0100857679099572</v>
      </c>
      <c r="AB56" s="34" t="n">
        <v>0.012962819412718</v>
      </c>
      <c r="AC56" s="34" t="n">
        <v>0.00563434367931971</v>
      </c>
      <c r="AD56" s="34" t="n">
        <v>0.00541913661574195</v>
      </c>
      <c r="AE56" s="34" t="n">
        <v>0.0044621582731225</v>
      </c>
      <c r="AF56" s="34" t="n">
        <v>0.00294225300999487</v>
      </c>
      <c r="AG56" s="34" t="n">
        <v>0.00602631254185773</v>
      </c>
      <c r="AH56" s="34" t="n">
        <v>0.00693787212011269</v>
      </c>
      <c r="AI56" s="34" t="n">
        <v>0.00666351794935551</v>
      </c>
      <c r="AJ56" s="34" t="n">
        <v>0.00664994256647631</v>
      </c>
      <c r="AK56" s="34" t="n">
        <v>0.00894793711583835</v>
      </c>
      <c r="AL56" s="34" t="n">
        <v>0.00292853122283995</v>
      </c>
      <c r="AM56" s="34" t="n">
        <v>0.00388490169363321</v>
      </c>
      <c r="AN56" s="34" t="n">
        <v>0.00485945095089728</v>
      </c>
      <c r="AO56" s="34" t="n">
        <v>0.0025309033994755</v>
      </c>
      <c r="AP56" s="34" t="n">
        <v>0.00438180987555707</v>
      </c>
      <c r="AQ56" s="34" t="n">
        <v>0.00226967761829472</v>
      </c>
      <c r="AR56" s="34" t="n">
        <v>0.00273601924835752</v>
      </c>
      <c r="AS56" s="34" t="n">
        <v>0.00580937344942025</v>
      </c>
      <c r="AT56" s="34" t="n">
        <v>0.0077782756485496</v>
      </c>
      <c r="AU56" s="34" t="n">
        <v>0.00260787943171511</v>
      </c>
      <c r="AV56" s="34" t="n">
        <v>0.00258342407053078</v>
      </c>
      <c r="AW56" s="34" t="n">
        <v>0.00362048079282996</v>
      </c>
      <c r="AX56" s="34" t="n">
        <v>0.00481521344852157</v>
      </c>
      <c r="AY56" s="34" t="n">
        <v>0.00590503940111314</v>
      </c>
      <c r="AZ56" s="34" t="n">
        <v>0.00510263746852242</v>
      </c>
      <c r="BA56" s="34" t="n">
        <v>0.0161224150816085</v>
      </c>
      <c r="BB56" s="34" t="n">
        <v>1.15520965425962</v>
      </c>
      <c r="BC56" s="34" t="n">
        <v>0.0418484530939468</v>
      </c>
      <c r="BD56" s="34" t="n">
        <v>0.00608261034685783</v>
      </c>
      <c r="BE56" s="34" t="n">
        <v>0.00617751111393163</v>
      </c>
      <c r="BF56" s="34" t="n">
        <v>0.000774718884908198</v>
      </c>
      <c r="BG56" s="34" t="n">
        <v>0.00776064496990598</v>
      </c>
      <c r="BH56" s="34" t="n">
        <v>0.00378673921809788</v>
      </c>
      <c r="BI56" s="34" t="n">
        <v>0.280475233992131</v>
      </c>
      <c r="BJ56" s="34" t="n">
        <v>0.00699886936083648</v>
      </c>
      <c r="BK56" s="34" t="n">
        <v>0.00369514800480167</v>
      </c>
      <c r="BL56" s="34" t="n">
        <v>0.00287545044000369</v>
      </c>
      <c r="BM56" s="34" t="n">
        <v>0.00239342228000376</v>
      </c>
      <c r="BN56" s="34" t="n">
        <v>0.00117619452099026</v>
      </c>
      <c r="BO56" s="34" t="n">
        <v>0.00772683409394003</v>
      </c>
      <c r="BP56" s="34" t="n">
        <v>0.00311562954966151</v>
      </c>
      <c r="BQ56" s="34" t="n">
        <v>0.00148496538868904</v>
      </c>
      <c r="BR56" s="34" t="n">
        <v>0.0167064090603984</v>
      </c>
      <c r="BS56" s="34" t="n">
        <v>0.00565820092096466</v>
      </c>
      <c r="BT56" s="34" t="n">
        <v>0</v>
      </c>
    </row>
    <row r="57" customFormat="false" ht="11.25" hidden="false" customHeight="true" outlineLevel="0" collapsed="false">
      <c r="B57" s="19" t="s">
        <v>165</v>
      </c>
      <c r="C57" s="20" t="s">
        <v>166</v>
      </c>
      <c r="D57" s="19" t="n">
        <v>51</v>
      </c>
      <c r="E57" s="33" t="n">
        <v>0.00238383283692786</v>
      </c>
      <c r="F57" s="33" t="n">
        <v>0.00295491898889689</v>
      </c>
      <c r="G57" s="33" t="n">
        <v>0.00159348416217531</v>
      </c>
      <c r="H57" s="33" t="n">
        <v>0.00537171434804293</v>
      </c>
      <c r="I57" s="33" t="n">
        <v>0.00681628826681924</v>
      </c>
      <c r="J57" s="33" t="n">
        <v>0.00420903963655663</v>
      </c>
      <c r="K57" s="33" t="n">
        <v>0.00630297389616655</v>
      </c>
      <c r="L57" s="33" t="n">
        <v>0.0132956615300982</v>
      </c>
      <c r="M57" s="33" t="n">
        <v>0.00788782307467081</v>
      </c>
      <c r="N57" s="33" t="n">
        <v>0.0117674617265393</v>
      </c>
      <c r="O57" s="33" t="n">
        <v>0.0118140548655256</v>
      </c>
      <c r="P57" s="33" t="n">
        <v>0.00781565039113549</v>
      </c>
      <c r="Q57" s="33" t="n">
        <v>0.00993300986282213</v>
      </c>
      <c r="R57" s="33" t="n">
        <v>0.0140084347580502</v>
      </c>
      <c r="S57" s="33" t="n">
        <v>0.0122370118205949</v>
      </c>
      <c r="T57" s="33" t="n">
        <v>0.0093738402738398</v>
      </c>
      <c r="U57" s="33" t="n">
        <v>0.0138700337595625</v>
      </c>
      <c r="V57" s="33" t="n">
        <v>0.016692332314757</v>
      </c>
      <c r="W57" s="33" t="n">
        <v>0.00487729205250575</v>
      </c>
      <c r="X57" s="33" t="n">
        <v>0.0068212835042737</v>
      </c>
      <c r="Y57" s="33" t="n">
        <v>0.00675769317198358</v>
      </c>
      <c r="Z57" s="33" t="n">
        <v>0.0105127604841193</v>
      </c>
      <c r="AA57" s="33" t="n">
        <v>0.00644643053800932</v>
      </c>
      <c r="AB57" s="33" t="n">
        <v>0.0118741174835519</v>
      </c>
      <c r="AC57" s="33" t="n">
        <v>0.00987806409760582</v>
      </c>
      <c r="AD57" s="33" t="n">
        <v>0.0119654337811435</v>
      </c>
      <c r="AE57" s="33" t="n">
        <v>0.00825442048886392</v>
      </c>
      <c r="AF57" s="33" t="n">
        <v>0.00604688207408544</v>
      </c>
      <c r="AG57" s="33" t="n">
        <v>0.0111596966272446</v>
      </c>
      <c r="AH57" s="33" t="n">
        <v>0.0120991986158696</v>
      </c>
      <c r="AI57" s="33" t="n">
        <v>0.0126647687813664</v>
      </c>
      <c r="AJ57" s="33" t="n">
        <v>0.0123131204489028</v>
      </c>
      <c r="AK57" s="33" t="n">
        <v>0.0139447519789976</v>
      </c>
      <c r="AL57" s="33" t="n">
        <v>0.0157010710136174</v>
      </c>
      <c r="AM57" s="33" t="n">
        <v>0.00677122887950942</v>
      </c>
      <c r="AN57" s="33" t="n">
        <v>0.0110188174148637</v>
      </c>
      <c r="AO57" s="33" t="n">
        <v>0.00491489367264185</v>
      </c>
      <c r="AP57" s="33" t="n">
        <v>0.00372821047053865</v>
      </c>
      <c r="AQ57" s="33" t="n">
        <v>0.00457660215356503</v>
      </c>
      <c r="AR57" s="33" t="n">
        <v>0.00545890622379772</v>
      </c>
      <c r="AS57" s="33" t="n">
        <v>0.00990580437330013</v>
      </c>
      <c r="AT57" s="33" t="n">
        <v>0.0107021288185307</v>
      </c>
      <c r="AU57" s="33" t="n">
        <v>0.00657025441883883</v>
      </c>
      <c r="AV57" s="33" t="n">
        <v>0.00480582794658316</v>
      </c>
      <c r="AW57" s="33" t="n">
        <v>0.00569558405760368</v>
      </c>
      <c r="AX57" s="33" t="n">
        <v>0.00921748645698718</v>
      </c>
      <c r="AY57" s="33" t="n">
        <v>0.0117341252784521</v>
      </c>
      <c r="AZ57" s="33" t="n">
        <v>0.006661909821622</v>
      </c>
      <c r="BA57" s="33" t="n">
        <v>0.0141437942489501</v>
      </c>
      <c r="BB57" s="33" t="n">
        <v>0.0157294130098201</v>
      </c>
      <c r="BC57" s="33" t="n">
        <v>1.10480562745577</v>
      </c>
      <c r="BD57" s="33" t="n">
        <v>0.0138948776729524</v>
      </c>
      <c r="BE57" s="33" t="n">
        <v>0.0143888237560473</v>
      </c>
      <c r="BF57" s="33" t="n">
        <v>0.00164010459191129</v>
      </c>
      <c r="BG57" s="33" t="n">
        <v>0.0146323495884592</v>
      </c>
      <c r="BH57" s="33" t="n">
        <v>0.0082965506304973</v>
      </c>
      <c r="BI57" s="33" t="n">
        <v>0.0303802068747362</v>
      </c>
      <c r="BJ57" s="33" t="n">
        <v>0.00511589977586635</v>
      </c>
      <c r="BK57" s="33" t="n">
        <v>0.00937273314044312</v>
      </c>
      <c r="BL57" s="33" t="n">
        <v>0.00864863717111618</v>
      </c>
      <c r="BM57" s="33" t="n">
        <v>0.00700377191364385</v>
      </c>
      <c r="BN57" s="33" t="n">
        <v>0.00359116186629279</v>
      </c>
      <c r="BO57" s="33" t="n">
        <v>0.0126609735763798</v>
      </c>
      <c r="BP57" s="33" t="n">
        <v>0.00464410012094647</v>
      </c>
      <c r="BQ57" s="33" t="n">
        <v>0.00567271115837928</v>
      </c>
      <c r="BR57" s="33" t="n">
        <v>0.010241414176184</v>
      </c>
      <c r="BS57" s="33" t="n">
        <v>0.0141762776386904</v>
      </c>
      <c r="BT57" s="33" t="n">
        <v>0</v>
      </c>
    </row>
    <row r="58" customFormat="false" ht="11.25" hidden="false" customHeight="true" outlineLevel="0" collapsed="false">
      <c r="B58" s="24" t="s">
        <v>167</v>
      </c>
      <c r="C58" s="25" t="s">
        <v>168</v>
      </c>
      <c r="D58" s="24" t="n">
        <v>52</v>
      </c>
      <c r="E58" s="34" t="n">
        <v>0.00430817141823607</v>
      </c>
      <c r="F58" s="34" t="n">
        <v>0.00537822738279482</v>
      </c>
      <c r="G58" s="34" t="n">
        <v>0.00281100320586367</v>
      </c>
      <c r="H58" s="34" t="n">
        <v>0.00758529498942746</v>
      </c>
      <c r="I58" s="34" t="n">
        <v>0.00762824807734983</v>
      </c>
      <c r="J58" s="34" t="n">
        <v>0.00851645313339832</v>
      </c>
      <c r="K58" s="34" t="n">
        <v>0.0106225103701457</v>
      </c>
      <c r="L58" s="34" t="n">
        <v>0.0223457630986056</v>
      </c>
      <c r="M58" s="34" t="n">
        <v>0.00988875875224599</v>
      </c>
      <c r="N58" s="34" t="n">
        <v>0.018565083053516</v>
      </c>
      <c r="O58" s="34" t="n">
        <v>0.019102765052188</v>
      </c>
      <c r="P58" s="34" t="n">
        <v>0.0168004220566386</v>
      </c>
      <c r="Q58" s="34" t="n">
        <v>0.0118788497813028</v>
      </c>
      <c r="R58" s="34" t="n">
        <v>0.0115434466657809</v>
      </c>
      <c r="S58" s="34" t="n">
        <v>0.0176676298644256</v>
      </c>
      <c r="T58" s="34" t="n">
        <v>0.0115996180180237</v>
      </c>
      <c r="U58" s="34" t="n">
        <v>0.0210363493150798</v>
      </c>
      <c r="V58" s="34" t="n">
        <v>0.0072748794451466</v>
      </c>
      <c r="W58" s="34" t="n">
        <v>0.00612696758351915</v>
      </c>
      <c r="X58" s="34" t="n">
        <v>0.00929179897931284</v>
      </c>
      <c r="Y58" s="34" t="n">
        <v>0.0120607123799466</v>
      </c>
      <c r="Z58" s="34" t="n">
        <v>0.0178238880000026</v>
      </c>
      <c r="AA58" s="34" t="n">
        <v>0.0125803780484537</v>
      </c>
      <c r="AB58" s="34" t="n">
        <v>0.0249920424894167</v>
      </c>
      <c r="AC58" s="34" t="n">
        <v>0.0151037616303293</v>
      </c>
      <c r="AD58" s="34" t="n">
        <v>0.0147320848677925</v>
      </c>
      <c r="AE58" s="34" t="n">
        <v>0.0147962143026642</v>
      </c>
      <c r="AF58" s="34" t="n">
        <v>0.00974945465178441</v>
      </c>
      <c r="AG58" s="34" t="n">
        <v>0.0156342472013483</v>
      </c>
      <c r="AH58" s="34" t="n">
        <v>0.0123515807795318</v>
      </c>
      <c r="AI58" s="34" t="n">
        <v>0.0191720890505435</v>
      </c>
      <c r="AJ58" s="34" t="n">
        <v>0.0180589984150417</v>
      </c>
      <c r="AK58" s="34" t="n">
        <v>0.0160571459744031</v>
      </c>
      <c r="AL58" s="34" t="n">
        <v>0.00870594844525615</v>
      </c>
      <c r="AM58" s="34" t="n">
        <v>0.00883733551127622</v>
      </c>
      <c r="AN58" s="34" t="n">
        <v>0.012319652654962</v>
      </c>
      <c r="AO58" s="34" t="n">
        <v>0.00749204970247663</v>
      </c>
      <c r="AP58" s="34" t="n">
        <v>0.0116140991378364</v>
      </c>
      <c r="AQ58" s="34" t="n">
        <v>0.0114034013533363</v>
      </c>
      <c r="AR58" s="34" t="n">
        <v>0.00684062612814675</v>
      </c>
      <c r="AS58" s="34" t="n">
        <v>0.00955728862408021</v>
      </c>
      <c r="AT58" s="34" t="n">
        <v>0.020491434735065</v>
      </c>
      <c r="AU58" s="34" t="n">
        <v>0.00936966247513988</v>
      </c>
      <c r="AV58" s="34" t="n">
        <v>0.00679970304913161</v>
      </c>
      <c r="AW58" s="34" t="n">
        <v>0.0321138960520328</v>
      </c>
      <c r="AX58" s="34" t="n">
        <v>0.0199260524431033</v>
      </c>
      <c r="AY58" s="34" t="n">
        <v>0.0102303980983893</v>
      </c>
      <c r="AZ58" s="34" t="n">
        <v>0.00763033621840367</v>
      </c>
      <c r="BA58" s="34" t="n">
        <v>0.0480054521105721</v>
      </c>
      <c r="BB58" s="34" t="n">
        <v>0.0553482880665333</v>
      </c>
      <c r="BC58" s="34" t="n">
        <v>0.0374254874463606</v>
      </c>
      <c r="BD58" s="34" t="n">
        <v>1.08804766521585</v>
      </c>
      <c r="BE58" s="34" t="n">
        <v>0.0399863914873337</v>
      </c>
      <c r="BF58" s="34" t="n">
        <v>0.00261998745554125</v>
      </c>
      <c r="BG58" s="34" t="n">
        <v>0.0237451672878342</v>
      </c>
      <c r="BH58" s="34" t="n">
        <v>0.00704802286595469</v>
      </c>
      <c r="BI58" s="34" t="n">
        <v>0.134731752102013</v>
      </c>
      <c r="BJ58" s="34" t="n">
        <v>0.015334225021475</v>
      </c>
      <c r="BK58" s="34" t="n">
        <v>0.0105060538233045</v>
      </c>
      <c r="BL58" s="34" t="n">
        <v>0.0109270635172882</v>
      </c>
      <c r="BM58" s="34" t="n">
        <v>0.0239907849395943</v>
      </c>
      <c r="BN58" s="34" t="n">
        <v>0.00647431765849082</v>
      </c>
      <c r="BO58" s="34" t="n">
        <v>0.0109942681636727</v>
      </c>
      <c r="BP58" s="34" t="n">
        <v>0.0150518243130431</v>
      </c>
      <c r="BQ58" s="34" t="n">
        <v>0.00376235167260036</v>
      </c>
      <c r="BR58" s="34" t="n">
        <v>0.0155347324782536</v>
      </c>
      <c r="BS58" s="34" t="n">
        <v>0.0220551440899713</v>
      </c>
      <c r="BT58" s="34" t="n">
        <v>0</v>
      </c>
    </row>
    <row r="59" customFormat="false" ht="11.25" hidden="false" customHeight="true" outlineLevel="0" collapsed="false">
      <c r="B59" s="19" t="s">
        <v>169</v>
      </c>
      <c r="C59" s="20" t="s">
        <v>170</v>
      </c>
      <c r="D59" s="19" t="n">
        <v>53</v>
      </c>
      <c r="E59" s="33" t="n">
        <v>0.0308880221870569</v>
      </c>
      <c r="F59" s="33" t="n">
        <v>0.0314521026481154</v>
      </c>
      <c r="G59" s="33" t="n">
        <v>0.0234607517810725</v>
      </c>
      <c r="H59" s="33" t="n">
        <v>0.0591104240813289</v>
      </c>
      <c r="I59" s="33" t="n">
        <v>0.0437095463034671</v>
      </c>
      <c r="J59" s="33" t="n">
        <v>0.0264237853347931</v>
      </c>
      <c r="K59" s="33" t="n">
        <v>0.0547816740776288</v>
      </c>
      <c r="L59" s="33" t="n">
        <v>0.0746937324341213</v>
      </c>
      <c r="M59" s="33" t="n">
        <v>0.0674312948098079</v>
      </c>
      <c r="N59" s="33" t="n">
        <v>0.0612074079931888</v>
      </c>
      <c r="O59" s="33" t="n">
        <v>0.0489394901454813</v>
      </c>
      <c r="P59" s="33" t="n">
        <v>0.0566423107960855</v>
      </c>
      <c r="Q59" s="33" t="n">
        <v>0.0505447168918926</v>
      </c>
      <c r="R59" s="33" t="n">
        <v>0.0445123424259635</v>
      </c>
      <c r="S59" s="33" t="n">
        <v>0.0612707102416692</v>
      </c>
      <c r="T59" s="33" t="n">
        <v>0.0505291986599369</v>
      </c>
      <c r="U59" s="33" t="n">
        <v>0.0748109566654175</v>
      </c>
      <c r="V59" s="33" t="n">
        <v>0.0406589333346927</v>
      </c>
      <c r="W59" s="33" t="n">
        <v>0.0373988013729776</v>
      </c>
      <c r="X59" s="33" t="n">
        <v>0.055144080588026</v>
      </c>
      <c r="Y59" s="33" t="n">
        <v>0.0542995524048167</v>
      </c>
      <c r="Z59" s="33" t="n">
        <v>0.0543904086373801</v>
      </c>
      <c r="AA59" s="33" t="n">
        <v>0.0474724211046604</v>
      </c>
      <c r="AB59" s="33" t="n">
        <v>0.0527748311051807</v>
      </c>
      <c r="AC59" s="33" t="n">
        <v>0.0557493578322649</v>
      </c>
      <c r="AD59" s="33" t="n">
        <v>0.0644712193152778</v>
      </c>
      <c r="AE59" s="33" t="n">
        <v>0.0570589560057507</v>
      </c>
      <c r="AF59" s="33" t="n">
        <v>0.0504145168949053</v>
      </c>
      <c r="AG59" s="33" t="n">
        <v>0.0552776724495846</v>
      </c>
      <c r="AH59" s="33" t="n">
        <v>0.0422930531939507</v>
      </c>
      <c r="AI59" s="33" t="n">
        <v>0.0553856559567654</v>
      </c>
      <c r="AJ59" s="33" t="n">
        <v>0.059791109848989</v>
      </c>
      <c r="AK59" s="33" t="n">
        <v>0.0456430203356425</v>
      </c>
      <c r="AL59" s="33" t="n">
        <v>0.0368115829172507</v>
      </c>
      <c r="AM59" s="33" t="n">
        <v>0.0378916395274403</v>
      </c>
      <c r="AN59" s="33" t="n">
        <v>0.0421470483150098</v>
      </c>
      <c r="AO59" s="33" t="n">
        <v>0.026951183877817</v>
      </c>
      <c r="AP59" s="33" t="n">
        <v>0.0493590445332687</v>
      </c>
      <c r="AQ59" s="33" t="n">
        <v>0.0313526766097308</v>
      </c>
      <c r="AR59" s="33" t="n">
        <v>0.0361574679423967</v>
      </c>
      <c r="AS59" s="33" t="n">
        <v>0.0308372519266325</v>
      </c>
      <c r="AT59" s="33" t="n">
        <v>0.0503784164832349</v>
      </c>
      <c r="AU59" s="33" t="n">
        <v>0.0484072994174651</v>
      </c>
      <c r="AV59" s="33" t="n">
        <v>0.0465121930182878</v>
      </c>
      <c r="AW59" s="33" t="n">
        <v>0.0575363762849318</v>
      </c>
      <c r="AX59" s="33" t="n">
        <v>0.0425526289689492</v>
      </c>
      <c r="AY59" s="33" t="n">
        <v>0.0445337163377796</v>
      </c>
      <c r="AZ59" s="33" t="n">
        <v>0.0329459524655253</v>
      </c>
      <c r="BA59" s="33" t="n">
        <v>0.0617667241142863</v>
      </c>
      <c r="BB59" s="33" t="n">
        <v>0.0615714190403457</v>
      </c>
      <c r="BC59" s="33" t="n">
        <v>0.090142978765115</v>
      </c>
      <c r="BD59" s="33" t="n">
        <v>0.0312511761012167</v>
      </c>
      <c r="BE59" s="33" t="n">
        <v>1.16676345148001</v>
      </c>
      <c r="BF59" s="33" t="n">
        <v>0.041186373902732</v>
      </c>
      <c r="BG59" s="33" t="n">
        <v>0.0344898710972925</v>
      </c>
      <c r="BH59" s="33" t="n">
        <v>0.0342733527851695</v>
      </c>
      <c r="BI59" s="33" t="n">
        <v>0.0385475054110248</v>
      </c>
      <c r="BJ59" s="33" t="n">
        <v>0.0417817548897659</v>
      </c>
      <c r="BK59" s="33" t="n">
        <v>0.034772022330415</v>
      </c>
      <c r="BL59" s="33" t="n">
        <v>0.0323863587035037</v>
      </c>
      <c r="BM59" s="33" t="n">
        <v>0.0725137019111358</v>
      </c>
      <c r="BN59" s="33" t="n">
        <v>0.00736439458933128</v>
      </c>
      <c r="BO59" s="33" t="n">
        <v>0.0273482074423379</v>
      </c>
      <c r="BP59" s="33" t="n">
        <v>0.0138602216921904</v>
      </c>
      <c r="BQ59" s="33" t="n">
        <v>0.0293465187701454</v>
      </c>
      <c r="BR59" s="33" t="n">
        <v>0.0419361991546671</v>
      </c>
      <c r="BS59" s="33" t="n">
        <v>0.0334675542790699</v>
      </c>
      <c r="BT59" s="33" t="n">
        <v>0</v>
      </c>
    </row>
    <row r="60" customFormat="false" ht="11.25" hidden="false" customHeight="true" outlineLevel="0" collapsed="false">
      <c r="B60" s="24" t="s">
        <v>171</v>
      </c>
      <c r="C60" s="25" t="s">
        <v>172</v>
      </c>
      <c r="D60" s="24" t="n">
        <v>54</v>
      </c>
      <c r="E60" s="34" t="n">
        <v>0.00437046098408022</v>
      </c>
      <c r="F60" s="34" t="n">
        <v>0.00550201120380397</v>
      </c>
      <c r="G60" s="34" t="n">
        <v>0.00258357567346848</v>
      </c>
      <c r="H60" s="34" t="n">
        <v>0.00920040060555776</v>
      </c>
      <c r="I60" s="34" t="n">
        <v>0.00977082963218543</v>
      </c>
      <c r="J60" s="34" t="n">
        <v>0.00726308063070784</v>
      </c>
      <c r="K60" s="34" t="n">
        <v>0.0116690616381444</v>
      </c>
      <c r="L60" s="34" t="n">
        <v>0.0325718079762015</v>
      </c>
      <c r="M60" s="34" t="n">
        <v>0.0138453439770194</v>
      </c>
      <c r="N60" s="34" t="n">
        <v>0.0217167461367534</v>
      </c>
      <c r="O60" s="34" t="n">
        <v>0.013272301567381</v>
      </c>
      <c r="P60" s="34" t="n">
        <v>0.0182993398181849</v>
      </c>
      <c r="Q60" s="34" t="n">
        <v>0.0221507279720661</v>
      </c>
      <c r="R60" s="34" t="n">
        <v>0.0225201113156809</v>
      </c>
      <c r="S60" s="34" t="n">
        <v>0.0266022398674397</v>
      </c>
      <c r="T60" s="34" t="n">
        <v>0.0170634654526127</v>
      </c>
      <c r="U60" s="34" t="n">
        <v>0.0286860096514972</v>
      </c>
      <c r="V60" s="34" t="n">
        <v>0.0110610966102762</v>
      </c>
      <c r="W60" s="34" t="n">
        <v>0.00837132917703902</v>
      </c>
      <c r="X60" s="34" t="n">
        <v>0.0144308152483011</v>
      </c>
      <c r="Y60" s="34" t="n">
        <v>0.0127222350524351</v>
      </c>
      <c r="Z60" s="34" t="n">
        <v>0.0206863713962005</v>
      </c>
      <c r="AA60" s="34" t="n">
        <v>0.0145031464631468</v>
      </c>
      <c r="AB60" s="34" t="n">
        <v>0.0261881719946676</v>
      </c>
      <c r="AC60" s="34" t="n">
        <v>0.0225269212472555</v>
      </c>
      <c r="AD60" s="34" t="n">
        <v>0.0211591186393784</v>
      </c>
      <c r="AE60" s="34" t="n">
        <v>0.0195331836009922</v>
      </c>
      <c r="AF60" s="34" t="n">
        <v>0.0122523546029718</v>
      </c>
      <c r="AG60" s="34" t="n">
        <v>0.0229836833414508</v>
      </c>
      <c r="AH60" s="34" t="n">
        <v>0.0132966641695222</v>
      </c>
      <c r="AI60" s="34" t="n">
        <v>0.021088115769295</v>
      </c>
      <c r="AJ60" s="34" t="n">
        <v>0.027166480571783</v>
      </c>
      <c r="AK60" s="34" t="n">
        <v>0.0104420418562071</v>
      </c>
      <c r="AL60" s="34" t="n">
        <v>0.010222183602632</v>
      </c>
      <c r="AM60" s="34" t="n">
        <v>0.00967737830993701</v>
      </c>
      <c r="AN60" s="34" t="n">
        <v>0.0170642371711782</v>
      </c>
      <c r="AO60" s="34" t="n">
        <v>0.0080041357978986</v>
      </c>
      <c r="AP60" s="34" t="n">
        <v>0.00683444392881144</v>
      </c>
      <c r="AQ60" s="34" t="n">
        <v>0.00836262497913824</v>
      </c>
      <c r="AR60" s="34" t="n">
        <v>0.00882332137187335</v>
      </c>
      <c r="AS60" s="34" t="n">
        <v>0.0245106368754418</v>
      </c>
      <c r="AT60" s="34" t="n">
        <v>0.0416296033962391</v>
      </c>
      <c r="AU60" s="34" t="n">
        <v>0.0101654879604525</v>
      </c>
      <c r="AV60" s="34" t="n">
        <v>0.0110136303995996</v>
      </c>
      <c r="AW60" s="34" t="n">
        <v>0.0118903607708833</v>
      </c>
      <c r="AX60" s="34" t="n">
        <v>0.0266096987026237</v>
      </c>
      <c r="AY60" s="34" t="n">
        <v>0.0450017687880468</v>
      </c>
      <c r="AZ60" s="34" t="n">
        <v>0.0270822986171977</v>
      </c>
      <c r="BA60" s="34" t="n">
        <v>0.0311591135419238</v>
      </c>
      <c r="BB60" s="34" t="n">
        <v>0.0346067574005209</v>
      </c>
      <c r="BC60" s="34" t="n">
        <v>0.0324221968689835</v>
      </c>
      <c r="BD60" s="34" t="n">
        <v>0.0174178059037169</v>
      </c>
      <c r="BE60" s="34" t="n">
        <v>0.0120684877049312</v>
      </c>
      <c r="BF60" s="34" t="n">
        <v>1.00388361077702</v>
      </c>
      <c r="BG60" s="34" t="n">
        <v>0.0284271280434911</v>
      </c>
      <c r="BH60" s="34" t="n">
        <v>0.0175022948108396</v>
      </c>
      <c r="BI60" s="34" t="n">
        <v>0.0255489514410228</v>
      </c>
      <c r="BJ60" s="34" t="n">
        <v>0.0232243381922235</v>
      </c>
      <c r="BK60" s="34" t="n">
        <v>0.0173174744640804</v>
      </c>
      <c r="BL60" s="34" t="n">
        <v>0.0106288815590698</v>
      </c>
      <c r="BM60" s="34" t="n">
        <v>0.00628553223528061</v>
      </c>
      <c r="BN60" s="34" t="n">
        <v>0.00344737546380067</v>
      </c>
      <c r="BO60" s="34" t="n">
        <v>0.0397543053672508</v>
      </c>
      <c r="BP60" s="34" t="n">
        <v>0.00720849575107282</v>
      </c>
      <c r="BQ60" s="34" t="n">
        <v>0.0130058784096394</v>
      </c>
      <c r="BR60" s="34" t="n">
        <v>0.0944738590081267</v>
      </c>
      <c r="BS60" s="34" t="n">
        <v>0.0297830090330984</v>
      </c>
      <c r="BT60" s="34" t="n">
        <v>0</v>
      </c>
    </row>
    <row r="61" customFormat="false" ht="11.25" hidden="false" customHeight="true" outlineLevel="0" collapsed="false">
      <c r="B61" s="19" t="s">
        <v>173</v>
      </c>
      <c r="C61" s="20" t="s">
        <v>174</v>
      </c>
      <c r="D61" s="19" t="n">
        <v>55</v>
      </c>
      <c r="E61" s="33" t="n">
        <v>0.0151989484430221</v>
      </c>
      <c r="F61" s="33" t="n">
        <v>0.0154670859194501</v>
      </c>
      <c r="G61" s="33" t="n">
        <v>0.007382578365366</v>
      </c>
      <c r="H61" s="33" t="n">
        <v>0.042935914347097</v>
      </c>
      <c r="I61" s="33" t="n">
        <v>0.0586322259017192</v>
      </c>
      <c r="J61" s="33" t="n">
        <v>0.0372411462276723</v>
      </c>
      <c r="K61" s="33" t="n">
        <v>0.0421015274660574</v>
      </c>
      <c r="L61" s="33" t="n">
        <v>0.0591842083411418</v>
      </c>
      <c r="M61" s="33" t="n">
        <v>0.034553936642926</v>
      </c>
      <c r="N61" s="33" t="n">
        <v>0.0564203821343216</v>
      </c>
      <c r="O61" s="33" t="n">
        <v>0.0556369725313767</v>
      </c>
      <c r="P61" s="33" t="n">
        <v>0.0701823742408951</v>
      </c>
      <c r="Q61" s="33" t="n">
        <v>0.033417553075503</v>
      </c>
      <c r="R61" s="33" t="n">
        <v>0.0286469945862839</v>
      </c>
      <c r="S61" s="33" t="n">
        <v>0.0391331655081099</v>
      </c>
      <c r="T61" s="33" t="n">
        <v>0.0349251514266458</v>
      </c>
      <c r="U61" s="33" t="n">
        <v>0.0628770021205366</v>
      </c>
      <c r="V61" s="33" t="n">
        <v>0.0225319102932575</v>
      </c>
      <c r="W61" s="33" t="n">
        <v>0.0465976401827936</v>
      </c>
      <c r="X61" s="33" t="n">
        <v>0.0340748996978985</v>
      </c>
      <c r="Y61" s="33" t="n">
        <v>0.0471105791113369</v>
      </c>
      <c r="Z61" s="33" t="n">
        <v>0.0806934443176801</v>
      </c>
      <c r="AA61" s="33" t="n">
        <v>0.0589960731452159</v>
      </c>
      <c r="AB61" s="33" t="n">
        <v>0.0887046139807259</v>
      </c>
      <c r="AC61" s="33" t="n">
        <v>0.0482300174761154</v>
      </c>
      <c r="AD61" s="33" t="n">
        <v>0.0582505201227325</v>
      </c>
      <c r="AE61" s="33" t="n">
        <v>0.0443080235203713</v>
      </c>
      <c r="AF61" s="33" t="n">
        <v>0.0341456194758662</v>
      </c>
      <c r="AG61" s="33" t="n">
        <v>0.0413945522412032</v>
      </c>
      <c r="AH61" s="33" t="n">
        <v>0.0459269799423577</v>
      </c>
      <c r="AI61" s="33" t="n">
        <v>0.0482650418069501</v>
      </c>
      <c r="AJ61" s="33" t="n">
        <v>0.0544832082630063</v>
      </c>
      <c r="AK61" s="33" t="n">
        <v>0.0395889782676409</v>
      </c>
      <c r="AL61" s="33" t="n">
        <v>0.0308565736146827</v>
      </c>
      <c r="AM61" s="33" t="n">
        <v>0.0273279953796626</v>
      </c>
      <c r="AN61" s="33" t="n">
        <v>0.0291832613984758</v>
      </c>
      <c r="AO61" s="33" t="n">
        <v>0.0245906452692445</v>
      </c>
      <c r="AP61" s="33" t="n">
        <v>0.0141318691474431</v>
      </c>
      <c r="AQ61" s="33" t="n">
        <v>0.0327507580911915</v>
      </c>
      <c r="AR61" s="33" t="n">
        <v>0.0254282977083686</v>
      </c>
      <c r="AS61" s="33" t="n">
        <v>0.0529737886693048</v>
      </c>
      <c r="AT61" s="33" t="n">
        <v>0.0448475383313503</v>
      </c>
      <c r="AU61" s="33" t="n">
        <v>0.0279900513263528</v>
      </c>
      <c r="AV61" s="33" t="n">
        <v>0.0236870963468212</v>
      </c>
      <c r="AW61" s="33" t="n">
        <v>0.033487397020129</v>
      </c>
      <c r="AX61" s="33" t="n">
        <v>0.0321254858115739</v>
      </c>
      <c r="AY61" s="33" t="n">
        <v>0.0219211155865322</v>
      </c>
      <c r="AZ61" s="33" t="n">
        <v>0.02272887190787</v>
      </c>
      <c r="BA61" s="33" t="n">
        <v>0.0524293498932339</v>
      </c>
      <c r="BB61" s="33" t="n">
        <v>0.100448114504349</v>
      </c>
      <c r="BC61" s="33" t="n">
        <v>0.0483405206563891</v>
      </c>
      <c r="BD61" s="33" t="n">
        <v>0.0330716993537033</v>
      </c>
      <c r="BE61" s="33" t="n">
        <v>0.0358751512367495</v>
      </c>
      <c r="BF61" s="33" t="n">
        <v>0.00663668808505712</v>
      </c>
      <c r="BG61" s="33" t="n">
        <v>1.09105666174664</v>
      </c>
      <c r="BH61" s="33" t="n">
        <v>0.0879551307652595</v>
      </c>
      <c r="BI61" s="33" t="n">
        <v>0.0400910296615215</v>
      </c>
      <c r="BJ61" s="33" t="n">
        <v>0.028094678263335</v>
      </c>
      <c r="BK61" s="33" t="n">
        <v>0.0276774604338064</v>
      </c>
      <c r="BL61" s="33" t="n">
        <v>0.0481757447473918</v>
      </c>
      <c r="BM61" s="33" t="n">
        <v>0.0137076721662928</v>
      </c>
      <c r="BN61" s="33" t="n">
        <v>0.00471531843691168</v>
      </c>
      <c r="BO61" s="33" t="n">
        <v>0.029452450850738</v>
      </c>
      <c r="BP61" s="33" t="n">
        <v>0.0126076143499419</v>
      </c>
      <c r="BQ61" s="33" t="n">
        <v>0.022444649852791</v>
      </c>
      <c r="BR61" s="33" t="n">
        <v>0.0422333759003514</v>
      </c>
      <c r="BS61" s="33" t="n">
        <v>0.0384754115312169</v>
      </c>
      <c r="BT61" s="33" t="n">
        <v>0</v>
      </c>
    </row>
    <row r="62" customFormat="false" ht="11.25" hidden="false" customHeight="true" outlineLevel="0" collapsed="false">
      <c r="B62" s="24" t="s">
        <v>175</v>
      </c>
      <c r="C62" s="25" t="s">
        <v>176</v>
      </c>
      <c r="D62" s="24" t="n">
        <v>56</v>
      </c>
      <c r="E62" s="34" t="n">
        <v>0.00452578139512093</v>
      </c>
      <c r="F62" s="34" t="n">
        <v>0.00286587830294628</v>
      </c>
      <c r="G62" s="34" t="n">
        <v>0.00127848133800803</v>
      </c>
      <c r="H62" s="34" t="n">
        <v>0.00540284525116658</v>
      </c>
      <c r="I62" s="34" t="n">
        <v>0.0115784275893129</v>
      </c>
      <c r="J62" s="34" t="n">
        <v>0.00828699200849528</v>
      </c>
      <c r="K62" s="34" t="n">
        <v>0.0133621797627955</v>
      </c>
      <c r="L62" s="34" t="n">
        <v>0.00944982984928622</v>
      </c>
      <c r="M62" s="34" t="n">
        <v>0.0110830113028226</v>
      </c>
      <c r="N62" s="34" t="n">
        <v>0.00848153032723179</v>
      </c>
      <c r="O62" s="34" t="n">
        <v>0.00714453356665572</v>
      </c>
      <c r="P62" s="34" t="n">
        <v>0.0110675474097575</v>
      </c>
      <c r="Q62" s="34" t="n">
        <v>0.00527339159096388</v>
      </c>
      <c r="R62" s="34" t="n">
        <v>0.00518777727471163</v>
      </c>
      <c r="S62" s="34" t="n">
        <v>0.00640569270455324</v>
      </c>
      <c r="T62" s="34" t="n">
        <v>0.00595087798451442</v>
      </c>
      <c r="U62" s="34" t="n">
        <v>0.0111345985342095</v>
      </c>
      <c r="V62" s="34" t="n">
        <v>0.00471637716995294</v>
      </c>
      <c r="W62" s="34" t="n">
        <v>0.00568473171675041</v>
      </c>
      <c r="X62" s="34" t="n">
        <v>0.00773274531602397</v>
      </c>
      <c r="Y62" s="34" t="n">
        <v>0.00891987806165192</v>
      </c>
      <c r="Z62" s="34" t="n">
        <v>0.0112988535155637</v>
      </c>
      <c r="AA62" s="34" t="n">
        <v>0.0116643903899136</v>
      </c>
      <c r="AB62" s="34" t="n">
        <v>0.0156425466452373</v>
      </c>
      <c r="AC62" s="34" t="n">
        <v>0.0116649306317631</v>
      </c>
      <c r="AD62" s="34" t="n">
        <v>0.0103317493719073</v>
      </c>
      <c r="AE62" s="34" t="n">
        <v>0.00941812345684724</v>
      </c>
      <c r="AF62" s="34" t="n">
        <v>0.00900204792825938</v>
      </c>
      <c r="AG62" s="34" t="n">
        <v>0.0094905535914028</v>
      </c>
      <c r="AH62" s="34" t="n">
        <v>0.00780373715940139</v>
      </c>
      <c r="AI62" s="34" t="n">
        <v>0.009396165058819</v>
      </c>
      <c r="AJ62" s="34" t="n">
        <v>0.0170228309798184</v>
      </c>
      <c r="AK62" s="34" t="n">
        <v>0.0139929901015908</v>
      </c>
      <c r="AL62" s="34" t="n">
        <v>0.0107304857113715</v>
      </c>
      <c r="AM62" s="34" t="n">
        <v>0.00574510690416252</v>
      </c>
      <c r="AN62" s="34" t="n">
        <v>0.00665984783275715</v>
      </c>
      <c r="AO62" s="34" t="n">
        <v>0.00618060763325318</v>
      </c>
      <c r="AP62" s="34" t="n">
        <v>0.010552999741762</v>
      </c>
      <c r="AQ62" s="34" t="n">
        <v>0.00812020962946203</v>
      </c>
      <c r="AR62" s="34" t="n">
        <v>0.00796235392467922</v>
      </c>
      <c r="AS62" s="34" t="n">
        <v>0.00281774859971344</v>
      </c>
      <c r="AT62" s="34" t="n">
        <v>0.00393076975277135</v>
      </c>
      <c r="AU62" s="34" t="n">
        <v>0.00451095852957199</v>
      </c>
      <c r="AV62" s="34" t="n">
        <v>0.00670193575555926</v>
      </c>
      <c r="AW62" s="34" t="n">
        <v>0.00671267945287941</v>
      </c>
      <c r="AX62" s="34" t="n">
        <v>0.0351602409384287</v>
      </c>
      <c r="AY62" s="34" t="n">
        <v>0.00263488486369788</v>
      </c>
      <c r="AZ62" s="34" t="n">
        <v>0.00279517673440189</v>
      </c>
      <c r="BA62" s="34" t="n">
        <v>0.00338860725822084</v>
      </c>
      <c r="BB62" s="34" t="n">
        <v>0.00244289154213754</v>
      </c>
      <c r="BC62" s="34" t="n">
        <v>0.00271107899673433</v>
      </c>
      <c r="BD62" s="34" t="n">
        <v>0.00313624469618117</v>
      </c>
      <c r="BE62" s="34" t="n">
        <v>0.00158512754475698</v>
      </c>
      <c r="BF62" s="34" t="n">
        <v>0.000274911718539433</v>
      </c>
      <c r="BG62" s="34" t="n">
        <v>0.00112358142839947</v>
      </c>
      <c r="BH62" s="34" t="n">
        <v>1.03692258369169</v>
      </c>
      <c r="BI62" s="34" t="n">
        <v>0.00183468874259701</v>
      </c>
      <c r="BJ62" s="34" t="n">
        <v>0.00262642509911548</v>
      </c>
      <c r="BK62" s="34" t="n">
        <v>0.00177802108751973</v>
      </c>
      <c r="BL62" s="34" t="n">
        <v>0.000718860351616337</v>
      </c>
      <c r="BM62" s="34" t="n">
        <v>0.00629420966973264</v>
      </c>
      <c r="BN62" s="34" t="n">
        <v>0.00425599543036019</v>
      </c>
      <c r="BO62" s="34" t="n">
        <v>0.00200145548978642</v>
      </c>
      <c r="BP62" s="34" t="n">
        <v>0.0139815811003103</v>
      </c>
      <c r="BQ62" s="34" t="n">
        <v>0.00140907578983625</v>
      </c>
      <c r="BR62" s="34" t="n">
        <v>0.00181926196932098</v>
      </c>
      <c r="BS62" s="34" t="n">
        <v>0.00212805551458755</v>
      </c>
      <c r="BT62" s="34" t="n">
        <v>0</v>
      </c>
    </row>
    <row r="63" customFormat="false" ht="11.25" hidden="false" customHeight="true" outlineLevel="0" collapsed="false">
      <c r="B63" s="19" t="s">
        <v>177</v>
      </c>
      <c r="C63" s="20" t="s">
        <v>178</v>
      </c>
      <c r="D63" s="19" t="n">
        <v>57</v>
      </c>
      <c r="E63" s="33" t="n">
        <v>0.00453990688020769</v>
      </c>
      <c r="F63" s="33" t="n">
        <v>0.00923640300850189</v>
      </c>
      <c r="G63" s="33" t="n">
        <v>0.00568960934602748</v>
      </c>
      <c r="H63" s="33" t="n">
        <v>0.0100482116665691</v>
      </c>
      <c r="I63" s="33" t="n">
        <v>0.0108509454899857</v>
      </c>
      <c r="J63" s="33" t="n">
        <v>0.0062350339684516</v>
      </c>
      <c r="K63" s="33" t="n">
        <v>0.00919009097419143</v>
      </c>
      <c r="L63" s="33" t="n">
        <v>0.0338923776945416</v>
      </c>
      <c r="M63" s="33" t="n">
        <v>0.01370969167014</v>
      </c>
      <c r="N63" s="33" t="n">
        <v>0.0285163705038556</v>
      </c>
      <c r="O63" s="33" t="n">
        <v>0.0849586020940891</v>
      </c>
      <c r="P63" s="33" t="n">
        <v>0.0313122509063306</v>
      </c>
      <c r="Q63" s="33" t="n">
        <v>0.0142700377820421</v>
      </c>
      <c r="R63" s="33" t="n">
        <v>0.0182059033764959</v>
      </c>
      <c r="S63" s="33" t="n">
        <v>0.0375921166910174</v>
      </c>
      <c r="T63" s="33" t="n">
        <v>0.0143483466195919</v>
      </c>
      <c r="U63" s="33" t="n">
        <v>0.0272184532881436</v>
      </c>
      <c r="V63" s="33" t="n">
        <v>0.0107926055009932</v>
      </c>
      <c r="W63" s="33" t="n">
        <v>0.00826822301753324</v>
      </c>
      <c r="X63" s="33" t="n">
        <v>0.0125065467166885</v>
      </c>
      <c r="Y63" s="33" t="n">
        <v>0.0107427206943279</v>
      </c>
      <c r="Z63" s="33" t="n">
        <v>0.0223680985738242</v>
      </c>
      <c r="AA63" s="33" t="n">
        <v>0.0369352067888148</v>
      </c>
      <c r="AB63" s="33" t="n">
        <v>0.0470156449117319</v>
      </c>
      <c r="AC63" s="33" t="n">
        <v>0.0198551627710317</v>
      </c>
      <c r="AD63" s="33" t="n">
        <v>0.0188205382479787</v>
      </c>
      <c r="AE63" s="33" t="n">
        <v>0.0156691747659018</v>
      </c>
      <c r="AF63" s="33" t="n">
        <v>0.0102576774555104</v>
      </c>
      <c r="AG63" s="33" t="n">
        <v>0.0211712898376932</v>
      </c>
      <c r="AH63" s="33" t="n">
        <v>0.0245343937072213</v>
      </c>
      <c r="AI63" s="33" t="n">
        <v>0.023393686006074</v>
      </c>
      <c r="AJ63" s="33" t="n">
        <v>0.0233421913435958</v>
      </c>
      <c r="AK63" s="33" t="n">
        <v>0.0318681161308962</v>
      </c>
      <c r="AL63" s="33" t="n">
        <v>0.00917140600981111</v>
      </c>
      <c r="AM63" s="33" t="n">
        <v>0.0137286375157585</v>
      </c>
      <c r="AN63" s="33" t="n">
        <v>0.0168647535633624</v>
      </c>
      <c r="AO63" s="33" t="n">
        <v>0.00887615507333523</v>
      </c>
      <c r="AP63" s="33" t="n">
        <v>0.0159450124323781</v>
      </c>
      <c r="AQ63" s="33" t="n">
        <v>0.00795318876716847</v>
      </c>
      <c r="AR63" s="33" t="n">
        <v>0.00958635735921017</v>
      </c>
      <c r="AS63" s="33" t="n">
        <v>0.0205792659519383</v>
      </c>
      <c r="AT63" s="33" t="n">
        <v>0.0277950846631605</v>
      </c>
      <c r="AU63" s="33" t="n">
        <v>0.00898097092766554</v>
      </c>
      <c r="AV63" s="33" t="n">
        <v>0.0090982822794982</v>
      </c>
      <c r="AW63" s="33" t="n">
        <v>0.0128577762223098</v>
      </c>
      <c r="AX63" s="33" t="n">
        <v>0.0169222718503877</v>
      </c>
      <c r="AY63" s="33" t="n">
        <v>0.0200976621888265</v>
      </c>
      <c r="AZ63" s="33" t="n">
        <v>0.0182792831830094</v>
      </c>
      <c r="BA63" s="33" t="n">
        <v>0.0563641128804856</v>
      </c>
      <c r="BB63" s="33" t="n">
        <v>0.068043979338848</v>
      </c>
      <c r="BC63" s="33" t="n">
        <v>0.0344830799337428</v>
      </c>
      <c r="BD63" s="33" t="n">
        <v>0.0211197207222206</v>
      </c>
      <c r="BE63" s="33" t="n">
        <v>0.0214469683298784</v>
      </c>
      <c r="BF63" s="33" t="n">
        <v>0.00270648415565717</v>
      </c>
      <c r="BG63" s="33" t="n">
        <v>0.0273365615311798</v>
      </c>
      <c r="BH63" s="33" t="n">
        <v>0.0132004994240418</v>
      </c>
      <c r="BI63" s="33" t="n">
        <v>1.04564185122146</v>
      </c>
      <c r="BJ63" s="33" t="n">
        <v>0.0255580933194073</v>
      </c>
      <c r="BK63" s="33" t="n">
        <v>0.0121439906152297</v>
      </c>
      <c r="BL63" s="33" t="n">
        <v>0.00950180053509904</v>
      </c>
      <c r="BM63" s="33" t="n">
        <v>0.00812954398061928</v>
      </c>
      <c r="BN63" s="33" t="n">
        <v>0.00395544780416247</v>
      </c>
      <c r="BO63" s="33" t="n">
        <v>0.027391892691492</v>
      </c>
      <c r="BP63" s="33" t="n">
        <v>0.0110773806316538</v>
      </c>
      <c r="BQ63" s="33" t="n">
        <v>0.00488956219644228</v>
      </c>
      <c r="BR63" s="33" t="n">
        <v>0.0472634331815808</v>
      </c>
      <c r="BS63" s="33" t="n">
        <v>0.019433395611767</v>
      </c>
      <c r="BT63" s="33" t="n">
        <v>0</v>
      </c>
    </row>
    <row r="64" customFormat="false" ht="11.25" hidden="false" customHeight="true" outlineLevel="0" collapsed="false">
      <c r="B64" s="24" t="s">
        <v>179</v>
      </c>
      <c r="C64" s="25" t="s">
        <v>180</v>
      </c>
      <c r="D64" s="24" t="n">
        <v>58</v>
      </c>
      <c r="E64" s="34" t="n">
        <v>0.00366074552868308</v>
      </c>
      <c r="F64" s="34" t="n">
        <v>0.00341071697955835</v>
      </c>
      <c r="G64" s="34" t="n">
        <v>0.00337035589961503</v>
      </c>
      <c r="H64" s="34" t="n">
        <v>0.0122460571773272</v>
      </c>
      <c r="I64" s="34" t="n">
        <v>0.0397017835398508</v>
      </c>
      <c r="J64" s="34" t="n">
        <v>0.0168237924298955</v>
      </c>
      <c r="K64" s="34" t="n">
        <v>0.0172891954940468</v>
      </c>
      <c r="L64" s="34" t="n">
        <v>0.0111932079747473</v>
      </c>
      <c r="M64" s="34" t="n">
        <v>0.0106519473949893</v>
      </c>
      <c r="N64" s="34" t="n">
        <v>0.0104137279885068</v>
      </c>
      <c r="O64" s="34" t="n">
        <v>0.00984157312641638</v>
      </c>
      <c r="P64" s="34" t="n">
        <v>0.00814200632306646</v>
      </c>
      <c r="Q64" s="34" t="n">
        <v>0.0067132391137895</v>
      </c>
      <c r="R64" s="34" t="n">
        <v>0.00622936102871155</v>
      </c>
      <c r="S64" s="34" t="n">
        <v>0.00872563229893645</v>
      </c>
      <c r="T64" s="34" t="n">
        <v>0.0106106539523021</v>
      </c>
      <c r="U64" s="34" t="n">
        <v>0.0173659574371726</v>
      </c>
      <c r="V64" s="34" t="n">
        <v>0.0106920237582084</v>
      </c>
      <c r="W64" s="34" t="n">
        <v>0.0154719116523859</v>
      </c>
      <c r="X64" s="34" t="n">
        <v>0.0061671089158397</v>
      </c>
      <c r="Y64" s="34" t="n">
        <v>0.00880980304878221</v>
      </c>
      <c r="Z64" s="34" t="n">
        <v>0.0108246452236909</v>
      </c>
      <c r="AA64" s="34" t="n">
        <v>0.00691293530823294</v>
      </c>
      <c r="AB64" s="34" t="n">
        <v>0.00937279823058616</v>
      </c>
      <c r="AC64" s="34" t="n">
        <v>0.0113354355207267</v>
      </c>
      <c r="AD64" s="34" t="n">
        <v>0.0119722226681743</v>
      </c>
      <c r="AE64" s="34" t="n">
        <v>0.0162631043315076</v>
      </c>
      <c r="AF64" s="34" t="n">
        <v>0.0108766466678201</v>
      </c>
      <c r="AG64" s="34" t="n">
        <v>0.0137782948651859</v>
      </c>
      <c r="AH64" s="34" t="n">
        <v>0.0073939061586169</v>
      </c>
      <c r="AI64" s="34" t="n">
        <v>0.0099205618550774</v>
      </c>
      <c r="AJ64" s="34" t="n">
        <v>0.0123515053255185</v>
      </c>
      <c r="AK64" s="34" t="n">
        <v>0.013053867060472</v>
      </c>
      <c r="AL64" s="34" t="n">
        <v>0.00981256652890713</v>
      </c>
      <c r="AM64" s="34" t="n">
        <v>0.0127382403270372</v>
      </c>
      <c r="AN64" s="34" t="n">
        <v>0.00812178890713679</v>
      </c>
      <c r="AO64" s="34" t="n">
        <v>0.00680049804459989</v>
      </c>
      <c r="AP64" s="34" t="n">
        <v>0.0052113964855152</v>
      </c>
      <c r="AQ64" s="34" t="n">
        <v>0.0155809282543341</v>
      </c>
      <c r="AR64" s="34" t="n">
        <v>0.00763996290655267</v>
      </c>
      <c r="AS64" s="34" t="n">
        <v>0.00590733445225056</v>
      </c>
      <c r="AT64" s="34" t="n">
        <v>0.0099777363577005</v>
      </c>
      <c r="AU64" s="34" t="n">
        <v>0.013264174572762</v>
      </c>
      <c r="AV64" s="34" t="n">
        <v>0.0368484099963239</v>
      </c>
      <c r="AW64" s="34" t="n">
        <v>0.0447867899114591</v>
      </c>
      <c r="AX64" s="34" t="n">
        <v>0.0142908241299338</v>
      </c>
      <c r="AY64" s="34" t="n">
        <v>0.00620868925391783</v>
      </c>
      <c r="AZ64" s="34" t="n">
        <v>0.00712724544768624</v>
      </c>
      <c r="BA64" s="34" t="n">
        <v>0.0291444219604675</v>
      </c>
      <c r="BB64" s="34" t="n">
        <v>0.0250909602047129</v>
      </c>
      <c r="BC64" s="34" t="n">
        <v>0.0199647651061103</v>
      </c>
      <c r="BD64" s="34" t="n">
        <v>0.014637360808928</v>
      </c>
      <c r="BE64" s="34" t="n">
        <v>0.0032590551188852</v>
      </c>
      <c r="BF64" s="34" t="n">
        <v>0.000688213961324256</v>
      </c>
      <c r="BG64" s="34" t="n">
        <v>0.00485088393041535</v>
      </c>
      <c r="BH64" s="34" t="n">
        <v>0.01021473335572</v>
      </c>
      <c r="BI64" s="34" t="n">
        <v>0.0119263692502606</v>
      </c>
      <c r="BJ64" s="34" t="n">
        <v>1.02116255718502</v>
      </c>
      <c r="BK64" s="34" t="n">
        <v>0.00522264715188039</v>
      </c>
      <c r="BL64" s="34" t="n">
        <v>0.0067509299449794</v>
      </c>
      <c r="BM64" s="34" t="n">
        <v>0.00412707616467836</v>
      </c>
      <c r="BN64" s="34" t="n">
        <v>0.00318440877088466</v>
      </c>
      <c r="BO64" s="34" t="n">
        <v>0.0123613833176286</v>
      </c>
      <c r="BP64" s="34" t="n">
        <v>0.00728045150196722</v>
      </c>
      <c r="BQ64" s="34" t="n">
        <v>0.00332926315260233</v>
      </c>
      <c r="BR64" s="34" t="n">
        <v>0.0112914175418443</v>
      </c>
      <c r="BS64" s="34" t="n">
        <v>0.00535245403355558</v>
      </c>
      <c r="BT64" s="34" t="n">
        <v>0</v>
      </c>
    </row>
    <row r="65" customFormat="false" ht="11.25" hidden="false" customHeight="true" outlineLevel="0" collapsed="false">
      <c r="B65" s="19" t="s">
        <v>181</v>
      </c>
      <c r="C65" s="20" t="s">
        <v>182</v>
      </c>
      <c r="D65" s="19" t="n">
        <v>59</v>
      </c>
      <c r="E65" s="33" t="n">
        <v>0.00817203610679177</v>
      </c>
      <c r="F65" s="33" t="n">
        <v>0.00961779629666448</v>
      </c>
      <c r="G65" s="33" t="n">
        <v>0.00514837216152398</v>
      </c>
      <c r="H65" s="33" t="n">
        <v>0.044366218765567</v>
      </c>
      <c r="I65" s="33" t="n">
        <v>0.0180586285631706</v>
      </c>
      <c r="J65" s="33" t="n">
        <v>0.0196762824361692</v>
      </c>
      <c r="K65" s="33" t="n">
        <v>0.0331774412015918</v>
      </c>
      <c r="L65" s="33" t="n">
        <v>0.0445871477364151</v>
      </c>
      <c r="M65" s="33" t="n">
        <v>0.0289955267372871</v>
      </c>
      <c r="N65" s="33" t="n">
        <v>0.0336024750033194</v>
      </c>
      <c r="O65" s="33" t="n">
        <v>0.0377591293213559</v>
      </c>
      <c r="P65" s="33" t="n">
        <v>0.0374351102418942</v>
      </c>
      <c r="Q65" s="33" t="n">
        <v>0.0263755365953809</v>
      </c>
      <c r="R65" s="33" t="n">
        <v>0.0259794428068659</v>
      </c>
      <c r="S65" s="33" t="n">
        <v>0.0401444317253134</v>
      </c>
      <c r="T65" s="33" t="n">
        <v>0.0252166637493328</v>
      </c>
      <c r="U65" s="33" t="n">
        <v>0.0461805511655708</v>
      </c>
      <c r="V65" s="33" t="n">
        <v>0.0168246495700845</v>
      </c>
      <c r="W65" s="33" t="n">
        <v>0.0141238982408401</v>
      </c>
      <c r="X65" s="33" t="n">
        <v>0.02584520297131</v>
      </c>
      <c r="Y65" s="33" t="n">
        <v>0.0219259805688384</v>
      </c>
      <c r="Z65" s="33" t="n">
        <v>0.0388181440565998</v>
      </c>
      <c r="AA65" s="33" t="n">
        <v>0.0253401895777762</v>
      </c>
      <c r="AB65" s="33" t="n">
        <v>0.0451865316594374</v>
      </c>
      <c r="AC65" s="33" t="n">
        <v>0.0340969162594805</v>
      </c>
      <c r="AD65" s="33" t="n">
        <v>0.0411770536920667</v>
      </c>
      <c r="AE65" s="33" t="n">
        <v>0.0331052997793366</v>
      </c>
      <c r="AF65" s="33" t="n">
        <v>0.0332269377076968</v>
      </c>
      <c r="AG65" s="33" t="n">
        <v>0.0397915251727774</v>
      </c>
      <c r="AH65" s="33" t="n">
        <v>0.0269668306714331</v>
      </c>
      <c r="AI65" s="33" t="n">
        <v>0.0393159175542626</v>
      </c>
      <c r="AJ65" s="33" t="n">
        <v>0.0522345816095798</v>
      </c>
      <c r="AK65" s="33" t="n">
        <v>0.0260362284994806</v>
      </c>
      <c r="AL65" s="33" t="n">
        <v>0.0198117503042757</v>
      </c>
      <c r="AM65" s="33" t="n">
        <v>0.0169602200248663</v>
      </c>
      <c r="AN65" s="33" t="n">
        <v>0.0250822577034836</v>
      </c>
      <c r="AO65" s="33" t="n">
        <v>0.0183993572034974</v>
      </c>
      <c r="AP65" s="33" t="n">
        <v>0.0198145269379789</v>
      </c>
      <c r="AQ65" s="33" t="n">
        <v>0.0145481684018114</v>
      </c>
      <c r="AR65" s="33" t="n">
        <v>0.0169714300943447</v>
      </c>
      <c r="AS65" s="33" t="n">
        <v>0.0216238722753403</v>
      </c>
      <c r="AT65" s="33" t="n">
        <v>0.050916822045947</v>
      </c>
      <c r="AU65" s="33" t="n">
        <v>0.018068577223219</v>
      </c>
      <c r="AV65" s="33" t="n">
        <v>0.0167389003151658</v>
      </c>
      <c r="AW65" s="33" t="n">
        <v>0.0432842073877778</v>
      </c>
      <c r="AX65" s="33" t="n">
        <v>0.0363996559878046</v>
      </c>
      <c r="AY65" s="33" t="n">
        <v>0.0454154729972559</v>
      </c>
      <c r="AZ65" s="33" t="n">
        <v>0.0225457188020495</v>
      </c>
      <c r="BA65" s="33" t="n">
        <v>0.0434832292157174</v>
      </c>
      <c r="BB65" s="33" t="n">
        <v>0.0547569674113832</v>
      </c>
      <c r="BC65" s="33" t="n">
        <v>0.151497566144199</v>
      </c>
      <c r="BD65" s="33" t="n">
        <v>0.0579130271640923</v>
      </c>
      <c r="BE65" s="33" t="n">
        <v>0.0456337609828125</v>
      </c>
      <c r="BF65" s="33" t="n">
        <v>0.00502249043574793</v>
      </c>
      <c r="BG65" s="33" t="n">
        <v>0.0335056827936538</v>
      </c>
      <c r="BH65" s="33" t="n">
        <v>0.0181888329130632</v>
      </c>
      <c r="BI65" s="33" t="n">
        <v>0.0366148163559047</v>
      </c>
      <c r="BJ65" s="33" t="n">
        <v>0.0213022063447162</v>
      </c>
      <c r="BK65" s="33" t="n">
        <v>1.03594886875774</v>
      </c>
      <c r="BL65" s="33" t="n">
        <v>0.0193263599673353</v>
      </c>
      <c r="BM65" s="33" t="n">
        <v>0.0347740485087579</v>
      </c>
      <c r="BN65" s="33" t="n">
        <v>0.0346764224051303</v>
      </c>
      <c r="BO65" s="33" t="n">
        <v>0.0476522138067109</v>
      </c>
      <c r="BP65" s="33" t="n">
        <v>0.0610355375849303</v>
      </c>
      <c r="BQ65" s="33" t="n">
        <v>0.0223923467009827</v>
      </c>
      <c r="BR65" s="33" t="n">
        <v>0.0429984891233537</v>
      </c>
      <c r="BS65" s="33" t="n">
        <v>0.0530160607908479</v>
      </c>
      <c r="BT65" s="33" t="n">
        <v>0</v>
      </c>
    </row>
    <row r="66" customFormat="false" ht="11.25" hidden="false" customHeight="true" outlineLevel="0" collapsed="false">
      <c r="B66" s="24" t="s">
        <v>183</v>
      </c>
      <c r="C66" s="25" t="s">
        <v>184</v>
      </c>
      <c r="D66" s="24" t="n">
        <v>60</v>
      </c>
      <c r="E66" s="34" t="n">
        <v>0.00195731863733592</v>
      </c>
      <c r="F66" s="34" t="n">
        <v>0.00203898878144954</v>
      </c>
      <c r="G66" s="34" t="n">
        <v>0.00121622154397631</v>
      </c>
      <c r="H66" s="34" t="n">
        <v>0.00348272439781405</v>
      </c>
      <c r="I66" s="34" t="n">
        <v>0.00372806988160725</v>
      </c>
      <c r="J66" s="34" t="n">
        <v>0.00371372433103882</v>
      </c>
      <c r="K66" s="34" t="n">
        <v>0.00542892696271043</v>
      </c>
      <c r="L66" s="34" t="n">
        <v>0.00935493012367822</v>
      </c>
      <c r="M66" s="34" t="n">
        <v>0.00688045800409721</v>
      </c>
      <c r="N66" s="34" t="n">
        <v>0.00699642544479529</v>
      </c>
      <c r="O66" s="34" t="n">
        <v>0.00652858241937005</v>
      </c>
      <c r="P66" s="34" t="n">
        <v>0.0143538457703626</v>
      </c>
      <c r="Q66" s="34" t="n">
        <v>0.00513714923128317</v>
      </c>
      <c r="R66" s="34" t="n">
        <v>0.00455341184495723</v>
      </c>
      <c r="S66" s="34" t="n">
        <v>0.00715952674112919</v>
      </c>
      <c r="T66" s="34" t="n">
        <v>0.00713826452256787</v>
      </c>
      <c r="U66" s="34" t="n">
        <v>0.0134278355191188</v>
      </c>
      <c r="V66" s="34" t="n">
        <v>0.00398581432602814</v>
      </c>
      <c r="W66" s="34" t="n">
        <v>0.00310330644017741</v>
      </c>
      <c r="X66" s="34" t="n">
        <v>0.00391437447643219</v>
      </c>
      <c r="Y66" s="34" t="n">
        <v>0.00585189735652286</v>
      </c>
      <c r="Z66" s="34" t="n">
        <v>0.00762475499126676</v>
      </c>
      <c r="AA66" s="34" t="n">
        <v>0.00492355545589719</v>
      </c>
      <c r="AB66" s="34" t="n">
        <v>0.00949715166839133</v>
      </c>
      <c r="AC66" s="34" t="n">
        <v>0.00739347777158409</v>
      </c>
      <c r="AD66" s="34" t="n">
        <v>0.0109480568786955</v>
      </c>
      <c r="AE66" s="34" t="n">
        <v>0.00667443057471467</v>
      </c>
      <c r="AF66" s="34" t="n">
        <v>0.00514776720080143</v>
      </c>
      <c r="AG66" s="34" t="n">
        <v>0.00801404460445609</v>
      </c>
      <c r="AH66" s="34" t="n">
        <v>0.00466613630324206</v>
      </c>
      <c r="AI66" s="34" t="n">
        <v>0.0068983190952531</v>
      </c>
      <c r="AJ66" s="34" t="n">
        <v>0.00850889245967815</v>
      </c>
      <c r="AK66" s="34" t="n">
        <v>0.0077349018012731</v>
      </c>
      <c r="AL66" s="34" t="n">
        <v>0.00634622829278632</v>
      </c>
      <c r="AM66" s="34" t="n">
        <v>0.00479791887410118</v>
      </c>
      <c r="AN66" s="34" t="n">
        <v>0.00496626876966931</v>
      </c>
      <c r="AO66" s="34" t="n">
        <v>0.00473942256947795</v>
      </c>
      <c r="AP66" s="34" t="n">
        <v>0.00268732614506191</v>
      </c>
      <c r="AQ66" s="34" t="n">
        <v>0.00893611004100836</v>
      </c>
      <c r="AR66" s="34" t="n">
        <v>0.00391893373622161</v>
      </c>
      <c r="AS66" s="34" t="n">
        <v>0.00634378896624092</v>
      </c>
      <c r="AT66" s="34" t="n">
        <v>0.00864016459057221</v>
      </c>
      <c r="AU66" s="34" t="n">
        <v>0.00810072175091784</v>
      </c>
      <c r="AV66" s="34" t="n">
        <v>0.00633821813568206</v>
      </c>
      <c r="AW66" s="34" t="n">
        <v>0.0110608349700629</v>
      </c>
      <c r="AX66" s="34" t="n">
        <v>0.0266561993776375</v>
      </c>
      <c r="AY66" s="34" t="n">
        <v>0.0058450610921341</v>
      </c>
      <c r="AZ66" s="34" t="n">
        <v>0.00531505810840564</v>
      </c>
      <c r="BA66" s="34" t="n">
        <v>0.00743642745367748</v>
      </c>
      <c r="BB66" s="34" t="n">
        <v>0.0123534797555591</v>
      </c>
      <c r="BC66" s="34" t="n">
        <v>0.00865612826994863</v>
      </c>
      <c r="BD66" s="34" t="n">
        <v>0.00580504078056344</v>
      </c>
      <c r="BE66" s="34" t="n">
        <v>0.00918061061094073</v>
      </c>
      <c r="BF66" s="34" t="n">
        <v>0.000823525323099112</v>
      </c>
      <c r="BG66" s="34" t="n">
        <v>0.00597197385370446</v>
      </c>
      <c r="BH66" s="34" t="n">
        <v>0.00199473810930341</v>
      </c>
      <c r="BI66" s="34" t="n">
        <v>0.00726083467942579</v>
      </c>
      <c r="BJ66" s="34" t="n">
        <v>0.00418217439463902</v>
      </c>
      <c r="BK66" s="34" t="n">
        <v>0.00502838499447541</v>
      </c>
      <c r="BL66" s="34" t="n">
        <v>1.00259006236905</v>
      </c>
      <c r="BM66" s="34" t="n">
        <v>0.0099124989582009</v>
      </c>
      <c r="BN66" s="34" t="n">
        <v>0.00994135869056291</v>
      </c>
      <c r="BO66" s="34" t="n">
        <v>0.0137712202435723</v>
      </c>
      <c r="BP66" s="34" t="n">
        <v>0.008551417414231</v>
      </c>
      <c r="BQ66" s="34" t="n">
        <v>0.00135489282566622</v>
      </c>
      <c r="BR66" s="34" t="n">
        <v>0.0064757173494369</v>
      </c>
      <c r="BS66" s="34" t="n">
        <v>0.00268012642911237</v>
      </c>
      <c r="BT66" s="34" t="n">
        <v>0</v>
      </c>
    </row>
    <row r="67" customFormat="false" ht="11.25" hidden="false" customHeight="true" outlineLevel="0" collapsed="false">
      <c r="B67" s="19" t="s">
        <v>185</v>
      </c>
      <c r="C67" s="20" t="s">
        <v>186</v>
      </c>
      <c r="D67" s="19" t="n">
        <v>61</v>
      </c>
      <c r="E67" s="33" t="n">
        <v>0.00223398225387581</v>
      </c>
      <c r="F67" s="33" t="n">
        <v>0.00225158822525803</v>
      </c>
      <c r="G67" s="33" t="n">
        <v>0.00118341880343406</v>
      </c>
      <c r="H67" s="33" t="n">
        <v>0.00346074105652432</v>
      </c>
      <c r="I67" s="33" t="n">
        <v>0.00439110724346941</v>
      </c>
      <c r="J67" s="33" t="n">
        <v>0.00364035752619525</v>
      </c>
      <c r="K67" s="33" t="n">
        <v>0.00474690356731444</v>
      </c>
      <c r="L67" s="33" t="n">
        <v>0.00684071850431224</v>
      </c>
      <c r="M67" s="33" t="n">
        <v>0.00442221934546569</v>
      </c>
      <c r="N67" s="33" t="n">
        <v>0.00618172423292234</v>
      </c>
      <c r="O67" s="33" t="n">
        <v>0.00979962974689174</v>
      </c>
      <c r="P67" s="33" t="n">
        <v>0.00688993156286978</v>
      </c>
      <c r="Q67" s="33" t="n">
        <v>0.00401671977110915</v>
      </c>
      <c r="R67" s="33" t="n">
        <v>0.00358170327144447</v>
      </c>
      <c r="S67" s="33" t="n">
        <v>0.0058183473610672</v>
      </c>
      <c r="T67" s="33" t="n">
        <v>0.00540340150832293</v>
      </c>
      <c r="U67" s="33" t="n">
        <v>0.00743428015039254</v>
      </c>
      <c r="V67" s="33" t="n">
        <v>0.00261340857981343</v>
      </c>
      <c r="W67" s="33" t="n">
        <v>0.00302806111048996</v>
      </c>
      <c r="X67" s="33" t="n">
        <v>0.00372459378760128</v>
      </c>
      <c r="Y67" s="33" t="n">
        <v>0.00735094386861929</v>
      </c>
      <c r="Z67" s="33" t="n">
        <v>0.00722290817512938</v>
      </c>
      <c r="AA67" s="33" t="n">
        <v>0.00682125359299257</v>
      </c>
      <c r="AB67" s="33" t="n">
        <v>0.00861854220971728</v>
      </c>
      <c r="AC67" s="33" t="n">
        <v>0.00582314103178682</v>
      </c>
      <c r="AD67" s="33" t="n">
        <v>0.00633471692031352</v>
      </c>
      <c r="AE67" s="33" t="n">
        <v>0.00824685648987509</v>
      </c>
      <c r="AF67" s="33" t="n">
        <v>0.00688759785308723</v>
      </c>
      <c r="AG67" s="33" t="n">
        <v>0.00610067247898176</v>
      </c>
      <c r="AH67" s="33" t="n">
        <v>0.00409656360954393</v>
      </c>
      <c r="AI67" s="33" t="n">
        <v>0.0061135613537603</v>
      </c>
      <c r="AJ67" s="33" t="n">
        <v>0.00652917930847985</v>
      </c>
      <c r="AK67" s="33" t="n">
        <v>0.00578858432436065</v>
      </c>
      <c r="AL67" s="33" t="n">
        <v>0.00412501078522584</v>
      </c>
      <c r="AM67" s="33" t="n">
        <v>0.00334570303325184</v>
      </c>
      <c r="AN67" s="33" t="n">
        <v>0.00400245115386905</v>
      </c>
      <c r="AO67" s="33" t="n">
        <v>0.00288902800022075</v>
      </c>
      <c r="AP67" s="33" t="n">
        <v>0.00321120319695134</v>
      </c>
      <c r="AQ67" s="33" t="n">
        <v>0.00365325560211835</v>
      </c>
      <c r="AR67" s="33" t="n">
        <v>0.00281920120413363</v>
      </c>
      <c r="AS67" s="33" t="n">
        <v>0.00385578621072281</v>
      </c>
      <c r="AT67" s="33" t="n">
        <v>0.00514797705468827</v>
      </c>
      <c r="AU67" s="33" t="n">
        <v>0.00299180729395067</v>
      </c>
      <c r="AV67" s="33" t="n">
        <v>0.0047352970829897</v>
      </c>
      <c r="AW67" s="33" t="n">
        <v>0.00565591567127184</v>
      </c>
      <c r="AX67" s="33" t="n">
        <v>0.00533530550533647</v>
      </c>
      <c r="AY67" s="33" t="n">
        <v>0.00533403251712759</v>
      </c>
      <c r="AZ67" s="33" t="n">
        <v>0.00347949916403623</v>
      </c>
      <c r="BA67" s="33" t="n">
        <v>0.0071273590729775</v>
      </c>
      <c r="BB67" s="33" t="n">
        <v>0.0103789030012212</v>
      </c>
      <c r="BC67" s="33" t="n">
        <v>0.00617198090858558</v>
      </c>
      <c r="BD67" s="33" t="n">
        <v>0.00402949895029568</v>
      </c>
      <c r="BE67" s="33" t="n">
        <v>0.00354070580489867</v>
      </c>
      <c r="BF67" s="33" t="n">
        <v>0.000568922188429228</v>
      </c>
      <c r="BG67" s="33" t="n">
        <v>0.00555784927001831</v>
      </c>
      <c r="BH67" s="33" t="n">
        <v>0.00766517781701928</v>
      </c>
      <c r="BI67" s="33" t="n">
        <v>0.00751284670619105</v>
      </c>
      <c r="BJ67" s="33" t="n">
        <v>0.00350525369097183</v>
      </c>
      <c r="BK67" s="33" t="n">
        <v>0.00458480295956222</v>
      </c>
      <c r="BL67" s="33" t="n">
        <v>0.0024801950618479</v>
      </c>
      <c r="BM67" s="33" t="n">
        <v>1.00293999315243</v>
      </c>
      <c r="BN67" s="33" t="n">
        <v>0.00158201482287192</v>
      </c>
      <c r="BO67" s="33" t="n">
        <v>0.00440040396467112</v>
      </c>
      <c r="BP67" s="33" t="n">
        <v>0.00355502416431991</v>
      </c>
      <c r="BQ67" s="33" t="n">
        <v>0.0026971591679103</v>
      </c>
      <c r="BR67" s="33" t="n">
        <v>0.00677509151779475</v>
      </c>
      <c r="BS67" s="33" t="n">
        <v>0.00670699112609028</v>
      </c>
      <c r="BT67" s="33" t="n">
        <v>0</v>
      </c>
    </row>
    <row r="68" customFormat="false" ht="11.25" hidden="false" customHeight="true" outlineLevel="0" collapsed="false">
      <c r="B68" s="24" t="s">
        <v>187</v>
      </c>
      <c r="C68" s="25" t="s">
        <v>188</v>
      </c>
      <c r="D68" s="24" t="n">
        <v>62</v>
      </c>
      <c r="E68" s="34" t="n">
        <v>7.8786573525193E-005</v>
      </c>
      <c r="F68" s="34" t="n">
        <v>7.56703473233475E-005</v>
      </c>
      <c r="G68" s="34" t="n">
        <v>2.8657738751626E-005</v>
      </c>
      <c r="H68" s="34" t="n">
        <v>0.000150948233295695</v>
      </c>
      <c r="I68" s="34" t="n">
        <v>0.000144303713933951</v>
      </c>
      <c r="J68" s="34" t="n">
        <v>0.00048707950011043</v>
      </c>
      <c r="K68" s="34" t="n">
        <v>0.000176732315099923</v>
      </c>
      <c r="L68" s="34" t="n">
        <v>0.000291442593043099</v>
      </c>
      <c r="M68" s="34" t="n">
        <v>0.000183878450722204</v>
      </c>
      <c r="N68" s="34" t="n">
        <v>0.00020166674675788</v>
      </c>
      <c r="O68" s="34" t="n">
        <v>0.000447235425262512</v>
      </c>
      <c r="P68" s="34" t="n">
        <v>0.000511629364195137</v>
      </c>
      <c r="Q68" s="34" t="n">
        <v>0.000135382650485533</v>
      </c>
      <c r="R68" s="34" t="n">
        <v>0.000174757601321055</v>
      </c>
      <c r="S68" s="34" t="n">
        <v>0.000310878820079988</v>
      </c>
      <c r="T68" s="34" t="n">
        <v>0.000231783081285269</v>
      </c>
      <c r="U68" s="34" t="n">
        <v>0.000311606335024144</v>
      </c>
      <c r="V68" s="34" t="n">
        <v>0.000116138329783333</v>
      </c>
      <c r="W68" s="34" t="n">
        <v>8.97260093797659E-005</v>
      </c>
      <c r="X68" s="34" t="n">
        <v>0.000119071950330622</v>
      </c>
      <c r="Y68" s="34" t="n">
        <v>0.000290793170451864</v>
      </c>
      <c r="Z68" s="34" t="n">
        <v>0.00027744608804706</v>
      </c>
      <c r="AA68" s="34" t="n">
        <v>0.000473134494165907</v>
      </c>
      <c r="AB68" s="34" t="n">
        <v>0.0010170760653095</v>
      </c>
      <c r="AC68" s="34" t="n">
        <v>0.000266687192414855</v>
      </c>
      <c r="AD68" s="34" t="n">
        <v>0.000272186614304489</v>
      </c>
      <c r="AE68" s="34" t="n">
        <v>0.000332746955380203</v>
      </c>
      <c r="AF68" s="34" t="n">
        <v>0.000627942712866413</v>
      </c>
      <c r="AG68" s="34" t="n">
        <v>0.000247318545939192</v>
      </c>
      <c r="AH68" s="34" t="n">
        <v>0.000233953976167216</v>
      </c>
      <c r="AI68" s="34" t="n">
        <v>0.000706004259245076</v>
      </c>
      <c r="AJ68" s="34" t="n">
        <v>0.000493516308435223</v>
      </c>
      <c r="AK68" s="34" t="n">
        <v>0.000594267821467141</v>
      </c>
      <c r="AL68" s="34" t="n">
        <v>0.000546491858352285</v>
      </c>
      <c r="AM68" s="34" t="n">
        <v>0.00028333391625056</v>
      </c>
      <c r="AN68" s="34" t="n">
        <v>0.000218526190010885</v>
      </c>
      <c r="AO68" s="34" t="n">
        <v>0.000151327418242133</v>
      </c>
      <c r="AP68" s="34" t="n">
        <v>0.000179559998453596</v>
      </c>
      <c r="AQ68" s="34" t="n">
        <v>0.000122691288755079</v>
      </c>
      <c r="AR68" s="34" t="n">
        <v>0.000130981198968683</v>
      </c>
      <c r="AS68" s="34" t="n">
        <v>0.000134644410090447</v>
      </c>
      <c r="AT68" s="34" t="n">
        <v>0.000177314181802105</v>
      </c>
      <c r="AU68" s="34" t="n">
        <v>0.000119966002697385</v>
      </c>
      <c r="AV68" s="34" t="n">
        <v>0.000113718585383282</v>
      </c>
      <c r="AW68" s="34" t="n">
        <v>0.000108041863084333</v>
      </c>
      <c r="AX68" s="34" t="n">
        <v>0.00023029606904702</v>
      </c>
      <c r="AY68" s="34" t="n">
        <v>0.000115192653005015</v>
      </c>
      <c r="AZ68" s="34" t="n">
        <v>0.000117781249802882</v>
      </c>
      <c r="BA68" s="34" t="n">
        <v>0.000190245979479194</v>
      </c>
      <c r="BB68" s="34" t="n">
        <v>0.000159633592543416</v>
      </c>
      <c r="BC68" s="34" t="n">
        <v>0.000315591611238619</v>
      </c>
      <c r="BD68" s="34" t="n">
        <v>0.000280970853324081</v>
      </c>
      <c r="BE68" s="34" t="n">
        <v>0.000105660123080157</v>
      </c>
      <c r="BF68" s="34" t="n">
        <v>1.36895451124428E-005</v>
      </c>
      <c r="BG68" s="34" t="n">
        <v>0.00018270405907026</v>
      </c>
      <c r="BH68" s="34" t="n">
        <v>0.00316852229980376</v>
      </c>
      <c r="BI68" s="34" t="n">
        <v>0.000165299114206096</v>
      </c>
      <c r="BJ68" s="34" t="n">
        <v>0.000223315343265123</v>
      </c>
      <c r="BK68" s="34" t="n">
        <v>0.000133355088747213</v>
      </c>
      <c r="BL68" s="34" t="n">
        <v>8.3440575584237E-005</v>
      </c>
      <c r="BM68" s="34" t="n">
        <v>7.79145488357021E-005</v>
      </c>
      <c r="BN68" s="34" t="n">
        <v>1.00005298132866</v>
      </c>
      <c r="BO68" s="34" t="n">
        <v>9.28975717025703E-005</v>
      </c>
      <c r="BP68" s="34" t="n">
        <v>0.000159644602391624</v>
      </c>
      <c r="BQ68" s="34" t="n">
        <v>0.00016117769904324</v>
      </c>
      <c r="BR68" s="34" t="n">
        <v>0.000136238008750586</v>
      </c>
      <c r="BS68" s="34" t="n">
        <v>0.000153754690188264</v>
      </c>
      <c r="BT68" s="34" t="n">
        <v>0</v>
      </c>
    </row>
    <row r="69" customFormat="false" ht="11.25" hidden="false" customHeight="true" outlineLevel="0" collapsed="false">
      <c r="B69" s="19" t="s">
        <v>189</v>
      </c>
      <c r="C69" s="20" t="s">
        <v>190</v>
      </c>
      <c r="D69" s="19" t="n">
        <v>63</v>
      </c>
      <c r="E69" s="33" t="n">
        <v>0.000935196699183261</v>
      </c>
      <c r="F69" s="33" t="n">
        <v>0.00098097970153722</v>
      </c>
      <c r="G69" s="33" t="n">
        <v>0.00060164191492609</v>
      </c>
      <c r="H69" s="33" t="n">
        <v>0.00222261283699255</v>
      </c>
      <c r="I69" s="33" t="n">
        <v>0.00256689812965928</v>
      </c>
      <c r="J69" s="33" t="n">
        <v>0.00393174602140195</v>
      </c>
      <c r="K69" s="33" t="n">
        <v>0.00460597466158449</v>
      </c>
      <c r="L69" s="33" t="n">
        <v>0.00390487473603749</v>
      </c>
      <c r="M69" s="33" t="n">
        <v>0.00224381949779322</v>
      </c>
      <c r="N69" s="33" t="n">
        <v>0.00322345482790046</v>
      </c>
      <c r="O69" s="33" t="n">
        <v>0.00316768764126805</v>
      </c>
      <c r="P69" s="33" t="n">
        <v>0.00294705451568085</v>
      </c>
      <c r="Q69" s="33" t="n">
        <v>0.0021553863013658</v>
      </c>
      <c r="R69" s="33" t="n">
        <v>0.0019441007590036</v>
      </c>
      <c r="S69" s="33" t="n">
        <v>0.00298395385724883</v>
      </c>
      <c r="T69" s="33" t="n">
        <v>0.00239677479873024</v>
      </c>
      <c r="U69" s="33" t="n">
        <v>0.00449331350662175</v>
      </c>
      <c r="V69" s="33" t="n">
        <v>0.00146933187869088</v>
      </c>
      <c r="W69" s="33" t="n">
        <v>0.00181722501723431</v>
      </c>
      <c r="X69" s="33" t="n">
        <v>0.00196443517595387</v>
      </c>
      <c r="Y69" s="33" t="n">
        <v>0.00233825249553124</v>
      </c>
      <c r="Z69" s="33" t="n">
        <v>0.00383327819768361</v>
      </c>
      <c r="AA69" s="33" t="n">
        <v>0.00259231809948878</v>
      </c>
      <c r="AB69" s="33" t="n">
        <v>0.00384695633322417</v>
      </c>
      <c r="AC69" s="33" t="n">
        <v>0.00278990373060216</v>
      </c>
      <c r="AD69" s="33" t="n">
        <v>0.00305003333853491</v>
      </c>
      <c r="AE69" s="33" t="n">
        <v>0.00554323076525019</v>
      </c>
      <c r="AF69" s="33" t="n">
        <v>0.00400267988826586</v>
      </c>
      <c r="AG69" s="33" t="n">
        <v>0.0043344137020645</v>
      </c>
      <c r="AH69" s="33" t="n">
        <v>0.00203537510343269</v>
      </c>
      <c r="AI69" s="33" t="n">
        <v>0.00316799479696001</v>
      </c>
      <c r="AJ69" s="33" t="n">
        <v>0.00378179885744891</v>
      </c>
      <c r="AK69" s="33" t="n">
        <v>0.00308545894669852</v>
      </c>
      <c r="AL69" s="33" t="n">
        <v>0.00201904012454956</v>
      </c>
      <c r="AM69" s="33" t="n">
        <v>0.00163131300667046</v>
      </c>
      <c r="AN69" s="33" t="n">
        <v>0.00208982518276272</v>
      </c>
      <c r="AO69" s="33" t="n">
        <v>0.00151215904704887</v>
      </c>
      <c r="AP69" s="33" t="n">
        <v>0.00162615473274485</v>
      </c>
      <c r="AQ69" s="33" t="n">
        <v>0.00119447762879735</v>
      </c>
      <c r="AR69" s="33" t="n">
        <v>0.0014037818470083</v>
      </c>
      <c r="AS69" s="33" t="n">
        <v>0.00182969098041013</v>
      </c>
      <c r="AT69" s="33" t="n">
        <v>0.00351497108798894</v>
      </c>
      <c r="AU69" s="33" t="n">
        <v>0.0060945321389681</v>
      </c>
      <c r="AV69" s="33" t="n">
        <v>0.00665000721032291</v>
      </c>
      <c r="AW69" s="33" t="n">
        <v>0.0024269342089041</v>
      </c>
      <c r="AX69" s="33" t="n">
        <v>0.00467504403926947</v>
      </c>
      <c r="AY69" s="33" t="n">
        <v>0.00155370752110637</v>
      </c>
      <c r="AZ69" s="33" t="n">
        <v>0.0013785180859113</v>
      </c>
      <c r="BA69" s="33" t="n">
        <v>0.00317175692144326</v>
      </c>
      <c r="BB69" s="33" t="n">
        <v>0.00369641436019681</v>
      </c>
      <c r="BC69" s="33" t="n">
        <v>0.00417930874889311</v>
      </c>
      <c r="BD69" s="33" t="n">
        <v>0.00169084400140192</v>
      </c>
      <c r="BE69" s="33" t="n">
        <v>0.00584588749968394</v>
      </c>
      <c r="BF69" s="33" t="n">
        <v>0.000367744740370574</v>
      </c>
      <c r="BG69" s="33" t="n">
        <v>0.0168135546602202</v>
      </c>
      <c r="BH69" s="33" t="n">
        <v>0.00539986551696271</v>
      </c>
      <c r="BI69" s="33" t="n">
        <v>0.0101764209701462</v>
      </c>
      <c r="BJ69" s="33" t="n">
        <v>0.00282342829197806</v>
      </c>
      <c r="BK69" s="33" t="n">
        <v>0.0109613721057592</v>
      </c>
      <c r="BL69" s="33" t="n">
        <v>0.00617402746226541</v>
      </c>
      <c r="BM69" s="33" t="n">
        <v>0.0015486024055975</v>
      </c>
      <c r="BN69" s="33" t="n">
        <v>0.00123635323404342</v>
      </c>
      <c r="BO69" s="33" t="n">
        <v>1.00156711056902</v>
      </c>
      <c r="BP69" s="33" t="n">
        <v>0.00418458170692173</v>
      </c>
      <c r="BQ69" s="33" t="n">
        <v>0.00092549758794141</v>
      </c>
      <c r="BR69" s="33" t="n">
        <v>0.00194367481933782</v>
      </c>
      <c r="BS69" s="33" t="n">
        <v>0.00549395104686882</v>
      </c>
      <c r="BT69" s="33" t="n">
        <v>0</v>
      </c>
    </row>
    <row r="70" customFormat="false" ht="11.25" hidden="false" customHeight="true" outlineLevel="0" collapsed="false">
      <c r="B70" s="24" t="s">
        <v>191</v>
      </c>
      <c r="C70" s="25" t="s">
        <v>192</v>
      </c>
      <c r="D70" s="24" t="n">
        <v>64</v>
      </c>
      <c r="E70" s="34" t="n">
        <v>6.29621536668175E-006</v>
      </c>
      <c r="F70" s="34" t="n">
        <v>5.93323516111032E-006</v>
      </c>
      <c r="G70" s="34" t="n">
        <v>1.90654121063863E-006</v>
      </c>
      <c r="H70" s="34" t="n">
        <v>9.45785435284044E-006</v>
      </c>
      <c r="I70" s="34" t="n">
        <v>9.77822005448169E-006</v>
      </c>
      <c r="J70" s="34" t="n">
        <v>4.80889086991786E-005</v>
      </c>
      <c r="K70" s="34" t="n">
        <v>1.11261784002152E-005</v>
      </c>
      <c r="L70" s="34" t="n">
        <v>2.18812002030211E-005</v>
      </c>
      <c r="M70" s="34" t="n">
        <v>1.43700515258512E-005</v>
      </c>
      <c r="N70" s="34" t="n">
        <v>1.40119518519608E-005</v>
      </c>
      <c r="O70" s="34" t="n">
        <v>4.12886447751006E-005</v>
      </c>
      <c r="P70" s="34" t="n">
        <v>4.78580066143199E-005</v>
      </c>
      <c r="Q70" s="34" t="n">
        <v>8.79387884181146E-006</v>
      </c>
      <c r="R70" s="34" t="n">
        <v>1.34452778318559E-005</v>
      </c>
      <c r="S70" s="34" t="n">
        <v>2.60435559534587E-005</v>
      </c>
      <c r="T70" s="34" t="n">
        <v>1.9818058038746E-005</v>
      </c>
      <c r="U70" s="34" t="n">
        <v>2.39463002685416E-005</v>
      </c>
      <c r="V70" s="34" t="n">
        <v>9.01971260696676E-006</v>
      </c>
      <c r="W70" s="34" t="n">
        <v>5.50611014885314E-006</v>
      </c>
      <c r="X70" s="34" t="n">
        <v>7.91668775074867E-006</v>
      </c>
      <c r="Y70" s="34" t="n">
        <v>2.53983883636203E-005</v>
      </c>
      <c r="Z70" s="34" t="n">
        <v>2.10448762611975E-005</v>
      </c>
      <c r="AA70" s="34" t="n">
        <v>4.52491336225771E-005</v>
      </c>
      <c r="AB70" s="34" t="n">
        <v>0.000101664093308744</v>
      </c>
      <c r="AC70" s="34" t="n">
        <v>2.16589497268381E-005</v>
      </c>
      <c r="AD70" s="34" t="n">
        <v>2.1160375032384E-005</v>
      </c>
      <c r="AE70" s="34" t="n">
        <v>2.76908481432422E-005</v>
      </c>
      <c r="AF70" s="34" t="n">
        <v>6.21463299025386E-005</v>
      </c>
      <c r="AG70" s="34" t="n">
        <v>1.82156898648069E-005</v>
      </c>
      <c r="AH70" s="34" t="n">
        <v>1.96739196671487E-005</v>
      </c>
      <c r="AI70" s="34" t="n">
        <v>6.99283434097162E-005</v>
      </c>
      <c r="AJ70" s="34" t="n">
        <v>4.3710244146106E-005</v>
      </c>
      <c r="AK70" s="34" t="n">
        <v>5.93800349103942E-005</v>
      </c>
      <c r="AL70" s="34" t="n">
        <v>5.560797220935E-005</v>
      </c>
      <c r="AM70" s="34" t="n">
        <v>2.73571468062056E-005</v>
      </c>
      <c r="AN70" s="34" t="n">
        <v>1.85758472343066E-005</v>
      </c>
      <c r="AO70" s="34" t="n">
        <v>1.26869230646537E-005</v>
      </c>
      <c r="AP70" s="34" t="n">
        <v>1.57069273851136E-005</v>
      </c>
      <c r="AQ70" s="34" t="n">
        <v>9.8552524064164E-006</v>
      </c>
      <c r="AR70" s="34" t="n">
        <v>1.04138836128845E-005</v>
      </c>
      <c r="AS70" s="34" t="n">
        <v>9.03248102398477E-006</v>
      </c>
      <c r="AT70" s="34" t="n">
        <v>9.60514747905578E-006</v>
      </c>
      <c r="AU70" s="34" t="n">
        <v>6.52248708314368E-006</v>
      </c>
      <c r="AV70" s="34" t="n">
        <v>5.25596415126962E-006</v>
      </c>
      <c r="AW70" s="34" t="n">
        <v>5.64631878739437E-006</v>
      </c>
      <c r="AX70" s="34" t="n">
        <v>1.50982270052133E-005</v>
      </c>
      <c r="AY70" s="34" t="n">
        <v>5.16589868420124E-006</v>
      </c>
      <c r="AZ70" s="34" t="n">
        <v>8.24490491476699E-006</v>
      </c>
      <c r="BA70" s="34" t="n">
        <v>1.18401356145633E-005</v>
      </c>
      <c r="BB70" s="34" t="n">
        <v>6.62739971810667E-006</v>
      </c>
      <c r="BC70" s="34" t="n">
        <v>1.66187532528911E-005</v>
      </c>
      <c r="BD70" s="34" t="n">
        <v>2.37398010153447E-005</v>
      </c>
      <c r="BE70" s="34" t="n">
        <v>2.66441257702385E-006</v>
      </c>
      <c r="BF70" s="34" t="n">
        <v>5.53908587430651E-007</v>
      </c>
      <c r="BG70" s="34" t="n">
        <v>3.03716433428079E-006</v>
      </c>
      <c r="BH70" s="34" t="n">
        <v>0.000340472840627996</v>
      </c>
      <c r="BI70" s="34" t="n">
        <v>6.29637848413112E-006</v>
      </c>
      <c r="BJ70" s="34" t="n">
        <v>1.88654836064288E-005</v>
      </c>
      <c r="BK70" s="34" t="n">
        <v>4.08190781975338E-006</v>
      </c>
      <c r="BL70" s="34" t="n">
        <v>1.77000610916466E-006</v>
      </c>
      <c r="BM70" s="34" t="n">
        <v>4.4356879218674E-006</v>
      </c>
      <c r="BN70" s="34" t="n">
        <v>2.69611269489506E-006</v>
      </c>
      <c r="BO70" s="34" t="n">
        <v>3.14952232061842E-006</v>
      </c>
      <c r="BP70" s="34" t="n">
        <v>1.00001266044165</v>
      </c>
      <c r="BQ70" s="34" t="n">
        <v>0.00124991491644229</v>
      </c>
      <c r="BR70" s="34" t="n">
        <v>4.07400713891073E-006</v>
      </c>
      <c r="BS70" s="34" t="n">
        <v>4.6863444900363E-006</v>
      </c>
      <c r="BT70" s="34" t="n">
        <v>0</v>
      </c>
    </row>
    <row r="71" customFormat="false" ht="11.25" hidden="false" customHeight="true" outlineLevel="0" collapsed="false">
      <c r="B71" s="19" t="s">
        <v>193</v>
      </c>
      <c r="C71" s="20" t="s">
        <v>194</v>
      </c>
      <c r="D71" s="19" t="n">
        <v>65</v>
      </c>
      <c r="E71" s="33" t="n">
        <v>1.07481722489277E-005</v>
      </c>
      <c r="F71" s="33" t="n">
        <v>1.34625875440321E-005</v>
      </c>
      <c r="G71" s="33" t="n">
        <v>6.31292222700231E-006</v>
      </c>
      <c r="H71" s="33" t="n">
        <v>2.24841847917733E-005</v>
      </c>
      <c r="I71" s="33" t="n">
        <v>2.3911563655651E-005</v>
      </c>
      <c r="J71" s="33" t="n">
        <v>1.85509767004526E-005</v>
      </c>
      <c r="K71" s="33" t="n">
        <v>2.85197098366339E-005</v>
      </c>
      <c r="L71" s="33" t="n">
        <v>7.9074252093482E-005</v>
      </c>
      <c r="M71" s="33" t="n">
        <v>3.37914154292869E-005</v>
      </c>
      <c r="N71" s="33" t="n">
        <v>5.28049427601443E-005</v>
      </c>
      <c r="O71" s="33" t="n">
        <v>3.32315436375791E-005</v>
      </c>
      <c r="P71" s="33" t="n">
        <v>4.52570226308113E-005</v>
      </c>
      <c r="Q71" s="33" t="n">
        <v>5.36260115963766E-005</v>
      </c>
      <c r="R71" s="33" t="n">
        <v>5.45740096944881E-005</v>
      </c>
      <c r="S71" s="33" t="n">
        <v>6.47479059388771E-005</v>
      </c>
      <c r="T71" s="33" t="n">
        <v>4.16863472557024E-005</v>
      </c>
      <c r="U71" s="33" t="n">
        <v>6.98086434847556E-005</v>
      </c>
      <c r="V71" s="33" t="n">
        <v>2.68985502505917E-005</v>
      </c>
      <c r="W71" s="33" t="n">
        <v>2.03924587223076E-005</v>
      </c>
      <c r="X71" s="33" t="n">
        <v>3.50395519869045E-005</v>
      </c>
      <c r="Y71" s="33" t="n">
        <v>3.14703924027848E-005</v>
      </c>
      <c r="Z71" s="33" t="n">
        <v>5.05174180626641E-005</v>
      </c>
      <c r="AA71" s="33" t="n">
        <v>3.6082614937033E-005</v>
      </c>
      <c r="AB71" s="33" t="n">
        <v>6.53064833616944E-005</v>
      </c>
      <c r="AC71" s="33" t="n">
        <v>5.48705049066303E-005</v>
      </c>
      <c r="AD71" s="33" t="n">
        <v>5.16048873838356E-005</v>
      </c>
      <c r="AE71" s="33" t="n">
        <v>4.79333303768079E-005</v>
      </c>
      <c r="AF71" s="33" t="n">
        <v>3.09928565757605E-005</v>
      </c>
      <c r="AG71" s="33" t="n">
        <v>5.59229776146663E-005</v>
      </c>
      <c r="AH71" s="33" t="n">
        <v>3.25524217806336E-005</v>
      </c>
      <c r="AI71" s="33" t="n">
        <v>5.23222768228624E-005</v>
      </c>
      <c r="AJ71" s="33" t="n">
        <v>6.64657300436697E-005</v>
      </c>
      <c r="AK71" s="33" t="n">
        <v>2.65230332837335E-005</v>
      </c>
      <c r="AL71" s="33" t="n">
        <v>2.58284509491472E-005</v>
      </c>
      <c r="AM71" s="33" t="n">
        <v>2.39544560951135E-005</v>
      </c>
      <c r="AN71" s="33" t="n">
        <v>4.1582056348932E-005</v>
      </c>
      <c r="AO71" s="33" t="n">
        <v>1.96357748999237E-005</v>
      </c>
      <c r="AP71" s="33" t="n">
        <v>1.68980544142191E-005</v>
      </c>
      <c r="AQ71" s="33" t="n">
        <v>2.04885429651009E-005</v>
      </c>
      <c r="AR71" s="33" t="n">
        <v>2.15571090014257E-005</v>
      </c>
      <c r="AS71" s="33" t="n">
        <v>5.92916837166021E-005</v>
      </c>
      <c r="AT71" s="33" t="n">
        <v>0.000100517450399781</v>
      </c>
      <c r="AU71" s="33" t="n">
        <v>2.47228043739096E-005</v>
      </c>
      <c r="AV71" s="33" t="n">
        <v>2.68403651932245E-005</v>
      </c>
      <c r="AW71" s="33" t="n">
        <v>2.90082320962484E-005</v>
      </c>
      <c r="AX71" s="33" t="n">
        <v>6.45203552685128E-005</v>
      </c>
      <c r="AY71" s="33" t="n">
        <v>0.000108552138712734</v>
      </c>
      <c r="AZ71" s="33" t="n">
        <v>6.54367415067338E-005</v>
      </c>
      <c r="BA71" s="33" t="n">
        <v>7.55147527269287E-005</v>
      </c>
      <c r="BB71" s="33" t="n">
        <v>8.38938482824972E-005</v>
      </c>
      <c r="BC71" s="33" t="n">
        <v>7.85832746022778E-005</v>
      </c>
      <c r="BD71" s="33" t="n">
        <v>4.25303819672883E-005</v>
      </c>
      <c r="BE71" s="33" t="n">
        <v>2.92585225422329E-005</v>
      </c>
      <c r="BF71" s="33" t="n">
        <v>9.37606468438182E-006</v>
      </c>
      <c r="BG71" s="33" t="n">
        <v>6.86933217896423E-005</v>
      </c>
      <c r="BH71" s="33" t="n">
        <v>4.87726341370891E-005</v>
      </c>
      <c r="BI71" s="33" t="n">
        <v>6.19558461754301E-005</v>
      </c>
      <c r="BJ71" s="33" t="n">
        <v>5.63631673538656E-005</v>
      </c>
      <c r="BK71" s="33" t="n">
        <v>4.19610595595154E-005</v>
      </c>
      <c r="BL71" s="33" t="n">
        <v>2.57189296019679E-005</v>
      </c>
      <c r="BM71" s="33" t="n">
        <v>7.47654829890907E-005</v>
      </c>
      <c r="BN71" s="33" t="n">
        <v>2.27699975079548E-005</v>
      </c>
      <c r="BO71" s="33" t="n">
        <v>9.58492156116974E-005</v>
      </c>
      <c r="BP71" s="33" t="n">
        <v>0.00044905510005222</v>
      </c>
      <c r="BQ71" s="33" t="n">
        <v>1.14103644496532</v>
      </c>
      <c r="BR71" s="33" t="n">
        <v>0.000227501374156733</v>
      </c>
      <c r="BS71" s="33" t="n">
        <v>7.20529440452146E-005</v>
      </c>
      <c r="BT71" s="33" t="n">
        <v>0</v>
      </c>
    </row>
    <row r="72" customFormat="false" ht="11.25" hidden="false" customHeight="true" outlineLevel="0" collapsed="false">
      <c r="B72" s="24" t="s">
        <v>195</v>
      </c>
      <c r="C72" s="25" t="s">
        <v>196</v>
      </c>
      <c r="D72" s="24" t="n">
        <v>66</v>
      </c>
      <c r="E72" s="34" t="n">
        <v>0.000196176138907619</v>
      </c>
      <c r="F72" s="34" t="n">
        <v>0.000373958037289974</v>
      </c>
      <c r="G72" s="34" t="n">
        <v>0.000226093022282591</v>
      </c>
      <c r="H72" s="34" t="n">
        <v>0.000434575830076381</v>
      </c>
      <c r="I72" s="34" t="n">
        <v>0.000471828812184765</v>
      </c>
      <c r="J72" s="34" t="n">
        <v>0.000290648558662388</v>
      </c>
      <c r="K72" s="34" t="n">
        <v>0.000427171008055725</v>
      </c>
      <c r="L72" s="34" t="n">
        <v>0.00144878863775984</v>
      </c>
      <c r="M72" s="34" t="n">
        <v>0.000593074519575851</v>
      </c>
      <c r="N72" s="34" t="n">
        <v>0.0011878724237206</v>
      </c>
      <c r="O72" s="34" t="n">
        <v>0.00319298338654799</v>
      </c>
      <c r="P72" s="34" t="n">
        <v>0.00126361180357948</v>
      </c>
      <c r="Q72" s="34" t="n">
        <v>0.000650755005221853</v>
      </c>
      <c r="R72" s="34" t="n">
        <v>0.000808666672601352</v>
      </c>
      <c r="S72" s="34" t="n">
        <v>0.00155066957900798</v>
      </c>
      <c r="T72" s="34" t="n">
        <v>0.000655815847996437</v>
      </c>
      <c r="U72" s="34" t="n">
        <v>0.00119304159566312</v>
      </c>
      <c r="V72" s="34" t="n">
        <v>0.000501335964729041</v>
      </c>
      <c r="W72" s="34" t="n">
        <v>0.000359273391403366</v>
      </c>
      <c r="X72" s="34" t="n">
        <v>0.000547358703976456</v>
      </c>
      <c r="Y72" s="34" t="n">
        <v>0.000480356832781003</v>
      </c>
      <c r="Z72" s="34" t="n">
        <v>0.000955905410912849</v>
      </c>
      <c r="AA72" s="34" t="n">
        <v>0.00142819464690417</v>
      </c>
      <c r="AB72" s="34" t="n">
        <v>0.00188013977029257</v>
      </c>
      <c r="AC72" s="34" t="n">
        <v>0.000871244420036544</v>
      </c>
      <c r="AD72" s="34" t="n">
        <v>0.000839225380228856</v>
      </c>
      <c r="AE72" s="34" t="n">
        <v>0.000702420891975463</v>
      </c>
      <c r="AF72" s="34" t="n">
        <v>0.000466048288235292</v>
      </c>
      <c r="AG72" s="34" t="n">
        <v>0.000936399891754848</v>
      </c>
      <c r="AH72" s="34" t="n">
        <v>0.00100531397696824</v>
      </c>
      <c r="AI72" s="34" t="n">
        <v>0.00101062011602928</v>
      </c>
      <c r="AJ72" s="34" t="n">
        <v>0.00103977087167232</v>
      </c>
      <c r="AK72" s="34" t="n">
        <v>0.00125597639856433</v>
      </c>
      <c r="AL72" s="34" t="n">
        <v>0.000433934621518378</v>
      </c>
      <c r="AM72" s="34" t="n">
        <v>0.000573888016584476</v>
      </c>
      <c r="AN72" s="34" t="n">
        <v>0.000737660671266218</v>
      </c>
      <c r="AO72" s="34" t="n">
        <v>0.000378312610593214</v>
      </c>
      <c r="AP72" s="34" t="n">
        <v>0.000622240880689234</v>
      </c>
      <c r="AQ72" s="34" t="n">
        <v>0.000326958497186436</v>
      </c>
      <c r="AR72" s="34" t="n">
        <v>0.000404740486694456</v>
      </c>
      <c r="AS72" s="34" t="n">
        <v>0.000822357934861274</v>
      </c>
      <c r="AT72" s="34" t="n">
        <v>0.00114236112849214</v>
      </c>
      <c r="AU72" s="34" t="n">
        <v>0.000384160217939693</v>
      </c>
      <c r="AV72" s="34" t="n">
        <v>0.000378813455652965</v>
      </c>
      <c r="AW72" s="34" t="n">
        <v>0.000526182138681411</v>
      </c>
      <c r="AX72" s="34" t="n">
        <v>0.000731957992731907</v>
      </c>
      <c r="AY72" s="34" t="n">
        <v>0.00138973677876527</v>
      </c>
      <c r="AZ72" s="34" t="n">
        <v>0.000746150543882073</v>
      </c>
      <c r="BA72" s="34" t="n">
        <v>0.00225485949014999</v>
      </c>
      <c r="BB72" s="34" t="n">
        <v>0.0523523070955401</v>
      </c>
      <c r="BC72" s="34" t="n">
        <v>0.00459374968908633</v>
      </c>
      <c r="BD72" s="34" t="n">
        <v>0.000897251936598108</v>
      </c>
      <c r="BE72" s="34" t="n">
        <v>0.000865275356276836</v>
      </c>
      <c r="BF72" s="34" t="n">
        <v>0.00011122515722337</v>
      </c>
      <c r="BG72" s="34" t="n">
        <v>0.00109905870909017</v>
      </c>
      <c r="BH72" s="34" t="n">
        <v>0.000547851580204306</v>
      </c>
      <c r="BI72" s="34" t="n">
        <v>0.0142559098156357</v>
      </c>
      <c r="BJ72" s="34" t="n">
        <v>0.000996033886685556</v>
      </c>
      <c r="BK72" s="34" t="n">
        <v>0.000597110764965571</v>
      </c>
      <c r="BL72" s="34" t="n">
        <v>0.000404149445732746</v>
      </c>
      <c r="BM72" s="34" t="n">
        <v>0.0010237893377743</v>
      </c>
      <c r="BN72" s="34" t="n">
        <v>0.00036051194448315</v>
      </c>
      <c r="BO72" s="34" t="n">
        <v>0.00111109108099274</v>
      </c>
      <c r="BP72" s="34" t="n">
        <v>0.000745526406447809</v>
      </c>
      <c r="BQ72" s="34" t="n">
        <v>0.000264647092390641</v>
      </c>
      <c r="BR72" s="34" t="n">
        <v>1.02049196868069</v>
      </c>
      <c r="BS72" s="34" t="n">
        <v>0.00595456767097627</v>
      </c>
      <c r="BT72" s="34" t="n">
        <v>0</v>
      </c>
    </row>
    <row r="73" customFormat="false" ht="11.25" hidden="false" customHeight="true" outlineLevel="0" collapsed="false">
      <c r="B73" s="19" t="s">
        <v>197</v>
      </c>
      <c r="C73" s="20" t="s">
        <v>198</v>
      </c>
      <c r="D73" s="19" t="n">
        <v>67</v>
      </c>
      <c r="E73" s="33" t="n">
        <v>0.00158149502410181</v>
      </c>
      <c r="F73" s="33" t="n">
        <v>0.00173937357832647</v>
      </c>
      <c r="G73" s="33" t="n">
        <v>0.00137901370110641</v>
      </c>
      <c r="H73" s="33" t="n">
        <v>0.00447154417605887</v>
      </c>
      <c r="I73" s="33" t="n">
        <v>0.00633484795035605</v>
      </c>
      <c r="J73" s="33" t="n">
        <v>0.00579537323037434</v>
      </c>
      <c r="K73" s="33" t="n">
        <v>0.00714337340948514</v>
      </c>
      <c r="L73" s="33" t="n">
        <v>0.00707158126229489</v>
      </c>
      <c r="M73" s="33" t="n">
        <v>0.00493042765237771</v>
      </c>
      <c r="N73" s="33" t="n">
        <v>0.00533126909446903</v>
      </c>
      <c r="O73" s="33" t="n">
        <v>0.00595429118125188</v>
      </c>
      <c r="P73" s="33" t="n">
        <v>0.00511177191148172</v>
      </c>
      <c r="Q73" s="33" t="n">
        <v>0.00496044951081895</v>
      </c>
      <c r="R73" s="33" t="n">
        <v>0.00556177035762083</v>
      </c>
      <c r="S73" s="33" t="n">
        <v>0.00641782380469685</v>
      </c>
      <c r="T73" s="33" t="n">
        <v>0.00678526562013753</v>
      </c>
      <c r="U73" s="33" t="n">
        <v>0.0075934783004379</v>
      </c>
      <c r="V73" s="33" t="n">
        <v>0.00488045357112171</v>
      </c>
      <c r="W73" s="33" t="n">
        <v>0.00368329790949868</v>
      </c>
      <c r="X73" s="33" t="n">
        <v>0.00391503548345662</v>
      </c>
      <c r="Y73" s="33" t="n">
        <v>0.00378818345594595</v>
      </c>
      <c r="Z73" s="33" t="n">
        <v>0.00482970632658652</v>
      </c>
      <c r="AA73" s="33" t="n">
        <v>0.00428601043106226</v>
      </c>
      <c r="AB73" s="33" t="n">
        <v>0.00651068401060168</v>
      </c>
      <c r="AC73" s="33" t="n">
        <v>0.00601636529821521</v>
      </c>
      <c r="AD73" s="33" t="n">
        <v>0.00668188676738708</v>
      </c>
      <c r="AE73" s="33" t="n">
        <v>0.0062014802364847</v>
      </c>
      <c r="AF73" s="33" t="n">
        <v>0.00439485522092583</v>
      </c>
      <c r="AG73" s="33" t="n">
        <v>0.007787276486692</v>
      </c>
      <c r="AH73" s="33" t="n">
        <v>0.00563634310550255</v>
      </c>
      <c r="AI73" s="33" t="n">
        <v>0.00654384971007846</v>
      </c>
      <c r="AJ73" s="33" t="n">
        <v>0.0072503985734064</v>
      </c>
      <c r="AK73" s="33" t="n">
        <v>0.00509028310466902</v>
      </c>
      <c r="AL73" s="33" t="n">
        <v>0.00466744252222783</v>
      </c>
      <c r="AM73" s="33" t="n">
        <v>0.00386466812372171</v>
      </c>
      <c r="AN73" s="33" t="n">
        <v>0.00526077104730236</v>
      </c>
      <c r="AO73" s="33" t="n">
        <v>0.00219530673639014</v>
      </c>
      <c r="AP73" s="33" t="n">
        <v>0.00343651064838377</v>
      </c>
      <c r="AQ73" s="33" t="n">
        <v>0.00138227763645741</v>
      </c>
      <c r="AR73" s="33" t="n">
        <v>0.00238911503868146</v>
      </c>
      <c r="AS73" s="33" t="n">
        <v>0.00230629664476683</v>
      </c>
      <c r="AT73" s="33" t="n">
        <v>0.00588566003400921</v>
      </c>
      <c r="AU73" s="33" t="n">
        <v>0.00360525314863691</v>
      </c>
      <c r="AV73" s="33" t="n">
        <v>0.00276638644814902</v>
      </c>
      <c r="AW73" s="33" t="n">
        <v>0.00349917774511913</v>
      </c>
      <c r="AX73" s="33" t="n">
        <v>0.0105303819493783</v>
      </c>
      <c r="AY73" s="33" t="n">
        <v>0.00851835091901811</v>
      </c>
      <c r="AZ73" s="33" t="n">
        <v>0.00307044120152392</v>
      </c>
      <c r="BA73" s="33" t="n">
        <v>0.00665649967084249</v>
      </c>
      <c r="BB73" s="33" t="n">
        <v>0.00873703827893568</v>
      </c>
      <c r="BC73" s="33" t="n">
        <v>0.021610443934511</v>
      </c>
      <c r="BD73" s="33" t="n">
        <v>0.0106570353377671</v>
      </c>
      <c r="BE73" s="33" t="n">
        <v>0.00488889724600836</v>
      </c>
      <c r="BF73" s="33" t="n">
        <v>0.000531843533706044</v>
      </c>
      <c r="BG73" s="33" t="n">
        <v>0.00410697228276259</v>
      </c>
      <c r="BH73" s="33" t="n">
        <v>0.00256264411345622</v>
      </c>
      <c r="BI73" s="33" t="n">
        <v>0.0108545889443989</v>
      </c>
      <c r="BJ73" s="33" t="n">
        <v>0.00421905254914878</v>
      </c>
      <c r="BK73" s="33" t="n">
        <v>0.00689038122515442</v>
      </c>
      <c r="BL73" s="33" t="n">
        <v>0.00222654276309803</v>
      </c>
      <c r="BM73" s="33" t="n">
        <v>0.00199928900817652</v>
      </c>
      <c r="BN73" s="33" t="n">
        <v>0.00097363276656821</v>
      </c>
      <c r="BO73" s="33" t="n">
        <v>0.00577068063370661</v>
      </c>
      <c r="BP73" s="33" t="n">
        <v>0.00893470738046123</v>
      </c>
      <c r="BQ73" s="33" t="n">
        <v>0.00934367146670576</v>
      </c>
      <c r="BR73" s="33" t="n">
        <v>0.00321520455663196</v>
      </c>
      <c r="BS73" s="33" t="n">
        <v>1.00591139448225</v>
      </c>
      <c r="BT73" s="33" t="n">
        <v>0</v>
      </c>
    </row>
    <row r="74" customFormat="false" ht="11.25" hidden="false" customHeight="true" outlineLevel="0" collapsed="false">
      <c r="B74" s="24" t="s">
        <v>199</v>
      </c>
      <c r="C74" s="25" t="s">
        <v>200</v>
      </c>
      <c r="D74" s="24" t="n">
        <v>68</v>
      </c>
      <c r="E74" s="34" t="n">
        <v>0</v>
      </c>
      <c r="F74" s="34" t="n">
        <v>0</v>
      </c>
      <c r="G74" s="34" t="n">
        <v>0</v>
      </c>
      <c r="H74" s="34" t="n">
        <v>0</v>
      </c>
      <c r="I74" s="34" t="n">
        <v>0</v>
      </c>
      <c r="J74" s="34" t="n">
        <v>0</v>
      </c>
      <c r="K74" s="34" t="n">
        <v>0</v>
      </c>
      <c r="L74" s="34" t="n">
        <v>0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</v>
      </c>
      <c r="R74" s="34" t="n">
        <v>0</v>
      </c>
      <c r="S74" s="34" t="n">
        <v>0</v>
      </c>
      <c r="T74" s="34" t="n">
        <v>0</v>
      </c>
      <c r="U74" s="34" t="n">
        <v>0</v>
      </c>
      <c r="V74" s="34" t="n">
        <v>0</v>
      </c>
      <c r="W74" s="34" t="n">
        <v>0</v>
      </c>
      <c r="X74" s="34" t="n">
        <v>0</v>
      </c>
      <c r="Y74" s="34" t="n">
        <v>0</v>
      </c>
      <c r="Z74" s="34" t="n">
        <v>0</v>
      </c>
      <c r="AA74" s="34" t="n">
        <v>0</v>
      </c>
      <c r="AB74" s="34" t="n">
        <v>0</v>
      </c>
      <c r="AC74" s="34" t="n">
        <v>0</v>
      </c>
      <c r="AD74" s="34" t="n">
        <v>0</v>
      </c>
      <c r="AE74" s="34" t="n">
        <v>0</v>
      </c>
      <c r="AF74" s="34" t="n">
        <v>0</v>
      </c>
      <c r="AG74" s="34" t="n">
        <v>0</v>
      </c>
      <c r="AH74" s="34" t="n">
        <v>0</v>
      </c>
      <c r="AI74" s="34" t="n">
        <v>0</v>
      </c>
      <c r="AJ74" s="34" t="n">
        <v>0</v>
      </c>
      <c r="AK74" s="34" t="n">
        <v>0</v>
      </c>
      <c r="AL74" s="34" t="n">
        <v>0</v>
      </c>
      <c r="AM74" s="34" t="n">
        <v>0</v>
      </c>
      <c r="AN74" s="34" t="n">
        <v>0</v>
      </c>
      <c r="AO74" s="34" t="n">
        <v>0</v>
      </c>
      <c r="AP74" s="34" t="n">
        <v>0</v>
      </c>
      <c r="AQ74" s="34" t="n">
        <v>0</v>
      </c>
      <c r="AR74" s="34" t="n">
        <v>0</v>
      </c>
      <c r="AS74" s="34" t="n">
        <v>0</v>
      </c>
      <c r="AT74" s="34" t="n">
        <v>0</v>
      </c>
      <c r="AU74" s="34" t="n">
        <v>0</v>
      </c>
      <c r="AV74" s="34" t="n">
        <v>0</v>
      </c>
      <c r="AW74" s="34" t="n">
        <v>0</v>
      </c>
      <c r="AX74" s="34" t="n">
        <v>0</v>
      </c>
      <c r="AY74" s="34" t="n">
        <v>0</v>
      </c>
      <c r="AZ74" s="34" t="n">
        <v>0</v>
      </c>
      <c r="BA74" s="34" t="n">
        <v>0</v>
      </c>
      <c r="BB74" s="34" t="n">
        <v>0</v>
      </c>
      <c r="BC74" s="34" t="n">
        <v>0</v>
      </c>
      <c r="BD74" s="34" t="n">
        <v>0</v>
      </c>
      <c r="BE74" s="34" t="n">
        <v>0</v>
      </c>
      <c r="BF74" s="34" t="n">
        <v>0</v>
      </c>
      <c r="BG74" s="34" t="n">
        <v>0</v>
      </c>
      <c r="BH74" s="34" t="n">
        <v>0</v>
      </c>
      <c r="BI74" s="34" t="n">
        <v>0</v>
      </c>
      <c r="BJ74" s="34" t="n">
        <v>0</v>
      </c>
      <c r="BK74" s="34" t="n">
        <v>0</v>
      </c>
      <c r="BL74" s="34" t="n">
        <v>0</v>
      </c>
      <c r="BM74" s="34" t="n">
        <v>0</v>
      </c>
      <c r="BN74" s="34" t="n">
        <v>0</v>
      </c>
      <c r="BO74" s="34" t="n">
        <v>0</v>
      </c>
      <c r="BP74" s="34" t="n">
        <v>0</v>
      </c>
      <c r="BQ74" s="34" t="n">
        <v>0</v>
      </c>
      <c r="BR74" s="34" t="n">
        <v>0</v>
      </c>
      <c r="BS74" s="34" t="n">
        <v>0</v>
      </c>
      <c r="BT74" s="34" t="n">
        <v>1</v>
      </c>
    </row>
  </sheetData>
  <mergeCells count="2">
    <mergeCell ref="B3:V3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8CE"/>
    <pageSetUpPr fitToPage="false"/>
  </sheetPr>
  <dimension ref="B1:BT7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52"/>
    <col collapsed="false" customWidth="true" hidden="false" outlineLevel="0" max="4" min="4" style="0" width="4.4"/>
    <col collapsed="false" customWidth="true" hidden="false" outlineLevel="0" max="72" min="5" style="0" width="10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225</v>
      </c>
    </row>
    <row r="3" customFormat="false" ht="12.75" hidden="false" customHeight="true" outlineLevel="0" collapsed="false">
      <c r="B3" s="15" t="s">
        <v>226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6" customFormat="false" ht="13.5" hidden="false" customHeight="true" outlineLevel="0" collapsed="false">
      <c r="B6" s="32" t="s">
        <v>62</v>
      </c>
      <c r="C6" s="32" t="s">
        <v>63</v>
      </c>
      <c r="D6" s="32"/>
      <c r="E6" s="32" t="n">
        <v>1</v>
      </c>
      <c r="F6" s="32" t="n">
        <v>2</v>
      </c>
      <c r="G6" s="32" t="n">
        <v>3</v>
      </c>
      <c r="H6" s="32" t="n">
        <v>4</v>
      </c>
      <c r="I6" s="32" t="n">
        <v>5</v>
      </c>
      <c r="J6" s="32" t="n">
        <v>6</v>
      </c>
      <c r="K6" s="32" t="n">
        <v>7</v>
      </c>
      <c r="L6" s="32" t="n">
        <v>8</v>
      </c>
      <c r="M6" s="32" t="n">
        <v>9</v>
      </c>
      <c r="N6" s="32" t="n">
        <v>10</v>
      </c>
      <c r="O6" s="32" t="n">
        <v>11</v>
      </c>
      <c r="P6" s="32" t="n">
        <v>12</v>
      </c>
      <c r="Q6" s="32" t="n">
        <v>13</v>
      </c>
      <c r="R6" s="32" t="n">
        <v>14</v>
      </c>
      <c r="S6" s="32" t="n">
        <v>15</v>
      </c>
      <c r="T6" s="32" t="n">
        <v>16</v>
      </c>
      <c r="U6" s="32" t="n">
        <v>17</v>
      </c>
      <c r="V6" s="32" t="n">
        <v>18</v>
      </c>
      <c r="W6" s="32" t="n">
        <v>19</v>
      </c>
      <c r="X6" s="32" t="n">
        <v>20</v>
      </c>
      <c r="Y6" s="32" t="n">
        <v>21</v>
      </c>
      <c r="Z6" s="32" t="n">
        <v>22</v>
      </c>
      <c r="AA6" s="32" t="n">
        <v>23</v>
      </c>
      <c r="AB6" s="32" t="n">
        <v>24</v>
      </c>
      <c r="AC6" s="32" t="n">
        <v>25</v>
      </c>
      <c r="AD6" s="32" t="n">
        <v>26</v>
      </c>
      <c r="AE6" s="32" t="n">
        <v>27</v>
      </c>
      <c r="AF6" s="32" t="n">
        <v>28</v>
      </c>
      <c r="AG6" s="32" t="n">
        <v>29</v>
      </c>
      <c r="AH6" s="32" t="n">
        <v>30</v>
      </c>
      <c r="AI6" s="32" t="n">
        <v>31</v>
      </c>
      <c r="AJ6" s="32" t="n">
        <v>32</v>
      </c>
      <c r="AK6" s="32" t="n">
        <v>33</v>
      </c>
      <c r="AL6" s="32" t="n">
        <v>34</v>
      </c>
      <c r="AM6" s="32" t="n">
        <v>35</v>
      </c>
      <c r="AN6" s="32" t="n">
        <v>36</v>
      </c>
      <c r="AO6" s="32" t="n">
        <v>37</v>
      </c>
      <c r="AP6" s="32" t="n">
        <v>38</v>
      </c>
      <c r="AQ6" s="32" t="n">
        <v>39</v>
      </c>
      <c r="AR6" s="32" t="n">
        <v>40</v>
      </c>
      <c r="AS6" s="32" t="n">
        <v>41</v>
      </c>
      <c r="AT6" s="32" t="n">
        <v>42</v>
      </c>
      <c r="AU6" s="32" t="n">
        <v>43</v>
      </c>
      <c r="AV6" s="32" t="n">
        <v>44</v>
      </c>
      <c r="AW6" s="32" t="n">
        <v>45</v>
      </c>
      <c r="AX6" s="32" t="n">
        <v>46</v>
      </c>
      <c r="AY6" s="32" t="n">
        <v>47</v>
      </c>
      <c r="AZ6" s="32" t="n">
        <v>48</v>
      </c>
      <c r="BA6" s="32" t="n">
        <v>49</v>
      </c>
      <c r="BB6" s="32" t="n">
        <v>50</v>
      </c>
      <c r="BC6" s="32" t="n">
        <v>51</v>
      </c>
      <c r="BD6" s="32" t="n">
        <v>52</v>
      </c>
      <c r="BE6" s="32" t="n">
        <v>53</v>
      </c>
      <c r="BF6" s="32" t="n">
        <v>54</v>
      </c>
      <c r="BG6" s="32" t="n">
        <v>55</v>
      </c>
      <c r="BH6" s="32" t="n">
        <v>56</v>
      </c>
      <c r="BI6" s="32" t="n">
        <v>57</v>
      </c>
      <c r="BJ6" s="32" t="n">
        <v>58</v>
      </c>
      <c r="BK6" s="32" t="n">
        <v>59</v>
      </c>
      <c r="BL6" s="32" t="n">
        <v>60</v>
      </c>
      <c r="BM6" s="32" t="n">
        <v>61</v>
      </c>
      <c r="BN6" s="32" t="n">
        <v>62</v>
      </c>
      <c r="BO6" s="32" t="n">
        <v>63</v>
      </c>
      <c r="BP6" s="32" t="n">
        <v>64</v>
      </c>
      <c r="BQ6" s="32" t="n">
        <v>65</v>
      </c>
      <c r="BR6" s="32" t="n">
        <v>66</v>
      </c>
      <c r="BS6" s="32" t="n">
        <v>67</v>
      </c>
      <c r="BT6" s="32" t="n">
        <v>68</v>
      </c>
    </row>
    <row r="7" customFormat="false" ht="11.25" hidden="false" customHeight="true" outlineLevel="0" collapsed="false">
      <c r="B7" s="19" t="s">
        <v>65</v>
      </c>
      <c r="C7" s="20" t="s">
        <v>66</v>
      </c>
      <c r="D7" s="19" t="n">
        <v>1</v>
      </c>
      <c r="E7" s="33" t="n">
        <v>1.02906008580357</v>
      </c>
      <c r="F7" s="33" t="n">
        <v>0.0306026922646872</v>
      </c>
      <c r="G7" s="33" t="n">
        <v>0.0014225976868777</v>
      </c>
      <c r="H7" s="33" t="n">
        <v>0.000476787294341984</v>
      </c>
      <c r="I7" s="33" t="n">
        <v>0.00280285264567497</v>
      </c>
      <c r="J7" s="33" t="n">
        <v>0.00149734549083959</v>
      </c>
      <c r="K7" s="33" t="n">
        <v>0.000381808829150867</v>
      </c>
      <c r="L7" s="33" t="n">
        <v>0.0742606020617344</v>
      </c>
      <c r="M7" s="33" t="n">
        <v>0.0648729571327642</v>
      </c>
      <c r="N7" s="33" t="n">
        <v>0.240538594342689</v>
      </c>
      <c r="O7" s="33" t="n">
        <v>0.010368947142065</v>
      </c>
      <c r="P7" s="33" t="n">
        <v>0.00961862305802157</v>
      </c>
      <c r="Q7" s="33" t="n">
        <v>0.0167920150892408</v>
      </c>
      <c r="R7" s="33" t="n">
        <v>0.00656011223471189</v>
      </c>
      <c r="S7" s="33" t="n">
        <v>0.00176089177139708</v>
      </c>
      <c r="T7" s="33" t="n">
        <v>0.00111259354491904</v>
      </c>
      <c r="U7" s="33" t="n">
        <v>0.00471632333293469</v>
      </c>
      <c r="V7" s="33" t="n">
        <v>0.000190344894465854</v>
      </c>
      <c r="W7" s="33" t="n">
        <v>0.0392952860710481</v>
      </c>
      <c r="X7" s="33" t="n">
        <v>0.0571479265919283</v>
      </c>
      <c r="Y7" s="33" t="n">
        <v>0.0048033650965051</v>
      </c>
      <c r="Z7" s="33" t="n">
        <v>0.00425180639458911</v>
      </c>
      <c r="AA7" s="33" t="n">
        <v>0.00376593877672431</v>
      </c>
      <c r="AB7" s="33" t="n">
        <v>0.00314444784559001</v>
      </c>
      <c r="AC7" s="33" t="n">
        <v>0.00341069086659944</v>
      </c>
      <c r="AD7" s="33" t="n">
        <v>0.0023713336456087</v>
      </c>
      <c r="AE7" s="33" t="n">
        <v>0.00312302901580738</v>
      </c>
      <c r="AF7" s="33" t="n">
        <v>0.00140827735889194</v>
      </c>
      <c r="AG7" s="33" t="n">
        <v>0.00274201491885372</v>
      </c>
      <c r="AH7" s="33" t="n">
        <v>0.00118440634182987</v>
      </c>
      <c r="AI7" s="33" t="n">
        <v>0.00202836993297357</v>
      </c>
      <c r="AJ7" s="33" t="n">
        <v>0.00383530821593844</v>
      </c>
      <c r="AK7" s="33" t="n">
        <v>0.00164999924234573</v>
      </c>
      <c r="AL7" s="33" t="n">
        <v>0.00125377945639312</v>
      </c>
      <c r="AM7" s="33" t="n">
        <v>0.000364668043162844</v>
      </c>
      <c r="AN7" s="33" t="n">
        <v>0.00184034496312814</v>
      </c>
      <c r="AO7" s="33" t="n">
        <v>0.000691682520197505</v>
      </c>
      <c r="AP7" s="33" t="n">
        <v>0.00147607148158735</v>
      </c>
      <c r="AQ7" s="33" t="n">
        <v>0.000614512002967665</v>
      </c>
      <c r="AR7" s="33" t="n">
        <v>0.00687382100510717</v>
      </c>
      <c r="AS7" s="33" t="n">
        <v>0.00131331973167619</v>
      </c>
      <c r="AT7" s="33" t="n">
        <v>0.042982180584182</v>
      </c>
      <c r="AU7" s="33" t="n">
        <v>0.0103620034678212</v>
      </c>
      <c r="AV7" s="33" t="n">
        <v>0.000314320689997384</v>
      </c>
      <c r="AW7" s="33" t="n">
        <v>0.000473571940608488</v>
      </c>
      <c r="AX7" s="33" t="n">
        <v>0.000962590491987621</v>
      </c>
      <c r="AY7" s="33" t="n">
        <v>0.000874460773357991</v>
      </c>
      <c r="AZ7" s="33" t="n">
        <v>0.0240517515552667</v>
      </c>
      <c r="BA7" s="33" t="n">
        <v>0.00033837489728248</v>
      </c>
      <c r="BB7" s="33" t="n">
        <v>0.000638368798712077</v>
      </c>
      <c r="BC7" s="33" t="n">
        <v>0.00297196066311164</v>
      </c>
      <c r="BD7" s="33" t="n">
        <v>0.00100769138851689</v>
      </c>
      <c r="BE7" s="33" t="n">
        <v>0.00187432941789154</v>
      </c>
      <c r="BF7" s="33" t="n">
        <v>0.000489712428944125</v>
      </c>
      <c r="BG7" s="33" t="n">
        <v>0.0013288475649819</v>
      </c>
      <c r="BH7" s="33" t="n">
        <v>0.000539038601331723</v>
      </c>
      <c r="BI7" s="33" t="n">
        <v>0.00109800942177714</v>
      </c>
      <c r="BJ7" s="33" t="n">
        <v>0.000459354065039045</v>
      </c>
      <c r="BK7" s="33" t="n">
        <v>0.00185023450307811</v>
      </c>
      <c r="BL7" s="33" t="n">
        <v>0.000272818999606832</v>
      </c>
      <c r="BM7" s="33" t="n">
        <v>0.00722064809606823</v>
      </c>
      <c r="BN7" s="33" t="n">
        <v>0.00271900255839717</v>
      </c>
      <c r="BO7" s="33" t="n">
        <v>0.000726823510874173</v>
      </c>
      <c r="BP7" s="33" t="n">
        <v>0.00452144760440383</v>
      </c>
      <c r="BQ7" s="33" t="n">
        <v>0.00264536540827874</v>
      </c>
      <c r="BR7" s="33" t="n">
        <v>0.000233910121329451</v>
      </c>
      <c r="BS7" s="33" t="n">
        <v>0.00361049752423231</v>
      </c>
      <c r="BT7" s="33" t="n">
        <v>0</v>
      </c>
    </row>
    <row r="8" customFormat="false" ht="11.25" hidden="false" customHeight="true" outlineLevel="0" collapsed="false">
      <c r="B8" s="24" t="s">
        <v>67</v>
      </c>
      <c r="C8" s="25" t="s">
        <v>68</v>
      </c>
      <c r="D8" s="24" t="n">
        <v>2</v>
      </c>
      <c r="E8" s="34" t="n">
        <v>0.00934185744026627</v>
      </c>
      <c r="F8" s="34" t="n">
        <v>1.05421634792609</v>
      </c>
      <c r="G8" s="34" t="n">
        <v>0.00165654747200133</v>
      </c>
      <c r="H8" s="34" t="n">
        <v>0.0001329916694735</v>
      </c>
      <c r="I8" s="34" t="n">
        <v>0.000806170166722021</v>
      </c>
      <c r="J8" s="34" t="n">
        <v>0.000480723036784381</v>
      </c>
      <c r="K8" s="34" t="n">
        <v>0.000111929261112971</v>
      </c>
      <c r="L8" s="34" t="n">
        <v>0.673702892324369</v>
      </c>
      <c r="M8" s="34" t="n">
        <v>0.00172803503746962</v>
      </c>
      <c r="N8" s="34" t="n">
        <v>0.0453755797102998</v>
      </c>
      <c r="O8" s="34" t="n">
        <v>0.00129351395620857</v>
      </c>
      <c r="P8" s="34" t="n">
        <v>0.00125589625935021</v>
      </c>
      <c r="Q8" s="34" t="n">
        <v>0.00277703008522316</v>
      </c>
      <c r="R8" s="34" t="n">
        <v>0.00252281476502793</v>
      </c>
      <c r="S8" s="34" t="n">
        <v>0.00267596504534589</v>
      </c>
      <c r="T8" s="34" t="n">
        <v>0.00140618485241621</v>
      </c>
      <c r="U8" s="34" t="n">
        <v>0.00327128995187405</v>
      </c>
      <c r="V8" s="34" t="n">
        <v>7.89350276411457E-005</v>
      </c>
      <c r="W8" s="34" t="n">
        <v>0.00344245324020283</v>
      </c>
      <c r="X8" s="34" t="n">
        <v>0.00462623897934648</v>
      </c>
      <c r="Y8" s="34" t="n">
        <v>0.00140280028993081</v>
      </c>
      <c r="Z8" s="34" t="n">
        <v>0.00106902465498552</v>
      </c>
      <c r="AA8" s="34" t="n">
        <v>0.00457180821909253</v>
      </c>
      <c r="AB8" s="34" t="n">
        <v>0.000736067698506919</v>
      </c>
      <c r="AC8" s="34" t="n">
        <v>0.0012456106673326</v>
      </c>
      <c r="AD8" s="34" t="n">
        <v>0.00101866096449197</v>
      </c>
      <c r="AE8" s="34" t="n">
        <v>0.00131245116605698</v>
      </c>
      <c r="AF8" s="34" t="n">
        <v>0.0007167411757264</v>
      </c>
      <c r="AG8" s="34" t="n">
        <v>0.00103848753502175</v>
      </c>
      <c r="AH8" s="34" t="n">
        <v>0.00035722495592546</v>
      </c>
      <c r="AI8" s="34" t="n">
        <v>0.00061563293907703</v>
      </c>
      <c r="AJ8" s="34" t="n">
        <v>0.00111605896565378</v>
      </c>
      <c r="AK8" s="34" t="n">
        <v>0.000611296519417297</v>
      </c>
      <c r="AL8" s="34" t="n">
        <v>0.000397314602993592</v>
      </c>
      <c r="AM8" s="34" t="n">
        <v>0.000122988737473454</v>
      </c>
      <c r="AN8" s="34" t="n">
        <v>0.000836911554610866</v>
      </c>
      <c r="AO8" s="34" t="n">
        <v>0.000230001332896623</v>
      </c>
      <c r="AP8" s="34" t="n">
        <v>0.000500413385838753</v>
      </c>
      <c r="AQ8" s="34" t="n">
        <v>0.000220916468752473</v>
      </c>
      <c r="AR8" s="34" t="n">
        <v>0.00675156972420088</v>
      </c>
      <c r="AS8" s="34" t="n">
        <v>0.000375303389793117</v>
      </c>
      <c r="AT8" s="34" t="n">
        <v>0.00748201575811736</v>
      </c>
      <c r="AU8" s="34" t="n">
        <v>0.00124488577771328</v>
      </c>
      <c r="AV8" s="34" t="n">
        <v>5.55955550800316E-005</v>
      </c>
      <c r="AW8" s="34" t="n">
        <v>0.000133042739619768</v>
      </c>
      <c r="AX8" s="34" t="n">
        <v>0.000407010002364058</v>
      </c>
      <c r="AY8" s="34" t="n">
        <v>0.00232788468689144</v>
      </c>
      <c r="AZ8" s="34" t="n">
        <v>0.0458201598955578</v>
      </c>
      <c r="BA8" s="34" t="n">
        <v>0.000105842026352489</v>
      </c>
      <c r="BB8" s="34" t="n">
        <v>0.000311390600130146</v>
      </c>
      <c r="BC8" s="34" t="n">
        <v>0.00129241205458641</v>
      </c>
      <c r="BD8" s="34" t="n">
        <v>0.000418751412684112</v>
      </c>
      <c r="BE8" s="34" t="n">
        <v>0.0013239876468015</v>
      </c>
      <c r="BF8" s="34" t="n">
        <v>0.000432945442884188</v>
      </c>
      <c r="BG8" s="34" t="n">
        <v>0.000743921648509177</v>
      </c>
      <c r="BH8" s="34" t="n">
        <v>0.000243020551176199</v>
      </c>
      <c r="BI8" s="34" t="n">
        <v>0.00054960924162402</v>
      </c>
      <c r="BJ8" s="34" t="n">
        <v>0.000120458613005045</v>
      </c>
      <c r="BK8" s="34" t="n">
        <v>0.000991924640107143</v>
      </c>
      <c r="BL8" s="34" t="n">
        <v>6.46269236781173E-005</v>
      </c>
      <c r="BM8" s="34" t="n">
        <v>0.0096364384076119</v>
      </c>
      <c r="BN8" s="34" t="n">
        <v>0.00404094557255169</v>
      </c>
      <c r="BO8" s="34" t="n">
        <v>0.000885460335385152</v>
      </c>
      <c r="BP8" s="34" t="n">
        <v>0.00603708314030113</v>
      </c>
      <c r="BQ8" s="34" t="n">
        <v>0.00333866090602876</v>
      </c>
      <c r="BR8" s="34" t="n">
        <v>0.000121663361519729</v>
      </c>
      <c r="BS8" s="34" t="n">
        <v>0.00361566606551191</v>
      </c>
      <c r="BT8" s="34" t="n">
        <v>0</v>
      </c>
    </row>
    <row r="9" customFormat="false" ht="11.25" hidden="false" customHeight="true" outlineLevel="0" collapsed="false">
      <c r="B9" s="19" t="s">
        <v>69</v>
      </c>
      <c r="C9" s="20" t="s">
        <v>70</v>
      </c>
      <c r="D9" s="19" t="n">
        <v>3</v>
      </c>
      <c r="E9" s="33" t="n">
        <v>0.0528666697866881</v>
      </c>
      <c r="F9" s="33" t="n">
        <v>0.0512873110538801</v>
      </c>
      <c r="G9" s="33" t="n">
        <v>1.06244804629527</v>
      </c>
      <c r="H9" s="33" t="n">
        <v>0.000341695936575932</v>
      </c>
      <c r="I9" s="33" t="n">
        <v>0.00502009702495251</v>
      </c>
      <c r="J9" s="33" t="n">
        <v>0.0018480631322032</v>
      </c>
      <c r="K9" s="33" t="n">
        <v>0.00039323894435435</v>
      </c>
      <c r="L9" s="33" t="n">
        <v>0.120364834927317</v>
      </c>
      <c r="M9" s="33" t="n">
        <v>0.0039027118488237</v>
      </c>
      <c r="N9" s="33" t="n">
        <v>0.0357055910976773</v>
      </c>
      <c r="O9" s="33" t="n">
        <v>0.00359269779194229</v>
      </c>
      <c r="P9" s="33" t="n">
        <v>0.00182095881817276</v>
      </c>
      <c r="Q9" s="33" t="n">
        <v>0.00360756811558012</v>
      </c>
      <c r="R9" s="33" t="n">
        <v>0.00234381524616107</v>
      </c>
      <c r="S9" s="33" t="n">
        <v>0.00198557091614483</v>
      </c>
      <c r="T9" s="33" t="n">
        <v>0.0602274275951249</v>
      </c>
      <c r="U9" s="33" t="n">
        <v>0.121398329662939</v>
      </c>
      <c r="V9" s="33" t="n">
        <v>0.00135312060628344</v>
      </c>
      <c r="W9" s="33" t="n">
        <v>0.00702164721674348</v>
      </c>
      <c r="X9" s="33" t="n">
        <v>0.00426546739378642</v>
      </c>
      <c r="Y9" s="33" t="n">
        <v>0.00994476566096444</v>
      </c>
      <c r="Z9" s="33" t="n">
        <v>0.00318886238252787</v>
      </c>
      <c r="AA9" s="33" t="n">
        <v>0.00389351138352537</v>
      </c>
      <c r="AB9" s="33" t="n">
        <v>0.0027646512615915</v>
      </c>
      <c r="AC9" s="33" t="n">
        <v>0.0232285252341292</v>
      </c>
      <c r="AD9" s="33" t="n">
        <v>0.00660578240484748</v>
      </c>
      <c r="AE9" s="33" t="n">
        <v>0.0291072091271505</v>
      </c>
      <c r="AF9" s="33" t="n">
        <v>0.00162896055589847</v>
      </c>
      <c r="AG9" s="33" t="n">
        <v>0.00916153901076674</v>
      </c>
      <c r="AH9" s="33" t="n">
        <v>0.00223020438495242</v>
      </c>
      <c r="AI9" s="33" t="n">
        <v>0.00352223743267075</v>
      </c>
      <c r="AJ9" s="33" t="n">
        <v>0.00644235152171606</v>
      </c>
      <c r="AK9" s="33" t="n">
        <v>0.00592430918053218</v>
      </c>
      <c r="AL9" s="33" t="n">
        <v>0.00434907231583925</v>
      </c>
      <c r="AM9" s="33" t="n">
        <v>0.000920448402154663</v>
      </c>
      <c r="AN9" s="33" t="n">
        <v>0.0133431781822209</v>
      </c>
      <c r="AO9" s="33" t="n">
        <v>0.0016095537555259</v>
      </c>
      <c r="AP9" s="33" t="n">
        <v>0.00277721631031171</v>
      </c>
      <c r="AQ9" s="33" t="n">
        <v>0.00112724466498628</v>
      </c>
      <c r="AR9" s="33" t="n">
        <v>0.0477325587574249</v>
      </c>
      <c r="AS9" s="33" t="n">
        <v>0.00253967498566249</v>
      </c>
      <c r="AT9" s="33" t="n">
        <v>0.0295640171701652</v>
      </c>
      <c r="AU9" s="33" t="n">
        <v>0.00508697611353906</v>
      </c>
      <c r="AV9" s="33" t="n">
        <v>0.000265251427380341</v>
      </c>
      <c r="AW9" s="33" t="n">
        <v>0.000298393906203127</v>
      </c>
      <c r="AX9" s="33" t="n">
        <v>0.00149499911178321</v>
      </c>
      <c r="AY9" s="33" t="n">
        <v>0.001301946219965</v>
      </c>
      <c r="AZ9" s="33" t="n">
        <v>0.0232003019175025</v>
      </c>
      <c r="BA9" s="33" t="n">
        <v>0.00104265771792291</v>
      </c>
      <c r="BB9" s="33" t="n">
        <v>0.000878718136377747</v>
      </c>
      <c r="BC9" s="33" t="n">
        <v>0.00288953950127193</v>
      </c>
      <c r="BD9" s="33" t="n">
        <v>0.00203763882399252</v>
      </c>
      <c r="BE9" s="33" t="n">
        <v>0.00421010434016595</v>
      </c>
      <c r="BF9" s="33" t="n">
        <v>0.00205287429164169</v>
      </c>
      <c r="BG9" s="33" t="n">
        <v>0.00313908223868715</v>
      </c>
      <c r="BH9" s="33" t="n">
        <v>0.000998116931549687</v>
      </c>
      <c r="BI9" s="33" t="n">
        <v>0.00212024634953511</v>
      </c>
      <c r="BJ9" s="33" t="n">
        <v>0.000997101032011221</v>
      </c>
      <c r="BK9" s="33" t="n">
        <v>0.0043117999104951</v>
      </c>
      <c r="BL9" s="33" t="n">
        <v>0.000203007497920247</v>
      </c>
      <c r="BM9" s="33" t="n">
        <v>0.00937239722244573</v>
      </c>
      <c r="BN9" s="33" t="n">
        <v>0.00446541210679467</v>
      </c>
      <c r="BO9" s="33" t="n">
        <v>0.00160328425825898</v>
      </c>
      <c r="BP9" s="33" t="n">
        <v>0.00596757541586352</v>
      </c>
      <c r="BQ9" s="33" t="n">
        <v>0.00483570668421396</v>
      </c>
      <c r="BR9" s="33" t="n">
        <v>0.000368790074538504</v>
      </c>
      <c r="BS9" s="33" t="n">
        <v>0.00356102201913865</v>
      </c>
      <c r="BT9" s="33" t="n">
        <v>0</v>
      </c>
    </row>
    <row r="10" customFormat="false" ht="11.25" hidden="false" customHeight="true" outlineLevel="0" collapsed="false">
      <c r="B10" s="24" t="s">
        <v>71</v>
      </c>
      <c r="C10" s="25" t="s">
        <v>72</v>
      </c>
      <c r="D10" s="24" t="n">
        <v>4</v>
      </c>
      <c r="E10" s="34" t="n">
        <v>0.0898981272976143</v>
      </c>
      <c r="F10" s="34" t="n">
        <v>0.0441264375692382</v>
      </c>
      <c r="G10" s="34" t="n">
        <v>0.00195759069115612</v>
      </c>
      <c r="H10" s="34" t="n">
        <v>1.01350534984553</v>
      </c>
      <c r="I10" s="34" t="n">
        <v>0.0490058844397703</v>
      </c>
      <c r="J10" s="34" t="n">
        <v>0.00712132422435554</v>
      </c>
      <c r="K10" s="34" t="n">
        <v>0.00187727216514689</v>
      </c>
      <c r="L10" s="34" t="n">
        <v>0.0520771336862525</v>
      </c>
      <c r="M10" s="34" t="n">
        <v>0.00792138018485811</v>
      </c>
      <c r="N10" s="34" t="n">
        <v>0.0562341217385645</v>
      </c>
      <c r="O10" s="34" t="n">
        <v>0.0130252214290238</v>
      </c>
      <c r="P10" s="34" t="n">
        <v>0.00121157628235465</v>
      </c>
      <c r="Q10" s="34" t="n">
        <v>0.00807075624301734</v>
      </c>
      <c r="R10" s="34" t="n">
        <v>0.00338672049780677</v>
      </c>
      <c r="S10" s="34" t="n">
        <v>0.00294042273148057</v>
      </c>
      <c r="T10" s="34" t="n">
        <v>0.00276039694059937</v>
      </c>
      <c r="U10" s="34" t="n">
        <v>0.0136723770441078</v>
      </c>
      <c r="V10" s="34" t="n">
        <v>0.000847569649006966</v>
      </c>
      <c r="W10" s="34" t="n">
        <v>0.0418201620046965</v>
      </c>
      <c r="X10" s="34" t="n">
        <v>0.0155787841600196</v>
      </c>
      <c r="Y10" s="34" t="n">
        <v>0.20360024511633</v>
      </c>
      <c r="Z10" s="34" t="n">
        <v>0.0248596081701153</v>
      </c>
      <c r="AA10" s="34" t="n">
        <v>0.00956182477952487</v>
      </c>
      <c r="AB10" s="34" t="n">
        <v>0.00490070163960423</v>
      </c>
      <c r="AC10" s="34" t="n">
        <v>0.0308556601223735</v>
      </c>
      <c r="AD10" s="34" t="n">
        <v>0.272479827688537</v>
      </c>
      <c r="AE10" s="34" t="n">
        <v>0.0818973592451622</v>
      </c>
      <c r="AF10" s="34" t="n">
        <v>0.0302555526611953</v>
      </c>
      <c r="AG10" s="34" t="n">
        <v>0.0214293123876631</v>
      </c>
      <c r="AH10" s="34" t="n">
        <v>0.00283229733248379</v>
      </c>
      <c r="AI10" s="34" t="n">
        <v>0.0165280402750037</v>
      </c>
      <c r="AJ10" s="34" t="n">
        <v>0.0148231890149433</v>
      </c>
      <c r="AK10" s="34" t="n">
        <v>0.0197498940136102</v>
      </c>
      <c r="AL10" s="34" t="n">
        <v>0.0134497835988179</v>
      </c>
      <c r="AM10" s="34" t="n">
        <v>0.00283256137051961</v>
      </c>
      <c r="AN10" s="34" t="n">
        <v>0.0101200159829138</v>
      </c>
      <c r="AO10" s="34" t="n">
        <v>0.00526253271342631</v>
      </c>
      <c r="AP10" s="34" t="n">
        <v>0.0270314396197912</v>
      </c>
      <c r="AQ10" s="34" t="n">
        <v>0.0300777068953259</v>
      </c>
      <c r="AR10" s="34" t="n">
        <v>0.478090029496083</v>
      </c>
      <c r="AS10" s="34" t="n">
        <v>0.0066726524459101</v>
      </c>
      <c r="AT10" s="34" t="n">
        <v>0.0365777920567208</v>
      </c>
      <c r="AU10" s="34" t="n">
        <v>0.0166098165703314</v>
      </c>
      <c r="AV10" s="34" t="n">
        <v>0.000628518236957081</v>
      </c>
      <c r="AW10" s="34" t="n">
        <v>0.00073753123599789</v>
      </c>
      <c r="AX10" s="34" t="n">
        <v>0.00406222628813821</v>
      </c>
      <c r="AY10" s="34" t="n">
        <v>0.00139984474816592</v>
      </c>
      <c r="AZ10" s="34" t="n">
        <v>0.0139479592209758</v>
      </c>
      <c r="BA10" s="34" t="n">
        <v>0.000519509565495341</v>
      </c>
      <c r="BB10" s="34" t="n">
        <v>0.0010573018189674</v>
      </c>
      <c r="BC10" s="34" t="n">
        <v>0.00690476328803368</v>
      </c>
      <c r="BD10" s="34" t="n">
        <v>0.00297947565266269</v>
      </c>
      <c r="BE10" s="34" t="n">
        <v>0.00553199232875976</v>
      </c>
      <c r="BF10" s="34" t="n">
        <v>0.0260279019615951</v>
      </c>
      <c r="BG10" s="34" t="n">
        <v>0.00338737418078939</v>
      </c>
      <c r="BH10" s="34" t="n">
        <v>0.00157222408783744</v>
      </c>
      <c r="BI10" s="34" t="n">
        <v>0.00202254770385518</v>
      </c>
      <c r="BJ10" s="34" t="n">
        <v>0.0012725278206882</v>
      </c>
      <c r="BK10" s="34" t="n">
        <v>0.00851558836754911</v>
      </c>
      <c r="BL10" s="34" t="n">
        <v>0.00036109631215075</v>
      </c>
      <c r="BM10" s="34" t="n">
        <v>0.025560445585534</v>
      </c>
      <c r="BN10" s="34" t="n">
        <v>0.00502854033288146</v>
      </c>
      <c r="BO10" s="34" t="n">
        <v>0.00222511770980942</v>
      </c>
      <c r="BP10" s="34" t="n">
        <v>0.00934816923247466</v>
      </c>
      <c r="BQ10" s="34" t="n">
        <v>0.00596638667493835</v>
      </c>
      <c r="BR10" s="34" t="n">
        <v>0.00104186805549911</v>
      </c>
      <c r="BS10" s="34" t="n">
        <v>0.00585110761924479</v>
      </c>
      <c r="BT10" s="34" t="n">
        <v>0</v>
      </c>
    </row>
    <row r="11" customFormat="false" ht="11.25" hidden="false" customHeight="true" outlineLevel="0" collapsed="false">
      <c r="B11" s="19" t="s">
        <v>73</v>
      </c>
      <c r="C11" s="20" t="s">
        <v>74</v>
      </c>
      <c r="D11" s="19" t="n">
        <v>5</v>
      </c>
      <c r="E11" s="33" t="n">
        <v>0.0421065156146562</v>
      </c>
      <c r="F11" s="33" t="n">
        <v>0.0148331489379986</v>
      </c>
      <c r="G11" s="33" t="n">
        <v>0.00189783080625829</v>
      </c>
      <c r="H11" s="33" t="n">
        <v>0.00282971203117359</v>
      </c>
      <c r="I11" s="33" t="n">
        <v>1.04386346554709</v>
      </c>
      <c r="J11" s="33" t="n">
        <v>0.0174202782273018</v>
      </c>
      <c r="K11" s="33" t="n">
        <v>0.00371668541071508</v>
      </c>
      <c r="L11" s="33" t="n">
        <v>0.0434096152921809</v>
      </c>
      <c r="M11" s="33" t="n">
        <v>0.00677431035067121</v>
      </c>
      <c r="N11" s="33" t="n">
        <v>0.0399195071102293</v>
      </c>
      <c r="O11" s="33" t="n">
        <v>0.00681762788551433</v>
      </c>
      <c r="P11" s="33" t="n">
        <v>0.000959267598071546</v>
      </c>
      <c r="Q11" s="33" t="n">
        <v>0.00450369551754918</v>
      </c>
      <c r="R11" s="33" t="n">
        <v>0.00288058546497991</v>
      </c>
      <c r="S11" s="33" t="n">
        <v>0.00245060497736351</v>
      </c>
      <c r="T11" s="33" t="n">
        <v>0.00297569413980096</v>
      </c>
      <c r="U11" s="33" t="n">
        <v>0.0153924809496624</v>
      </c>
      <c r="V11" s="33" t="n">
        <v>0.00065030042500867</v>
      </c>
      <c r="W11" s="33" t="n">
        <v>0.615087748617027</v>
      </c>
      <c r="X11" s="33" t="n">
        <v>0.00572108736819895</v>
      </c>
      <c r="Y11" s="33" t="n">
        <v>0.0393611936326676</v>
      </c>
      <c r="Z11" s="33" t="n">
        <v>0.010248265484967</v>
      </c>
      <c r="AA11" s="33" t="n">
        <v>0.00445441188745669</v>
      </c>
      <c r="AB11" s="33" t="n">
        <v>0.00540541832213912</v>
      </c>
      <c r="AC11" s="33" t="n">
        <v>0.0135247723212695</v>
      </c>
      <c r="AD11" s="33" t="n">
        <v>0.0138316786315403</v>
      </c>
      <c r="AE11" s="33" t="n">
        <v>0.018528014743404</v>
      </c>
      <c r="AF11" s="33" t="n">
        <v>0.0106346827117852</v>
      </c>
      <c r="AG11" s="33" t="n">
        <v>0.0106232201797493</v>
      </c>
      <c r="AH11" s="33" t="n">
        <v>0.00331370309038305</v>
      </c>
      <c r="AI11" s="33" t="n">
        <v>0.00762639795236744</v>
      </c>
      <c r="AJ11" s="33" t="n">
        <v>0.00990020160289172</v>
      </c>
      <c r="AK11" s="33" t="n">
        <v>0.00865999847370365</v>
      </c>
      <c r="AL11" s="33" t="n">
        <v>0.00554011595139118</v>
      </c>
      <c r="AM11" s="33" t="n">
        <v>0.00142419730286215</v>
      </c>
      <c r="AN11" s="33" t="n">
        <v>0.00472778380460868</v>
      </c>
      <c r="AO11" s="33" t="n">
        <v>0.00269031131905037</v>
      </c>
      <c r="AP11" s="33" t="n">
        <v>0.069136223928408</v>
      </c>
      <c r="AQ11" s="33" t="n">
        <v>0.00956249485171058</v>
      </c>
      <c r="AR11" s="33" t="n">
        <v>0.0373038606531729</v>
      </c>
      <c r="AS11" s="33" t="n">
        <v>0.00440427432147634</v>
      </c>
      <c r="AT11" s="33" t="n">
        <v>0.0717942144925543</v>
      </c>
      <c r="AU11" s="33" t="n">
        <v>0.128604429343129</v>
      </c>
      <c r="AV11" s="33" t="n">
        <v>0.00367810665653094</v>
      </c>
      <c r="AW11" s="33" t="n">
        <v>0.0054318633000312</v>
      </c>
      <c r="AX11" s="33" t="n">
        <v>0.00805556701419492</v>
      </c>
      <c r="AY11" s="33" t="n">
        <v>0.000723106280632523</v>
      </c>
      <c r="AZ11" s="33" t="n">
        <v>0.0101410547101457</v>
      </c>
      <c r="BA11" s="33" t="n">
        <v>0.000767296090972194</v>
      </c>
      <c r="BB11" s="33" t="n">
        <v>0.00128658638497119</v>
      </c>
      <c r="BC11" s="33" t="n">
        <v>0.00630785175938751</v>
      </c>
      <c r="BD11" s="33" t="n">
        <v>0.00265139678968745</v>
      </c>
      <c r="BE11" s="33" t="n">
        <v>0.00569059676968938</v>
      </c>
      <c r="BF11" s="33" t="n">
        <v>0.00176632706128105</v>
      </c>
      <c r="BG11" s="33" t="n">
        <v>0.00377902159939429</v>
      </c>
      <c r="BH11" s="33" t="n">
        <v>0.00191820396208239</v>
      </c>
      <c r="BI11" s="33" t="n">
        <v>0.00240335977739876</v>
      </c>
      <c r="BJ11" s="33" t="n">
        <v>0.00174461771774389</v>
      </c>
      <c r="BK11" s="33" t="n">
        <v>0.00564504136632668</v>
      </c>
      <c r="BL11" s="33" t="n">
        <v>0.000934356372031828</v>
      </c>
      <c r="BM11" s="33" t="n">
        <v>0.0224081372769245</v>
      </c>
      <c r="BN11" s="33" t="n">
        <v>0.00309132817436325</v>
      </c>
      <c r="BO11" s="33" t="n">
        <v>0.00244152062954988</v>
      </c>
      <c r="BP11" s="33" t="n">
        <v>0.00410660359858304</v>
      </c>
      <c r="BQ11" s="33" t="n">
        <v>0.00375048091849258</v>
      </c>
      <c r="BR11" s="33" t="n">
        <v>0.000874293253685595</v>
      </c>
      <c r="BS11" s="33" t="n">
        <v>0.00570948976339105</v>
      </c>
      <c r="BT11" s="33" t="n">
        <v>0</v>
      </c>
    </row>
    <row r="12" customFormat="false" ht="11.25" hidden="false" customHeight="true" outlineLevel="0" collapsed="false">
      <c r="B12" s="24" t="s">
        <v>75</v>
      </c>
      <c r="C12" s="25" t="s">
        <v>76</v>
      </c>
      <c r="D12" s="24" t="n">
        <v>6</v>
      </c>
      <c r="E12" s="34" t="n">
        <v>0.0037703250226019</v>
      </c>
      <c r="F12" s="34" t="n">
        <v>0.00238714023290029</v>
      </c>
      <c r="G12" s="34" t="n">
        <v>0.000212451591696221</v>
      </c>
      <c r="H12" s="34" t="n">
        <v>0.000514166770246019</v>
      </c>
      <c r="I12" s="34" t="n">
        <v>0.0306427706866626</v>
      </c>
      <c r="J12" s="34" t="n">
        <v>1.02837397817337</v>
      </c>
      <c r="K12" s="34" t="n">
        <v>0.00160295418962205</v>
      </c>
      <c r="L12" s="34" t="n">
        <v>0.00847580087261478</v>
      </c>
      <c r="M12" s="34" t="n">
        <v>0.000701757104904818</v>
      </c>
      <c r="N12" s="34" t="n">
        <v>0.00620597574790837</v>
      </c>
      <c r="O12" s="34" t="n">
        <v>0.00359606990290685</v>
      </c>
      <c r="P12" s="34" t="n">
        <v>0.000136502385191727</v>
      </c>
      <c r="Q12" s="34" t="n">
        <v>0.0005881732238158</v>
      </c>
      <c r="R12" s="34" t="n">
        <v>0.000510584327226609</v>
      </c>
      <c r="S12" s="34" t="n">
        <v>0.000399845560805828</v>
      </c>
      <c r="T12" s="34" t="n">
        <v>0.000779577794770247</v>
      </c>
      <c r="U12" s="34" t="n">
        <v>0.0024547338770683</v>
      </c>
      <c r="V12" s="34" t="n">
        <v>0.000228363812227143</v>
      </c>
      <c r="W12" s="34" t="n">
        <v>0.0192421194635175</v>
      </c>
      <c r="X12" s="34" t="n">
        <v>0.000637909433236635</v>
      </c>
      <c r="Y12" s="34" t="n">
        <v>0.00298331825068696</v>
      </c>
      <c r="Z12" s="34" t="n">
        <v>0.00186432597770255</v>
      </c>
      <c r="AA12" s="34" t="n">
        <v>0.00116307612412713</v>
      </c>
      <c r="AB12" s="34" t="n">
        <v>0.00089974292350537</v>
      </c>
      <c r="AC12" s="34" t="n">
        <v>0.00377867445697585</v>
      </c>
      <c r="AD12" s="34" t="n">
        <v>0.00538810817998605</v>
      </c>
      <c r="AE12" s="34" t="n">
        <v>0.264200622267017</v>
      </c>
      <c r="AF12" s="34" t="n">
        <v>0.00523971753483098</v>
      </c>
      <c r="AG12" s="34" t="n">
        <v>0.0472268414350951</v>
      </c>
      <c r="AH12" s="34" t="n">
        <v>0.00152509996735574</v>
      </c>
      <c r="AI12" s="34" t="n">
        <v>0.0105445018284735</v>
      </c>
      <c r="AJ12" s="34" t="n">
        <v>0.0257543663896712</v>
      </c>
      <c r="AK12" s="34" t="n">
        <v>0.0203956171959094</v>
      </c>
      <c r="AL12" s="34" t="n">
        <v>0.0187302250080393</v>
      </c>
      <c r="AM12" s="34" t="n">
        <v>0.00253249633957973</v>
      </c>
      <c r="AN12" s="34" t="n">
        <v>0.00442131370219519</v>
      </c>
      <c r="AO12" s="34" t="n">
        <v>0.00666834306336365</v>
      </c>
      <c r="AP12" s="34" t="n">
        <v>0.00574376378218674</v>
      </c>
      <c r="AQ12" s="34" t="n">
        <v>0.00181704133747203</v>
      </c>
      <c r="AR12" s="34" t="n">
        <v>0.0487162098100689</v>
      </c>
      <c r="AS12" s="34" t="n">
        <v>0.00458926279388542</v>
      </c>
      <c r="AT12" s="34" t="n">
        <v>0.0123132239628591</v>
      </c>
      <c r="AU12" s="34" t="n">
        <v>0.00899183011509911</v>
      </c>
      <c r="AV12" s="34" t="n">
        <v>0.000391080629878907</v>
      </c>
      <c r="AW12" s="34" t="n">
        <v>0.000282411072645962</v>
      </c>
      <c r="AX12" s="34" t="n">
        <v>0.0012424408655225</v>
      </c>
      <c r="AY12" s="34" t="n">
        <v>0.000197711342274305</v>
      </c>
      <c r="AZ12" s="34" t="n">
        <v>0.00300384518922569</v>
      </c>
      <c r="BA12" s="34" t="n">
        <v>0.000164519558479041</v>
      </c>
      <c r="BB12" s="34" t="n">
        <v>0.000282497261259531</v>
      </c>
      <c r="BC12" s="34" t="n">
        <v>0.00166239232151323</v>
      </c>
      <c r="BD12" s="34" t="n">
        <v>0.000850935863679425</v>
      </c>
      <c r="BE12" s="34" t="n">
        <v>0.00125563138580552</v>
      </c>
      <c r="BF12" s="34" t="n">
        <v>0.000950082842055545</v>
      </c>
      <c r="BG12" s="34" t="n">
        <v>0.000887418164976446</v>
      </c>
      <c r="BH12" s="34" t="n">
        <v>0.000467167808283913</v>
      </c>
      <c r="BI12" s="34" t="n">
        <v>0.000544394882439119</v>
      </c>
      <c r="BJ12" s="34" t="n">
        <v>0.000919070333599598</v>
      </c>
      <c r="BK12" s="34" t="n">
        <v>0.00171737229779192</v>
      </c>
      <c r="BL12" s="34" t="n">
        <v>0.000164105966274429</v>
      </c>
      <c r="BM12" s="34" t="n">
        <v>0.00443833709605183</v>
      </c>
      <c r="BN12" s="34" t="n">
        <v>0.000803521797174762</v>
      </c>
      <c r="BO12" s="34" t="n">
        <v>0.000483946229170061</v>
      </c>
      <c r="BP12" s="34" t="n">
        <v>0.00159994943599071</v>
      </c>
      <c r="BQ12" s="34" t="n">
        <v>0.00125160555721951</v>
      </c>
      <c r="BR12" s="34" t="n">
        <v>0.000277268079020569</v>
      </c>
      <c r="BS12" s="34" t="n">
        <v>0.00106510971770654</v>
      </c>
      <c r="BT12" s="34" t="n">
        <v>0</v>
      </c>
    </row>
    <row r="13" customFormat="false" ht="11.25" hidden="false" customHeight="true" outlineLevel="0" collapsed="false">
      <c r="B13" s="19" t="s">
        <v>77</v>
      </c>
      <c r="C13" s="20" t="s">
        <v>78</v>
      </c>
      <c r="D13" s="19" t="n">
        <v>7</v>
      </c>
      <c r="E13" s="33" t="n">
        <v>0.009338397750761</v>
      </c>
      <c r="F13" s="33" t="n">
        <v>0.00369854161906791</v>
      </c>
      <c r="G13" s="33" t="n">
        <v>0.00032213848066946</v>
      </c>
      <c r="H13" s="33" t="n">
        <v>0.000682889924291894</v>
      </c>
      <c r="I13" s="33" t="n">
        <v>0.0209861369989892</v>
      </c>
      <c r="J13" s="33" t="n">
        <v>0.00530122571872504</v>
      </c>
      <c r="K13" s="33" t="n">
        <v>1.07481991410145</v>
      </c>
      <c r="L13" s="33" t="n">
        <v>0.0165022107025587</v>
      </c>
      <c r="M13" s="33" t="n">
        <v>0.00143197734265817</v>
      </c>
      <c r="N13" s="33" t="n">
        <v>0.0155008048438728</v>
      </c>
      <c r="O13" s="33" t="n">
        <v>0.00462147489357595</v>
      </c>
      <c r="P13" s="33" t="n">
        <v>0.000291921450213053</v>
      </c>
      <c r="Q13" s="33" t="n">
        <v>0.00129587672907093</v>
      </c>
      <c r="R13" s="33" t="n">
        <v>0.0011567746644931</v>
      </c>
      <c r="S13" s="33" t="n">
        <v>0.000837129764442386</v>
      </c>
      <c r="T13" s="33" t="n">
        <v>0.00125479884107237</v>
      </c>
      <c r="U13" s="33" t="n">
        <v>0.00722559890595524</v>
      </c>
      <c r="V13" s="33" t="n">
        <v>0.00226970283539913</v>
      </c>
      <c r="W13" s="33" t="n">
        <v>0.0148564268674556</v>
      </c>
      <c r="X13" s="33" t="n">
        <v>0.00134957272068793</v>
      </c>
      <c r="Y13" s="33" t="n">
        <v>0.0115148708658074</v>
      </c>
      <c r="Z13" s="33" t="n">
        <v>0.00588293060404888</v>
      </c>
      <c r="AA13" s="33" t="n">
        <v>0.002134955867329</v>
      </c>
      <c r="AB13" s="33" t="n">
        <v>0.0018756965560847</v>
      </c>
      <c r="AC13" s="33" t="n">
        <v>0.00557525100089928</v>
      </c>
      <c r="AD13" s="33" t="n">
        <v>0.00798002567099439</v>
      </c>
      <c r="AE13" s="33" t="n">
        <v>0.109158325140795</v>
      </c>
      <c r="AF13" s="33" t="n">
        <v>0.467262003916637</v>
      </c>
      <c r="AG13" s="33" t="n">
        <v>0.0458853357853451</v>
      </c>
      <c r="AH13" s="33" t="n">
        <v>0.00505233221671844</v>
      </c>
      <c r="AI13" s="33" t="n">
        <v>0.0742218170238829</v>
      </c>
      <c r="AJ13" s="33" t="n">
        <v>0.0309839148197868</v>
      </c>
      <c r="AK13" s="33" t="n">
        <v>0.0302738356821926</v>
      </c>
      <c r="AL13" s="33" t="n">
        <v>0.0412757376259957</v>
      </c>
      <c r="AM13" s="33" t="n">
        <v>0.00886040358844043</v>
      </c>
      <c r="AN13" s="33" t="n">
        <v>0.0207565026338439</v>
      </c>
      <c r="AO13" s="33" t="n">
        <v>0.0158881218693043</v>
      </c>
      <c r="AP13" s="33" t="n">
        <v>0.0115518927057325</v>
      </c>
      <c r="AQ13" s="33" t="n">
        <v>0.00337232843371836</v>
      </c>
      <c r="AR13" s="33" t="n">
        <v>0.064224554042381</v>
      </c>
      <c r="AS13" s="33" t="n">
        <v>0.0126730653172098</v>
      </c>
      <c r="AT13" s="33" t="n">
        <v>0.0215014775690666</v>
      </c>
      <c r="AU13" s="33" t="n">
        <v>0.0154227515963108</v>
      </c>
      <c r="AV13" s="33" t="n">
        <v>0.000694877702915121</v>
      </c>
      <c r="AW13" s="33" t="n">
        <v>0.000370123484206318</v>
      </c>
      <c r="AX13" s="33" t="n">
        <v>0.00240012493185242</v>
      </c>
      <c r="AY13" s="33" t="n">
        <v>0.000378742556104739</v>
      </c>
      <c r="AZ13" s="33" t="n">
        <v>0.0047580553184526</v>
      </c>
      <c r="BA13" s="33" t="n">
        <v>0.0004357851341977</v>
      </c>
      <c r="BB13" s="33" t="n">
        <v>0.000639454229330459</v>
      </c>
      <c r="BC13" s="33" t="n">
        <v>0.00332747141057376</v>
      </c>
      <c r="BD13" s="33" t="n">
        <v>0.00182487554499943</v>
      </c>
      <c r="BE13" s="33" t="n">
        <v>0.00296715826736539</v>
      </c>
      <c r="BF13" s="33" t="n">
        <v>0.00228181645421622</v>
      </c>
      <c r="BG13" s="33" t="n">
        <v>0.00252926314899962</v>
      </c>
      <c r="BH13" s="33" t="n">
        <v>0.000850433325695854</v>
      </c>
      <c r="BI13" s="33" t="n">
        <v>0.00153670815134224</v>
      </c>
      <c r="BJ13" s="33" t="n">
        <v>0.00122365238545266</v>
      </c>
      <c r="BK13" s="33" t="n">
        <v>0.00357019483902881</v>
      </c>
      <c r="BL13" s="33" t="n">
        <v>0.000296915908970751</v>
      </c>
      <c r="BM13" s="33" t="n">
        <v>0.0065797229943573</v>
      </c>
      <c r="BN13" s="33" t="n">
        <v>0.00158725626657607</v>
      </c>
      <c r="BO13" s="33" t="n">
        <v>0.00120015006537505</v>
      </c>
      <c r="BP13" s="33" t="n">
        <v>0.00323188436732955</v>
      </c>
      <c r="BQ13" s="33" t="n">
        <v>0.00430564395871885</v>
      </c>
      <c r="BR13" s="33" t="n">
        <v>0.000808700138909075</v>
      </c>
      <c r="BS13" s="33" t="n">
        <v>0.00287243512336727</v>
      </c>
      <c r="BT13" s="33" t="n">
        <v>0</v>
      </c>
    </row>
    <row r="14" customFormat="false" ht="11.25" hidden="false" customHeight="true" outlineLevel="0" collapsed="false">
      <c r="B14" s="24" t="s">
        <v>79</v>
      </c>
      <c r="C14" s="25" t="s">
        <v>80</v>
      </c>
      <c r="D14" s="24" t="n">
        <v>8</v>
      </c>
      <c r="E14" s="34" t="n">
        <v>0.00121039042837526</v>
      </c>
      <c r="F14" s="34" t="n">
        <v>0.0100894154046649</v>
      </c>
      <c r="G14" s="34" t="n">
        <v>0.000218149867301911</v>
      </c>
      <c r="H14" s="34" t="n">
        <v>9.04884571395402E-005</v>
      </c>
      <c r="I14" s="34" t="n">
        <v>0.000496149312362532</v>
      </c>
      <c r="J14" s="34" t="n">
        <v>0.00025329538456198</v>
      </c>
      <c r="K14" s="34" t="n">
        <v>6.4697030495984E-005</v>
      </c>
      <c r="L14" s="34" t="n">
        <v>1.10816384360676</v>
      </c>
      <c r="M14" s="34" t="n">
        <v>0.000234060543785424</v>
      </c>
      <c r="N14" s="34" t="n">
        <v>0.0134139017603148</v>
      </c>
      <c r="O14" s="34" t="n">
        <v>0.000464118793050768</v>
      </c>
      <c r="P14" s="34" t="n">
        <v>7.79522294007482E-005</v>
      </c>
      <c r="Q14" s="34" t="n">
        <v>0.000253467057005753</v>
      </c>
      <c r="R14" s="34" t="n">
        <v>0.000247377723560524</v>
      </c>
      <c r="S14" s="34" t="n">
        <v>0.00399133636985343</v>
      </c>
      <c r="T14" s="34" t="n">
        <v>0.000335408778154937</v>
      </c>
      <c r="U14" s="34" t="n">
        <v>0.00085017175512372</v>
      </c>
      <c r="V14" s="34" t="n">
        <v>4.55020141538385E-005</v>
      </c>
      <c r="W14" s="34" t="n">
        <v>0.00233124399915044</v>
      </c>
      <c r="X14" s="34" t="n">
        <v>0.00382536005314795</v>
      </c>
      <c r="Y14" s="34" t="n">
        <v>0.000863545910707942</v>
      </c>
      <c r="Z14" s="34" t="n">
        <v>0.000875259429883579</v>
      </c>
      <c r="AA14" s="34" t="n">
        <v>0.0069347925832585</v>
      </c>
      <c r="AB14" s="34" t="n">
        <v>0.00058239012832147</v>
      </c>
      <c r="AC14" s="34" t="n">
        <v>0.000682864475096491</v>
      </c>
      <c r="AD14" s="34" t="n">
        <v>0.000461850848005903</v>
      </c>
      <c r="AE14" s="34" t="n">
        <v>0.000612596314743241</v>
      </c>
      <c r="AF14" s="34" t="n">
        <v>0.000271760534680863</v>
      </c>
      <c r="AG14" s="34" t="n">
        <v>0.000870344495887858</v>
      </c>
      <c r="AH14" s="34" t="n">
        <v>0.000279224577112086</v>
      </c>
      <c r="AI14" s="34" t="n">
        <v>0.000443293801833657</v>
      </c>
      <c r="AJ14" s="34" t="n">
        <v>0.000898361492321853</v>
      </c>
      <c r="AK14" s="34" t="n">
        <v>0.000406324027101567</v>
      </c>
      <c r="AL14" s="34" t="n">
        <v>0.00019329497549727</v>
      </c>
      <c r="AM14" s="34" t="n">
        <v>8.32989650774966E-005</v>
      </c>
      <c r="AN14" s="34" t="n">
        <v>0.000524643875732325</v>
      </c>
      <c r="AO14" s="34" t="n">
        <v>0.00017450460299684</v>
      </c>
      <c r="AP14" s="34" t="n">
        <v>0.000389862794912482</v>
      </c>
      <c r="AQ14" s="34" t="n">
        <v>0.000103076238285444</v>
      </c>
      <c r="AR14" s="34" t="n">
        <v>0.00137695960837961</v>
      </c>
      <c r="AS14" s="34" t="n">
        <v>0.000247713283396831</v>
      </c>
      <c r="AT14" s="34" t="n">
        <v>0.00455855868727489</v>
      </c>
      <c r="AU14" s="34" t="n">
        <v>0.000841609721640208</v>
      </c>
      <c r="AV14" s="34" t="n">
        <v>3.73719369140403E-005</v>
      </c>
      <c r="AW14" s="34" t="n">
        <v>0.0001207061175654</v>
      </c>
      <c r="AX14" s="34" t="n">
        <v>0.000201902290563973</v>
      </c>
      <c r="AY14" s="34" t="n">
        <v>0.00125592500916581</v>
      </c>
      <c r="AZ14" s="34" t="n">
        <v>0.0553662398943072</v>
      </c>
      <c r="BA14" s="34" t="n">
        <v>7.79688246506302E-005</v>
      </c>
      <c r="BB14" s="34" t="n">
        <v>0.000299611778534635</v>
      </c>
      <c r="BC14" s="34" t="n">
        <v>0.000772682059344098</v>
      </c>
      <c r="BD14" s="34" t="n">
        <v>0.000300300515052488</v>
      </c>
      <c r="BE14" s="34" t="n">
        <v>0.00108947677298162</v>
      </c>
      <c r="BF14" s="34" t="n">
        <v>0.000159907008123572</v>
      </c>
      <c r="BG14" s="34" t="n">
        <v>0.000672977245508099</v>
      </c>
      <c r="BH14" s="34" t="n">
        <v>0.000117709187916617</v>
      </c>
      <c r="BI14" s="34" t="n">
        <v>0.00046460685781101</v>
      </c>
      <c r="BJ14" s="34" t="n">
        <v>8.02513990869597E-005</v>
      </c>
      <c r="BK14" s="34" t="n">
        <v>0.000785892760897337</v>
      </c>
      <c r="BL14" s="34" t="n">
        <v>4.69785546095769E-005</v>
      </c>
      <c r="BM14" s="34" t="n">
        <v>0.0108091744769874</v>
      </c>
      <c r="BN14" s="34" t="n">
        <v>0.00492135873692731</v>
      </c>
      <c r="BO14" s="34" t="n">
        <v>0.00103231001147041</v>
      </c>
      <c r="BP14" s="34" t="n">
        <v>0.00736060515095664</v>
      </c>
      <c r="BQ14" s="34" t="n">
        <v>0.00369902081657403</v>
      </c>
      <c r="BR14" s="34" t="n">
        <v>9.45262564564774E-005</v>
      </c>
      <c r="BS14" s="34" t="n">
        <v>0.00372699865148852</v>
      </c>
      <c r="BT14" s="34" t="n">
        <v>0</v>
      </c>
    </row>
    <row r="15" customFormat="false" ht="11.25" hidden="false" customHeight="true" outlineLevel="0" collapsed="false">
      <c r="B15" s="19" t="s">
        <v>81</v>
      </c>
      <c r="C15" s="20" t="s">
        <v>82</v>
      </c>
      <c r="D15" s="19" t="n">
        <v>9</v>
      </c>
      <c r="E15" s="33" t="n">
        <v>0.0182432338473859</v>
      </c>
      <c r="F15" s="33" t="n">
        <v>0.0110452705376835</v>
      </c>
      <c r="G15" s="33" t="n">
        <v>0.000941252606249836</v>
      </c>
      <c r="H15" s="33" t="n">
        <v>0.00115591950522932</v>
      </c>
      <c r="I15" s="33" t="n">
        <v>0.00966315184399587</v>
      </c>
      <c r="J15" s="33" t="n">
        <v>0.00501383142863499</v>
      </c>
      <c r="K15" s="33" t="n">
        <v>0.00121197931450548</v>
      </c>
      <c r="L15" s="33" t="n">
        <v>0.0373344862705819</v>
      </c>
      <c r="M15" s="33" t="n">
        <v>1.02313718367729</v>
      </c>
      <c r="N15" s="33" t="n">
        <v>0.096187876911706</v>
      </c>
      <c r="O15" s="33" t="n">
        <v>0.0217488262900599</v>
      </c>
      <c r="P15" s="33" t="n">
        <v>0.000458559374623345</v>
      </c>
      <c r="Q15" s="33" t="n">
        <v>0.00175652219429138</v>
      </c>
      <c r="R15" s="33" t="n">
        <v>0.00132080229175026</v>
      </c>
      <c r="S15" s="33" t="n">
        <v>0.00122005388376315</v>
      </c>
      <c r="T15" s="33" t="n">
        <v>0.00160438734221913</v>
      </c>
      <c r="U15" s="33" t="n">
        <v>0.00591913980008459</v>
      </c>
      <c r="V15" s="33" t="n">
        <v>0.000337764337199507</v>
      </c>
      <c r="W15" s="33" t="n">
        <v>0.185414043513282</v>
      </c>
      <c r="X15" s="33" t="n">
        <v>0.0158048700149577</v>
      </c>
      <c r="Y15" s="33" t="n">
        <v>0.0139631775921831</v>
      </c>
      <c r="Z15" s="33" t="n">
        <v>0.0143540217836776</v>
      </c>
      <c r="AA15" s="33" t="n">
        <v>0.011664002593724</v>
      </c>
      <c r="AB15" s="33" t="n">
        <v>0.00809622826187894</v>
      </c>
      <c r="AC15" s="33" t="n">
        <v>0.005589412210011</v>
      </c>
      <c r="AD15" s="33" t="n">
        <v>0.00458213251189204</v>
      </c>
      <c r="AE15" s="33" t="n">
        <v>0.00616541559597229</v>
      </c>
      <c r="AF15" s="33" t="n">
        <v>0.00318344032596664</v>
      </c>
      <c r="AG15" s="33" t="n">
        <v>0.00428660358722514</v>
      </c>
      <c r="AH15" s="33" t="n">
        <v>0.00160649867767548</v>
      </c>
      <c r="AI15" s="33" t="n">
        <v>0.0031074528914549</v>
      </c>
      <c r="AJ15" s="33" t="n">
        <v>0.00552196524978501</v>
      </c>
      <c r="AK15" s="33" t="n">
        <v>0.00336915478831164</v>
      </c>
      <c r="AL15" s="33" t="n">
        <v>0.00186853673912569</v>
      </c>
      <c r="AM15" s="33" t="n">
        <v>0.000607708788422004</v>
      </c>
      <c r="AN15" s="33" t="n">
        <v>0.00213522804120872</v>
      </c>
      <c r="AO15" s="33" t="n">
        <v>0.00158305652179833</v>
      </c>
      <c r="AP15" s="33" t="n">
        <v>0.0045484463290574</v>
      </c>
      <c r="AQ15" s="33" t="n">
        <v>0.00157402558262141</v>
      </c>
      <c r="AR15" s="33" t="n">
        <v>0.0148909129909348</v>
      </c>
      <c r="AS15" s="33" t="n">
        <v>0.00420093268999943</v>
      </c>
      <c r="AT15" s="33" t="n">
        <v>0.0329054353279014</v>
      </c>
      <c r="AU15" s="33" t="n">
        <v>0.0461387719674986</v>
      </c>
      <c r="AV15" s="33" t="n">
        <v>0.00127138185670213</v>
      </c>
      <c r="AW15" s="33" t="n">
        <v>0.00187844480516293</v>
      </c>
      <c r="AX15" s="33" t="n">
        <v>0.0032730083965229</v>
      </c>
      <c r="AY15" s="33" t="n">
        <v>0.000460201861907239</v>
      </c>
      <c r="AZ15" s="33" t="n">
        <v>0.0249625315028939</v>
      </c>
      <c r="BA15" s="33" t="n">
        <v>0.000436730079708178</v>
      </c>
      <c r="BB15" s="33" t="n">
        <v>0.000830341818275283</v>
      </c>
      <c r="BC15" s="33" t="n">
        <v>0.00329804027100216</v>
      </c>
      <c r="BD15" s="33" t="n">
        <v>0.0017714071454271</v>
      </c>
      <c r="BE15" s="33" t="n">
        <v>0.00387707655065835</v>
      </c>
      <c r="BF15" s="33" t="n">
        <v>0.00104336768374349</v>
      </c>
      <c r="BG15" s="33" t="n">
        <v>0.00278546048593878</v>
      </c>
      <c r="BH15" s="33" t="n">
        <v>0.00175346825106658</v>
      </c>
      <c r="BI15" s="33" t="n">
        <v>0.00173618891892554</v>
      </c>
      <c r="BJ15" s="33" t="n">
        <v>0.00173406432273635</v>
      </c>
      <c r="BK15" s="33" t="n">
        <v>0.00358359074493576</v>
      </c>
      <c r="BL15" s="33" t="n">
        <v>0.000895878496904137</v>
      </c>
      <c r="BM15" s="33" t="n">
        <v>0.011457567745352</v>
      </c>
      <c r="BN15" s="33" t="n">
        <v>0.00334393549108306</v>
      </c>
      <c r="BO15" s="33" t="n">
        <v>0.00117712415816294</v>
      </c>
      <c r="BP15" s="33" t="n">
        <v>0.0049836453855889</v>
      </c>
      <c r="BQ15" s="33" t="n">
        <v>0.00388901167000369</v>
      </c>
      <c r="BR15" s="33" t="n">
        <v>0.000550715405042143</v>
      </c>
      <c r="BS15" s="33" t="n">
        <v>0.00455578545862197</v>
      </c>
      <c r="BT15" s="33" t="n">
        <v>0</v>
      </c>
    </row>
    <row r="16" customFormat="false" ht="11.25" hidden="false" customHeight="true" outlineLevel="0" collapsed="false">
      <c r="B16" s="24" t="s">
        <v>83</v>
      </c>
      <c r="C16" s="25" t="s">
        <v>84</v>
      </c>
      <c r="D16" s="24" t="n">
        <v>10</v>
      </c>
      <c r="E16" s="34" t="n">
        <v>0.0121629993658643</v>
      </c>
      <c r="F16" s="34" t="n">
        <v>0.0557188714544435</v>
      </c>
      <c r="G16" s="34" t="n">
        <v>0.00411582600318258</v>
      </c>
      <c r="H16" s="34" t="n">
        <v>0.000802153769054021</v>
      </c>
      <c r="I16" s="34" t="n">
        <v>0.00221418468841243</v>
      </c>
      <c r="J16" s="34" t="n">
        <v>0.00120679545934407</v>
      </c>
      <c r="K16" s="34" t="n">
        <v>0.000326336968828303</v>
      </c>
      <c r="L16" s="34" t="n">
        <v>0.148327201402908</v>
      </c>
      <c r="M16" s="34" t="n">
        <v>0.0015458240261276</v>
      </c>
      <c r="N16" s="34" t="n">
        <v>1.11647849628937</v>
      </c>
      <c r="O16" s="34" t="n">
        <v>0.00971941476603323</v>
      </c>
      <c r="P16" s="34" t="n">
        <v>0.000420126610783809</v>
      </c>
      <c r="Q16" s="34" t="n">
        <v>0.00133109167978124</v>
      </c>
      <c r="R16" s="34" t="n">
        <v>0.00115274170750521</v>
      </c>
      <c r="S16" s="34" t="n">
        <v>0.00143403203747212</v>
      </c>
      <c r="T16" s="34" t="n">
        <v>0.00127635134715885</v>
      </c>
      <c r="U16" s="34" t="n">
        <v>0.00667680635866698</v>
      </c>
      <c r="V16" s="34" t="n">
        <v>0.000243858232108479</v>
      </c>
      <c r="W16" s="34" t="n">
        <v>0.0205893979339872</v>
      </c>
      <c r="X16" s="34" t="n">
        <v>0.0172600309898935</v>
      </c>
      <c r="Y16" s="34" t="n">
        <v>0.00520985275897274</v>
      </c>
      <c r="Z16" s="34" t="n">
        <v>0.00610452934319967</v>
      </c>
      <c r="AA16" s="34" t="n">
        <v>0.00573885744938244</v>
      </c>
      <c r="AB16" s="34" t="n">
        <v>0.00279366057726437</v>
      </c>
      <c r="AC16" s="34" t="n">
        <v>0.00350252029286166</v>
      </c>
      <c r="AD16" s="34" t="n">
        <v>0.0023709547553664</v>
      </c>
      <c r="AE16" s="34" t="n">
        <v>0.00289524099276817</v>
      </c>
      <c r="AF16" s="34" t="n">
        <v>0.00119240668729302</v>
      </c>
      <c r="AG16" s="34" t="n">
        <v>0.00267936654083852</v>
      </c>
      <c r="AH16" s="34" t="n">
        <v>0.00115798949593069</v>
      </c>
      <c r="AI16" s="34" t="n">
        <v>0.00193560473933835</v>
      </c>
      <c r="AJ16" s="34" t="n">
        <v>0.00368798814695039</v>
      </c>
      <c r="AK16" s="34" t="n">
        <v>0.0013761361467914</v>
      </c>
      <c r="AL16" s="34" t="n">
        <v>0.000803231064411298</v>
      </c>
      <c r="AM16" s="34" t="n">
        <v>0.000329774432133806</v>
      </c>
      <c r="AN16" s="34" t="n">
        <v>0.00166389648621472</v>
      </c>
      <c r="AO16" s="34" t="n">
        <v>0.000694118494485162</v>
      </c>
      <c r="AP16" s="34" t="n">
        <v>0.0011980254715979</v>
      </c>
      <c r="AQ16" s="34" t="n">
        <v>0.000491313839673672</v>
      </c>
      <c r="AR16" s="34" t="n">
        <v>0.00586679384601733</v>
      </c>
      <c r="AS16" s="34" t="n">
        <v>0.00110998399175012</v>
      </c>
      <c r="AT16" s="34" t="n">
        <v>0.0233572439125856</v>
      </c>
      <c r="AU16" s="34" t="n">
        <v>0.0057962861684112</v>
      </c>
      <c r="AV16" s="34" t="n">
        <v>0.00019392187423635</v>
      </c>
      <c r="AW16" s="34" t="n">
        <v>0.000344355354742227</v>
      </c>
      <c r="AX16" s="34" t="n">
        <v>0.000760558876035445</v>
      </c>
      <c r="AY16" s="34" t="n">
        <v>0.000862462857544479</v>
      </c>
      <c r="AZ16" s="34" t="n">
        <v>0.0436598453415831</v>
      </c>
      <c r="BA16" s="34" t="n">
        <v>0.000341270079998225</v>
      </c>
      <c r="BB16" s="34" t="n">
        <v>0.000675115077735342</v>
      </c>
      <c r="BC16" s="34" t="n">
        <v>0.00288316541441687</v>
      </c>
      <c r="BD16" s="34" t="n">
        <v>0.000983203539854084</v>
      </c>
      <c r="BE16" s="34" t="n">
        <v>0.00219647229645863</v>
      </c>
      <c r="BF16" s="34" t="n">
        <v>0.000543150917600952</v>
      </c>
      <c r="BG16" s="34" t="n">
        <v>0.00144697758994146</v>
      </c>
      <c r="BH16" s="34" t="n">
        <v>0.00040975122090997</v>
      </c>
      <c r="BI16" s="34" t="n">
        <v>0.00123212561771384</v>
      </c>
      <c r="BJ16" s="34" t="n">
        <v>0.000333920661946307</v>
      </c>
      <c r="BK16" s="34" t="n">
        <v>0.00168544767343804</v>
      </c>
      <c r="BL16" s="34" t="n">
        <v>0.000182934271177016</v>
      </c>
      <c r="BM16" s="34" t="n">
        <v>0.00981191798730366</v>
      </c>
      <c r="BN16" s="34" t="n">
        <v>0.00509275337793674</v>
      </c>
      <c r="BO16" s="34" t="n">
        <v>0.00107981745104842</v>
      </c>
      <c r="BP16" s="34" t="n">
        <v>0.0100702301275</v>
      </c>
      <c r="BQ16" s="34" t="n">
        <v>0.00387513492685615</v>
      </c>
      <c r="BR16" s="34" t="n">
        <v>0.000315323474695547</v>
      </c>
      <c r="BS16" s="34" t="n">
        <v>0.00541886311417309</v>
      </c>
      <c r="BT16" s="34" t="n">
        <v>0</v>
      </c>
    </row>
    <row r="17" customFormat="false" ht="11.25" hidden="false" customHeight="true" outlineLevel="0" collapsed="false">
      <c r="B17" s="19" t="s">
        <v>85</v>
      </c>
      <c r="C17" s="20" t="s">
        <v>86</v>
      </c>
      <c r="D17" s="19" t="n">
        <v>11</v>
      </c>
      <c r="E17" s="33" t="n">
        <v>0.00149976662949943</v>
      </c>
      <c r="F17" s="33" t="n">
        <v>0.000780599700045168</v>
      </c>
      <c r="G17" s="33" t="n">
        <v>6.40294043766483E-005</v>
      </c>
      <c r="H17" s="33" t="n">
        <v>0.000210174765707569</v>
      </c>
      <c r="I17" s="33" t="n">
        <v>0.00159323764644675</v>
      </c>
      <c r="J17" s="33" t="n">
        <v>0.000788485364126932</v>
      </c>
      <c r="K17" s="33" t="n">
        <v>0.000197800211661479</v>
      </c>
      <c r="L17" s="33" t="n">
        <v>0.0125990594949739</v>
      </c>
      <c r="M17" s="33" t="n">
        <v>0.000450161659486807</v>
      </c>
      <c r="N17" s="33" t="n">
        <v>0.00603149148321453</v>
      </c>
      <c r="O17" s="33" t="n">
        <v>1.101014334462</v>
      </c>
      <c r="P17" s="33" t="n">
        <v>0.00017017477177799</v>
      </c>
      <c r="Q17" s="33" t="n">
        <v>0.000545344293493674</v>
      </c>
      <c r="R17" s="33" t="n">
        <v>0.000587292031909533</v>
      </c>
      <c r="S17" s="33" t="n">
        <v>0.000543156394318372</v>
      </c>
      <c r="T17" s="33" t="n">
        <v>0.000415967185594874</v>
      </c>
      <c r="U17" s="33" t="n">
        <v>0.00192249694752241</v>
      </c>
      <c r="V17" s="33" t="n">
        <v>0.000120210477091537</v>
      </c>
      <c r="W17" s="33" t="n">
        <v>0.00273453568110874</v>
      </c>
      <c r="X17" s="33" t="n">
        <v>0.000549427465633669</v>
      </c>
      <c r="Y17" s="33" t="n">
        <v>0.00168338277679076</v>
      </c>
      <c r="Z17" s="33" t="n">
        <v>0.00172722008964991</v>
      </c>
      <c r="AA17" s="33" t="n">
        <v>0.00053413524429229</v>
      </c>
      <c r="AB17" s="33" t="n">
        <v>0.001594294256282</v>
      </c>
      <c r="AC17" s="33" t="n">
        <v>0.0016347672097049</v>
      </c>
      <c r="AD17" s="33" t="n">
        <v>0.00118008908848212</v>
      </c>
      <c r="AE17" s="33" t="n">
        <v>0.00170671841816011</v>
      </c>
      <c r="AF17" s="33" t="n">
        <v>0.000735161755758041</v>
      </c>
      <c r="AG17" s="33" t="n">
        <v>0.00177176888717573</v>
      </c>
      <c r="AH17" s="33" t="n">
        <v>0.000795862231543715</v>
      </c>
      <c r="AI17" s="33" t="n">
        <v>0.00124427947372845</v>
      </c>
      <c r="AJ17" s="33" t="n">
        <v>0.00310845440275395</v>
      </c>
      <c r="AK17" s="33" t="n">
        <v>0.00132201108360719</v>
      </c>
      <c r="AL17" s="33" t="n">
        <v>0.000527636139542747</v>
      </c>
      <c r="AM17" s="33" t="n">
        <v>0.000254239108570107</v>
      </c>
      <c r="AN17" s="33" t="n">
        <v>0.000792529872971714</v>
      </c>
      <c r="AO17" s="33" t="n">
        <v>0.000826787592620511</v>
      </c>
      <c r="AP17" s="33" t="n">
        <v>0.0012464128837418</v>
      </c>
      <c r="AQ17" s="33" t="n">
        <v>0.000266328429448173</v>
      </c>
      <c r="AR17" s="33" t="n">
        <v>0.00322480277782799</v>
      </c>
      <c r="AS17" s="33" t="n">
        <v>0.000744484647300434</v>
      </c>
      <c r="AT17" s="33" t="n">
        <v>0.00879297290359414</v>
      </c>
      <c r="AU17" s="33" t="n">
        <v>0.00144714155047476</v>
      </c>
      <c r="AV17" s="33" t="n">
        <v>9.94177513075016E-005</v>
      </c>
      <c r="AW17" s="33" t="n">
        <v>0.000525762084062081</v>
      </c>
      <c r="AX17" s="33" t="n">
        <v>0.000587827722559304</v>
      </c>
      <c r="AY17" s="33" t="n">
        <v>0.00435289333784261</v>
      </c>
      <c r="AZ17" s="33" t="n">
        <v>0.276195345396114</v>
      </c>
      <c r="BA17" s="33" t="n">
        <v>0.000214763162298288</v>
      </c>
      <c r="BB17" s="33" t="n">
        <v>0.0011695998742153</v>
      </c>
      <c r="BC17" s="33" t="n">
        <v>0.00229817293668885</v>
      </c>
      <c r="BD17" s="33" t="n">
        <v>0.00094315424736611</v>
      </c>
      <c r="BE17" s="33" t="n">
        <v>0.00549768196180237</v>
      </c>
      <c r="BF17" s="33" t="n">
        <v>0.000536568565159717</v>
      </c>
      <c r="BG17" s="33" t="n">
        <v>0.00262114904634224</v>
      </c>
      <c r="BH17" s="33" t="n">
        <v>0.000253916411288835</v>
      </c>
      <c r="BI17" s="33" t="n">
        <v>0.00159666720918106</v>
      </c>
      <c r="BJ17" s="33" t="n">
        <v>0.000198279775867332</v>
      </c>
      <c r="BK17" s="33" t="n">
        <v>0.00230708002760698</v>
      </c>
      <c r="BL17" s="33" t="n">
        <v>0.000114826409906765</v>
      </c>
      <c r="BM17" s="33" t="n">
        <v>0.0141240907192808</v>
      </c>
      <c r="BN17" s="33" t="n">
        <v>0.00334348634552567</v>
      </c>
      <c r="BO17" s="33" t="n">
        <v>0.000895415978837098</v>
      </c>
      <c r="BP17" s="33" t="n">
        <v>0.0085791403358688</v>
      </c>
      <c r="BQ17" s="33" t="n">
        <v>0.00689124971368938</v>
      </c>
      <c r="BR17" s="33" t="n">
        <v>0.000550892979381219</v>
      </c>
      <c r="BS17" s="33" t="n">
        <v>0.0133113164416839</v>
      </c>
      <c r="BT17" s="33" t="n">
        <v>0</v>
      </c>
    </row>
    <row r="18" customFormat="false" ht="11.25" hidden="false" customHeight="true" outlineLevel="0" collapsed="false">
      <c r="B18" s="24" t="s">
        <v>87</v>
      </c>
      <c r="C18" s="25" t="s">
        <v>88</v>
      </c>
      <c r="D18" s="24" t="n">
        <v>12</v>
      </c>
      <c r="E18" s="34" t="n">
        <v>0.000732020458018752</v>
      </c>
      <c r="F18" s="34" t="n">
        <v>0.000208259183932078</v>
      </c>
      <c r="G18" s="34" t="n">
        <v>1.47979113478927E-005</v>
      </c>
      <c r="H18" s="34" t="n">
        <v>2.78402455791256E-005</v>
      </c>
      <c r="I18" s="34" t="n">
        <v>0.000451897119076618</v>
      </c>
      <c r="J18" s="34" t="n">
        <v>0.000354388809550137</v>
      </c>
      <c r="K18" s="34" t="n">
        <v>7.05542635908711E-005</v>
      </c>
      <c r="L18" s="34" t="n">
        <v>0.00211642504805719</v>
      </c>
      <c r="M18" s="34" t="n">
        <v>0.000138240726262698</v>
      </c>
      <c r="N18" s="34" t="n">
        <v>0.00137289629523132</v>
      </c>
      <c r="O18" s="34" t="n">
        <v>0.000147813219666515</v>
      </c>
      <c r="P18" s="34" t="n">
        <v>1.03635711644382</v>
      </c>
      <c r="Q18" s="34" t="n">
        <v>0.000158134275777541</v>
      </c>
      <c r="R18" s="34" t="n">
        <v>0.000172889147935838</v>
      </c>
      <c r="S18" s="34" t="n">
        <v>0.000159208102306961</v>
      </c>
      <c r="T18" s="34" t="n">
        <v>0.000117862975362424</v>
      </c>
      <c r="U18" s="34" t="n">
        <v>0.000619984664431602</v>
      </c>
      <c r="V18" s="34" t="n">
        <v>3.41111489913261E-005</v>
      </c>
      <c r="W18" s="34" t="n">
        <v>0.000535922737026317</v>
      </c>
      <c r="X18" s="34" t="n">
        <v>0.000154636192986984</v>
      </c>
      <c r="Y18" s="34" t="n">
        <v>0.000390344691947553</v>
      </c>
      <c r="Z18" s="34" t="n">
        <v>0.000368229667115536</v>
      </c>
      <c r="AA18" s="34" t="n">
        <v>0.000106426967519839</v>
      </c>
      <c r="AB18" s="34" t="n">
        <v>0.000341860002462684</v>
      </c>
      <c r="AC18" s="34" t="n">
        <v>0.000450389538471648</v>
      </c>
      <c r="AD18" s="34" t="n">
        <v>0.000330892956227575</v>
      </c>
      <c r="AE18" s="34" t="n">
        <v>0.00050645242903793</v>
      </c>
      <c r="AF18" s="34" t="n">
        <v>0.000201039648084097</v>
      </c>
      <c r="AG18" s="34" t="n">
        <v>0.00044699609155501</v>
      </c>
      <c r="AH18" s="34" t="n">
        <v>0.000209272071906539</v>
      </c>
      <c r="AI18" s="34" t="n">
        <v>0.000368170462167528</v>
      </c>
      <c r="AJ18" s="34" t="n">
        <v>0.00136588050348291</v>
      </c>
      <c r="AK18" s="34" t="n">
        <v>0.000248985676300657</v>
      </c>
      <c r="AL18" s="34" t="n">
        <v>0.000131819128137324</v>
      </c>
      <c r="AM18" s="34" t="n">
        <v>7.23048002362999E-005</v>
      </c>
      <c r="AN18" s="34" t="n">
        <v>0.000216511578625891</v>
      </c>
      <c r="AO18" s="34" t="n">
        <v>0.00046129678137027</v>
      </c>
      <c r="AP18" s="34" t="n">
        <v>0.000150960457451058</v>
      </c>
      <c r="AQ18" s="34" t="n">
        <v>5.1774312849083E-005</v>
      </c>
      <c r="AR18" s="34" t="n">
        <v>0.000752453078099868</v>
      </c>
      <c r="AS18" s="34" t="n">
        <v>9.6003598339247E-005</v>
      </c>
      <c r="AT18" s="34" t="n">
        <v>0.00162869202879609</v>
      </c>
      <c r="AU18" s="34" t="n">
        <v>0.000233178176335176</v>
      </c>
      <c r="AV18" s="34" t="n">
        <v>2.91254341044067E-005</v>
      </c>
      <c r="AW18" s="34" t="n">
        <v>1.42305090970826E-005</v>
      </c>
      <c r="AX18" s="34" t="n">
        <v>8.16048994878005E-005</v>
      </c>
      <c r="AY18" s="34" t="n">
        <v>1.2830631278229E-005</v>
      </c>
      <c r="AZ18" s="34" t="n">
        <v>0.000245399301551276</v>
      </c>
      <c r="BA18" s="34" t="n">
        <v>6.29821256427307E-005</v>
      </c>
      <c r="BB18" s="34" t="n">
        <v>9.45770289956439E-005</v>
      </c>
      <c r="BC18" s="34" t="n">
        <v>0.000510386645487423</v>
      </c>
      <c r="BD18" s="34" t="n">
        <v>0.000160808742711186</v>
      </c>
      <c r="BE18" s="34" t="n">
        <v>0.000164755729011911</v>
      </c>
      <c r="BF18" s="34" t="n">
        <v>4.75675715640678E-005</v>
      </c>
      <c r="BG18" s="34" t="n">
        <v>0.000149348679206122</v>
      </c>
      <c r="BH18" s="34" t="n">
        <v>0.000120597084033375</v>
      </c>
      <c r="BI18" s="34" t="n">
        <v>0.000151486976995197</v>
      </c>
      <c r="BJ18" s="34" t="n">
        <v>3.19585484811048E-005</v>
      </c>
      <c r="BK18" s="34" t="n">
        <v>0.000229482552436848</v>
      </c>
      <c r="BL18" s="34" t="n">
        <v>1.74671030752343E-005</v>
      </c>
      <c r="BM18" s="34" t="n">
        <v>0.000199886478356954</v>
      </c>
      <c r="BN18" s="34" t="n">
        <v>7.01430823352182E-005</v>
      </c>
      <c r="BO18" s="34" t="n">
        <v>5.03632199464178E-005</v>
      </c>
      <c r="BP18" s="34" t="n">
        <v>0.000118385661407915</v>
      </c>
      <c r="BQ18" s="34" t="n">
        <v>0.000127929550733625</v>
      </c>
      <c r="BR18" s="34" t="n">
        <v>2.34906842866222E-005</v>
      </c>
      <c r="BS18" s="34" t="n">
        <v>8.81293459746765E-005</v>
      </c>
      <c r="BT18" s="34" t="n">
        <v>0</v>
      </c>
    </row>
    <row r="19" customFormat="false" ht="11.25" hidden="false" customHeight="true" outlineLevel="0" collapsed="false">
      <c r="B19" s="19" t="s">
        <v>89</v>
      </c>
      <c r="C19" s="20" t="s">
        <v>90</v>
      </c>
      <c r="D19" s="19" t="n">
        <v>13</v>
      </c>
      <c r="E19" s="33" t="n">
        <v>0.0218733886471251</v>
      </c>
      <c r="F19" s="33" t="n">
        <v>0.00266018667284411</v>
      </c>
      <c r="G19" s="33" t="n">
        <v>0.000275208864260711</v>
      </c>
      <c r="H19" s="33" t="n">
        <v>0.0035917142554618</v>
      </c>
      <c r="I19" s="33" t="n">
        <v>0.00557369650552156</v>
      </c>
      <c r="J19" s="33" t="n">
        <v>0.00175040098319003</v>
      </c>
      <c r="K19" s="33" t="n">
        <v>0.000465929657420072</v>
      </c>
      <c r="L19" s="33" t="n">
        <v>0.0115519301763143</v>
      </c>
      <c r="M19" s="33" t="n">
        <v>0.00442345305856378</v>
      </c>
      <c r="N19" s="33" t="n">
        <v>0.0183503749226119</v>
      </c>
      <c r="O19" s="33" t="n">
        <v>0.00246512575323556</v>
      </c>
      <c r="P19" s="33" t="n">
        <v>0.000397383971640661</v>
      </c>
      <c r="Q19" s="33" t="n">
        <v>1.19709752319143</v>
      </c>
      <c r="R19" s="33" t="n">
        <v>0.309977602174585</v>
      </c>
      <c r="S19" s="33" t="n">
        <v>0.0482489874623947</v>
      </c>
      <c r="T19" s="33" t="n">
        <v>0.00104391895633837</v>
      </c>
      <c r="U19" s="33" t="n">
        <v>0.00595148476051901</v>
      </c>
      <c r="V19" s="33" t="n">
        <v>0.00037401790251004</v>
      </c>
      <c r="W19" s="33" t="n">
        <v>0.00603088593968163</v>
      </c>
      <c r="X19" s="33" t="n">
        <v>0.00195355170650482</v>
      </c>
      <c r="Y19" s="33" t="n">
        <v>0.00438511870310829</v>
      </c>
      <c r="Z19" s="33" t="n">
        <v>0.00352097176873741</v>
      </c>
      <c r="AA19" s="33" t="n">
        <v>0.00162800810470332</v>
      </c>
      <c r="AB19" s="33" t="n">
        <v>0.00411918729482242</v>
      </c>
      <c r="AC19" s="33" t="n">
        <v>0.0197408189695571</v>
      </c>
      <c r="AD19" s="33" t="n">
        <v>0.00407100216685869</v>
      </c>
      <c r="AE19" s="33" t="n">
        <v>0.00298721108430035</v>
      </c>
      <c r="AF19" s="33" t="n">
        <v>0.00145317839359219</v>
      </c>
      <c r="AG19" s="33" t="n">
        <v>0.0043647073617431</v>
      </c>
      <c r="AH19" s="33" t="n">
        <v>0.00156819921693222</v>
      </c>
      <c r="AI19" s="33" t="n">
        <v>0.00380044318977694</v>
      </c>
      <c r="AJ19" s="33" t="n">
        <v>0.00464421236265221</v>
      </c>
      <c r="AK19" s="33" t="n">
        <v>0.0179082532113182</v>
      </c>
      <c r="AL19" s="33" t="n">
        <v>0.0327744254460278</v>
      </c>
      <c r="AM19" s="33" t="n">
        <v>0.00210153533228752</v>
      </c>
      <c r="AN19" s="33" t="n">
        <v>0.0304835850627921</v>
      </c>
      <c r="AO19" s="33" t="n">
        <v>0.00161207386622753</v>
      </c>
      <c r="AP19" s="33" t="n">
        <v>0.00359800781545454</v>
      </c>
      <c r="AQ19" s="33" t="n">
        <v>0.0016910432515949</v>
      </c>
      <c r="AR19" s="33" t="n">
        <v>0.0224529352764174</v>
      </c>
      <c r="AS19" s="33" t="n">
        <v>0.0081363130109843</v>
      </c>
      <c r="AT19" s="33" t="n">
        <v>0.0189547441071902</v>
      </c>
      <c r="AU19" s="33" t="n">
        <v>0.0130831346065659</v>
      </c>
      <c r="AV19" s="33" t="n">
        <v>0.000564671807322025</v>
      </c>
      <c r="AW19" s="33" t="n">
        <v>0.000658688501068084</v>
      </c>
      <c r="AX19" s="33" t="n">
        <v>0.00191914967372913</v>
      </c>
      <c r="AY19" s="33" t="n">
        <v>0.00361486764490215</v>
      </c>
      <c r="AZ19" s="33" t="n">
        <v>0.00659487474591266</v>
      </c>
      <c r="BA19" s="33" t="n">
        <v>0.000283056447649002</v>
      </c>
      <c r="BB19" s="33" t="n">
        <v>0.00115540915140486</v>
      </c>
      <c r="BC19" s="33" t="n">
        <v>0.00266199382394679</v>
      </c>
      <c r="BD19" s="33" t="n">
        <v>0.00130568332803631</v>
      </c>
      <c r="BE19" s="33" t="n">
        <v>0.00475767180260245</v>
      </c>
      <c r="BF19" s="33" t="n">
        <v>0.00111930976324172</v>
      </c>
      <c r="BG19" s="33" t="n">
        <v>0.00163303945820203</v>
      </c>
      <c r="BH19" s="33" t="n">
        <v>0.00131237243586606</v>
      </c>
      <c r="BI19" s="33" t="n">
        <v>0.00178020868559894</v>
      </c>
      <c r="BJ19" s="33" t="n">
        <v>0.000772896733468969</v>
      </c>
      <c r="BK19" s="33" t="n">
        <v>0.00267789548585702</v>
      </c>
      <c r="BL19" s="33" t="n">
        <v>0.00114032612104039</v>
      </c>
      <c r="BM19" s="33" t="n">
        <v>0.00754094995148047</v>
      </c>
      <c r="BN19" s="33" t="n">
        <v>0.0044802062731879</v>
      </c>
      <c r="BO19" s="33" t="n">
        <v>0.000920884493407411</v>
      </c>
      <c r="BP19" s="33" t="n">
        <v>0.00451198992312216</v>
      </c>
      <c r="BQ19" s="33" t="n">
        <v>0.00734774215439745</v>
      </c>
      <c r="BR19" s="33" t="n">
        <v>0.000918551181763698</v>
      </c>
      <c r="BS19" s="33" t="n">
        <v>0.0200427176327541</v>
      </c>
      <c r="BT19" s="33" t="n">
        <v>0</v>
      </c>
    </row>
    <row r="20" customFormat="false" ht="11.25" hidden="false" customHeight="true" outlineLevel="0" collapsed="false">
      <c r="B20" s="24" t="s">
        <v>91</v>
      </c>
      <c r="C20" s="25" t="s">
        <v>92</v>
      </c>
      <c r="D20" s="24" t="n">
        <v>14</v>
      </c>
      <c r="E20" s="34" t="n">
        <v>0.00166614553519355</v>
      </c>
      <c r="F20" s="34" t="n">
        <v>0.000639103618676044</v>
      </c>
      <c r="G20" s="34" t="n">
        <v>0.000226079846775628</v>
      </c>
      <c r="H20" s="34" t="n">
        <v>0.000170319774933398</v>
      </c>
      <c r="I20" s="34" t="n">
        <v>0.00261416480381756</v>
      </c>
      <c r="J20" s="34" t="n">
        <v>0.000621453479197899</v>
      </c>
      <c r="K20" s="34" t="n">
        <v>0.000149427637492563</v>
      </c>
      <c r="L20" s="34" t="n">
        <v>0.0056651972806037</v>
      </c>
      <c r="M20" s="34" t="n">
        <v>0.000503680407600187</v>
      </c>
      <c r="N20" s="34" t="n">
        <v>0.0040633719010549</v>
      </c>
      <c r="O20" s="34" t="n">
        <v>0.000766330827797046</v>
      </c>
      <c r="P20" s="34" t="n">
        <v>0.000150048035767098</v>
      </c>
      <c r="Q20" s="34" t="n">
        <v>0.00197789330184677</v>
      </c>
      <c r="R20" s="34" t="n">
        <v>1.02820191016588</v>
      </c>
      <c r="S20" s="34" t="n">
        <v>0.00140357661751053</v>
      </c>
      <c r="T20" s="34" t="n">
        <v>0.000339349802779771</v>
      </c>
      <c r="U20" s="34" t="n">
        <v>0.00162078355750367</v>
      </c>
      <c r="V20" s="34" t="n">
        <v>9.38856391132211E-005</v>
      </c>
      <c r="W20" s="34" t="n">
        <v>0.00250449376015635</v>
      </c>
      <c r="X20" s="34" t="n">
        <v>0.000449351176599203</v>
      </c>
      <c r="Y20" s="34" t="n">
        <v>0.00135855116360521</v>
      </c>
      <c r="Z20" s="34" t="n">
        <v>0.00126755050652912</v>
      </c>
      <c r="AA20" s="34" t="n">
        <v>0.000387779779434527</v>
      </c>
      <c r="AB20" s="34" t="n">
        <v>0.000969436651277486</v>
      </c>
      <c r="AC20" s="34" t="n">
        <v>0.00135954208666046</v>
      </c>
      <c r="AD20" s="34" t="n">
        <v>0.00121497907942484</v>
      </c>
      <c r="AE20" s="34" t="n">
        <v>0.00153744500767777</v>
      </c>
      <c r="AF20" s="34" t="n">
        <v>0.000590203201746147</v>
      </c>
      <c r="AG20" s="34" t="n">
        <v>0.0020585719415667</v>
      </c>
      <c r="AH20" s="34" t="n">
        <v>0.000672878038817465</v>
      </c>
      <c r="AI20" s="34" t="n">
        <v>0.000981898550054761</v>
      </c>
      <c r="AJ20" s="34" t="n">
        <v>0.00191268314613071</v>
      </c>
      <c r="AK20" s="34" t="n">
        <v>0.00123650440013126</v>
      </c>
      <c r="AL20" s="34" t="n">
        <v>0.00111873846837807</v>
      </c>
      <c r="AM20" s="34" t="n">
        <v>0.000217905535171908</v>
      </c>
      <c r="AN20" s="34" t="n">
        <v>0.0011297762696861</v>
      </c>
      <c r="AO20" s="34" t="n">
        <v>0.000375279638569138</v>
      </c>
      <c r="AP20" s="34" t="n">
        <v>0.00279500322932422</v>
      </c>
      <c r="AQ20" s="34" t="n">
        <v>0.00204179774886995</v>
      </c>
      <c r="AR20" s="34" t="n">
        <v>0.00315540723690267</v>
      </c>
      <c r="AS20" s="34" t="n">
        <v>0.000664626177829813</v>
      </c>
      <c r="AT20" s="34" t="n">
        <v>0.0128011054007148</v>
      </c>
      <c r="AU20" s="34" t="n">
        <v>0.00508985426260543</v>
      </c>
      <c r="AV20" s="34" t="n">
        <v>0.000279129752947431</v>
      </c>
      <c r="AW20" s="34" t="n">
        <v>0.00136329352463457</v>
      </c>
      <c r="AX20" s="34" t="n">
        <v>0.00240537119959684</v>
      </c>
      <c r="AY20" s="34" t="n">
        <v>0.000987079235538855</v>
      </c>
      <c r="AZ20" s="34" t="n">
        <v>0.00353459038223639</v>
      </c>
      <c r="BA20" s="34" t="n">
        <v>0.000174029074934057</v>
      </c>
      <c r="BB20" s="34" t="n">
        <v>0.00213455373662916</v>
      </c>
      <c r="BC20" s="34" t="n">
        <v>0.00249082462953243</v>
      </c>
      <c r="BD20" s="34" t="n">
        <v>0.000873588562671174</v>
      </c>
      <c r="BE20" s="34" t="n">
        <v>0.009368354943857</v>
      </c>
      <c r="BF20" s="34" t="n">
        <v>0.00104905980604374</v>
      </c>
      <c r="BG20" s="34" t="n">
        <v>0.000990525348043988</v>
      </c>
      <c r="BH20" s="34" t="n">
        <v>0.00241271021410087</v>
      </c>
      <c r="BI20" s="34" t="n">
        <v>0.00246869895863495</v>
      </c>
      <c r="BJ20" s="34" t="n">
        <v>0.00021193083893707</v>
      </c>
      <c r="BK20" s="34" t="n">
        <v>0.00293099956734272</v>
      </c>
      <c r="BL20" s="34" t="n">
        <v>0.003031003894948</v>
      </c>
      <c r="BM20" s="34" t="n">
        <v>0.0109120990303172</v>
      </c>
      <c r="BN20" s="34" t="n">
        <v>0.00860171941214038</v>
      </c>
      <c r="BO20" s="34" t="n">
        <v>0.000595073454094017</v>
      </c>
      <c r="BP20" s="34" t="n">
        <v>0.00240572507904487</v>
      </c>
      <c r="BQ20" s="34" t="n">
        <v>0.00203010178583486</v>
      </c>
      <c r="BR20" s="34" t="n">
        <v>0.00168845834545542</v>
      </c>
      <c r="BS20" s="34" t="n">
        <v>0.0147127335625522</v>
      </c>
      <c r="BT20" s="34" t="n">
        <v>0</v>
      </c>
    </row>
    <row r="21" customFormat="false" ht="11.25" hidden="false" customHeight="true" outlineLevel="0" collapsed="false">
      <c r="B21" s="19" t="s">
        <v>93</v>
      </c>
      <c r="C21" s="20" t="s">
        <v>94</v>
      </c>
      <c r="D21" s="19" t="n">
        <v>15</v>
      </c>
      <c r="E21" s="33" t="n">
        <v>0.000720547330376545</v>
      </c>
      <c r="F21" s="33" t="n">
        <v>0.000402886596888626</v>
      </c>
      <c r="G21" s="33" t="n">
        <v>2.93771780566194E-005</v>
      </c>
      <c r="H21" s="33" t="n">
        <v>8.53380780058003E-005</v>
      </c>
      <c r="I21" s="33" t="n">
        <v>0.000478517769034477</v>
      </c>
      <c r="J21" s="33" t="n">
        <v>0.00030718748695499</v>
      </c>
      <c r="K21" s="33" t="n">
        <v>5.45911669153258E-005</v>
      </c>
      <c r="L21" s="33" t="n">
        <v>0.00199259596051016</v>
      </c>
      <c r="M21" s="33" t="n">
        <v>0.00015004772342806</v>
      </c>
      <c r="N21" s="33" t="n">
        <v>0.00185618400192615</v>
      </c>
      <c r="O21" s="33" t="n">
        <v>0.000465441072800643</v>
      </c>
      <c r="P21" s="33" t="n">
        <v>5.53655872406362E-005</v>
      </c>
      <c r="Q21" s="33" t="n">
        <v>0.000749662206992075</v>
      </c>
      <c r="R21" s="33" t="n">
        <v>0.000451245644822484</v>
      </c>
      <c r="S21" s="33" t="n">
        <v>1.10085453245902</v>
      </c>
      <c r="T21" s="33" t="n">
        <v>0.000148870642909011</v>
      </c>
      <c r="U21" s="33" t="n">
        <v>0.00261964640931775</v>
      </c>
      <c r="V21" s="33" t="n">
        <v>0.000101429940879805</v>
      </c>
      <c r="W21" s="33" t="n">
        <v>0.000549188013761593</v>
      </c>
      <c r="X21" s="33" t="n">
        <v>0.000172214956136113</v>
      </c>
      <c r="Y21" s="33" t="n">
        <v>0.000531612161831488</v>
      </c>
      <c r="Z21" s="33" t="n">
        <v>0.000431322975232103</v>
      </c>
      <c r="AA21" s="33" t="n">
        <v>0.000351850796167091</v>
      </c>
      <c r="AB21" s="33" t="n">
        <v>0.000311285321673044</v>
      </c>
      <c r="AC21" s="33" t="n">
        <v>0.00141627627558285</v>
      </c>
      <c r="AD21" s="33" t="n">
        <v>0.000461184546957142</v>
      </c>
      <c r="AE21" s="33" t="n">
        <v>0.000432195322375329</v>
      </c>
      <c r="AF21" s="33" t="n">
        <v>0.000212382149526629</v>
      </c>
      <c r="AG21" s="33" t="n">
        <v>0.001292587395963</v>
      </c>
      <c r="AH21" s="33" t="n">
        <v>0.000248420794076237</v>
      </c>
      <c r="AI21" s="33" t="n">
        <v>0.000437408444867488</v>
      </c>
      <c r="AJ21" s="33" t="n">
        <v>0.00065583639397614</v>
      </c>
      <c r="AK21" s="33" t="n">
        <v>0.00170977665553108</v>
      </c>
      <c r="AL21" s="33" t="n">
        <v>0.000783659387243576</v>
      </c>
      <c r="AM21" s="33" t="n">
        <v>0.000124722036122237</v>
      </c>
      <c r="AN21" s="33" t="n">
        <v>0.00135664198018287</v>
      </c>
      <c r="AO21" s="33" t="n">
        <v>0.000238455154947113</v>
      </c>
      <c r="AP21" s="33" t="n">
        <v>0.00427587947560156</v>
      </c>
      <c r="AQ21" s="33" t="n">
        <v>0.000215396468699426</v>
      </c>
      <c r="AR21" s="33" t="n">
        <v>0.00266116641543048</v>
      </c>
      <c r="AS21" s="33" t="n">
        <v>0.000742145380066506</v>
      </c>
      <c r="AT21" s="33" t="n">
        <v>0.00270320411246415</v>
      </c>
      <c r="AU21" s="33" t="n">
        <v>0.00129189258096976</v>
      </c>
      <c r="AV21" s="33" t="n">
        <v>3.51912373598345E-005</v>
      </c>
      <c r="AW21" s="33" t="n">
        <v>5.76291838122843E-005</v>
      </c>
      <c r="AX21" s="33" t="n">
        <v>0.000312558340484065</v>
      </c>
      <c r="AY21" s="33" t="n">
        <v>0.000100174320214381</v>
      </c>
      <c r="AZ21" s="33" t="n">
        <v>0.00090791611247813</v>
      </c>
      <c r="BA21" s="33" t="n">
        <v>7.65191734261054E-005</v>
      </c>
      <c r="BB21" s="33" t="n">
        <v>0.000660535111569165</v>
      </c>
      <c r="BC21" s="33" t="n">
        <v>0.000445234527105882</v>
      </c>
      <c r="BD21" s="33" t="n">
        <v>0.000349460097945084</v>
      </c>
      <c r="BE21" s="33" t="n">
        <v>0.000655435325580814</v>
      </c>
      <c r="BF21" s="33" t="n">
        <v>0.000140523620353428</v>
      </c>
      <c r="BG21" s="33" t="n">
        <v>0.000294314208417907</v>
      </c>
      <c r="BH21" s="33" t="n">
        <v>0.000256494096880113</v>
      </c>
      <c r="BI21" s="33" t="n">
        <v>0.000674193876897946</v>
      </c>
      <c r="BJ21" s="33" t="n">
        <v>0.000105974720057323</v>
      </c>
      <c r="BK21" s="33" t="n">
        <v>0.000529117850792887</v>
      </c>
      <c r="BL21" s="33" t="n">
        <v>0.00168726646153517</v>
      </c>
      <c r="BM21" s="33" t="n">
        <v>0.0014509444443247</v>
      </c>
      <c r="BN21" s="33" t="n">
        <v>0.000391548963565666</v>
      </c>
      <c r="BO21" s="33" t="n">
        <v>0.000204590209104328</v>
      </c>
      <c r="BP21" s="33" t="n">
        <v>0.00050753739619522</v>
      </c>
      <c r="BQ21" s="33" t="n">
        <v>0.000539292432239901</v>
      </c>
      <c r="BR21" s="33" t="n">
        <v>7.95577844393585E-005</v>
      </c>
      <c r="BS21" s="33" t="n">
        <v>0.000442659641081337</v>
      </c>
      <c r="BT21" s="33" t="n">
        <v>0</v>
      </c>
    </row>
    <row r="22" customFormat="false" ht="11.25" hidden="false" customHeight="true" outlineLevel="0" collapsed="false">
      <c r="B22" s="24" t="s">
        <v>95</v>
      </c>
      <c r="C22" s="25" t="s">
        <v>96</v>
      </c>
      <c r="D22" s="24" t="n">
        <v>16</v>
      </c>
      <c r="E22" s="34" t="n">
        <v>0.027577717960985</v>
      </c>
      <c r="F22" s="34" t="n">
        <v>0.0193162260637733</v>
      </c>
      <c r="G22" s="34" t="n">
        <v>0.00134187137758654</v>
      </c>
      <c r="H22" s="34" t="n">
        <v>0.000576962311805728</v>
      </c>
      <c r="I22" s="34" t="n">
        <v>0.00497464185584744</v>
      </c>
      <c r="J22" s="34" t="n">
        <v>0.00403366408994751</v>
      </c>
      <c r="K22" s="34" t="n">
        <v>0.00080822086302693</v>
      </c>
      <c r="L22" s="34" t="n">
        <v>0.0421541776259238</v>
      </c>
      <c r="M22" s="34" t="n">
        <v>0.00308652849807134</v>
      </c>
      <c r="N22" s="34" t="n">
        <v>0.0354600967299858</v>
      </c>
      <c r="O22" s="34" t="n">
        <v>0.00740236947737233</v>
      </c>
      <c r="P22" s="34" t="n">
        <v>0.000995702332453432</v>
      </c>
      <c r="Q22" s="34" t="n">
        <v>0.00370025326587918</v>
      </c>
      <c r="R22" s="34" t="n">
        <v>0.00489143988560505</v>
      </c>
      <c r="S22" s="34" t="n">
        <v>0.00258342209143757</v>
      </c>
      <c r="T22" s="34" t="n">
        <v>1.1389603274842</v>
      </c>
      <c r="U22" s="34" t="n">
        <v>0.0332647624682742</v>
      </c>
      <c r="V22" s="34" t="n">
        <v>0.000662199859714353</v>
      </c>
      <c r="W22" s="34" t="n">
        <v>0.00795290984889783</v>
      </c>
      <c r="X22" s="34" t="n">
        <v>0.00335446650763339</v>
      </c>
      <c r="Y22" s="34" t="n">
        <v>0.00652585318215139</v>
      </c>
      <c r="Z22" s="34" t="n">
        <v>0.00690019272539539</v>
      </c>
      <c r="AA22" s="34" t="n">
        <v>0.00226157081644603</v>
      </c>
      <c r="AB22" s="34" t="n">
        <v>0.00458392212207704</v>
      </c>
      <c r="AC22" s="34" t="n">
        <v>0.00722595653947589</v>
      </c>
      <c r="AD22" s="34" t="n">
        <v>0.0063887454704134</v>
      </c>
      <c r="AE22" s="34" t="n">
        <v>0.00733792356822831</v>
      </c>
      <c r="AF22" s="34" t="n">
        <v>0.00353139441689054</v>
      </c>
      <c r="AG22" s="34" t="n">
        <v>0.0157221046191726</v>
      </c>
      <c r="AH22" s="34" t="n">
        <v>0.00332514364696382</v>
      </c>
      <c r="AI22" s="34" t="n">
        <v>0.0052391970628753</v>
      </c>
      <c r="AJ22" s="34" t="n">
        <v>0.0200302830725805</v>
      </c>
      <c r="AK22" s="34" t="n">
        <v>0.0106632173476432</v>
      </c>
      <c r="AL22" s="34" t="n">
        <v>0.00552855777926606</v>
      </c>
      <c r="AM22" s="34" t="n">
        <v>0.00386607843115236</v>
      </c>
      <c r="AN22" s="34" t="n">
        <v>0.198703680948845</v>
      </c>
      <c r="AO22" s="34" t="n">
        <v>0.0029717774713248</v>
      </c>
      <c r="AP22" s="34" t="n">
        <v>0.0174376871236607</v>
      </c>
      <c r="AQ22" s="34" t="n">
        <v>0.00291545711537626</v>
      </c>
      <c r="AR22" s="34" t="n">
        <v>0.218233005376608</v>
      </c>
      <c r="AS22" s="34" t="n">
        <v>0.00335951783389718</v>
      </c>
      <c r="AT22" s="34" t="n">
        <v>0.109764667726119</v>
      </c>
      <c r="AU22" s="34" t="n">
        <v>0.00592993546238071</v>
      </c>
      <c r="AV22" s="34" t="n">
        <v>0.000633282296996452</v>
      </c>
      <c r="AW22" s="34" t="n">
        <v>0.000393199416840967</v>
      </c>
      <c r="AX22" s="34" t="n">
        <v>0.0053540473093313</v>
      </c>
      <c r="AY22" s="34" t="n">
        <v>0.000616903762731983</v>
      </c>
      <c r="AZ22" s="34" t="n">
        <v>0.00792688211759454</v>
      </c>
      <c r="BA22" s="34" t="n">
        <v>0.000965805206105862</v>
      </c>
      <c r="BB22" s="34" t="n">
        <v>0.00507027478717561</v>
      </c>
      <c r="BC22" s="34" t="n">
        <v>0.00923343972934605</v>
      </c>
      <c r="BD22" s="34" t="n">
        <v>0.00355956492344268</v>
      </c>
      <c r="BE22" s="34" t="n">
        <v>0.00613022376839326</v>
      </c>
      <c r="BF22" s="34" t="n">
        <v>0.0169013334442348</v>
      </c>
      <c r="BG22" s="34" t="n">
        <v>0.00426308058327063</v>
      </c>
      <c r="BH22" s="34" t="n">
        <v>0.0017087491446618</v>
      </c>
      <c r="BI22" s="34" t="n">
        <v>0.00583661996321117</v>
      </c>
      <c r="BJ22" s="34" t="n">
        <v>0.00169946831567963</v>
      </c>
      <c r="BK22" s="34" t="n">
        <v>0.00898101975721615</v>
      </c>
      <c r="BL22" s="34" t="n">
        <v>0.000402640916849154</v>
      </c>
      <c r="BM22" s="34" t="n">
        <v>0.0146120120957628</v>
      </c>
      <c r="BN22" s="34" t="n">
        <v>0.00472593499580964</v>
      </c>
      <c r="BO22" s="34" t="n">
        <v>0.00229584778131142</v>
      </c>
      <c r="BP22" s="34" t="n">
        <v>0.0110343347989262</v>
      </c>
      <c r="BQ22" s="34" t="n">
        <v>0.0270947908259931</v>
      </c>
      <c r="BR22" s="34" t="n">
        <v>0.00130105147960329</v>
      </c>
      <c r="BS22" s="34" t="n">
        <v>0.0107845980493622</v>
      </c>
      <c r="BT22" s="34" t="n">
        <v>0</v>
      </c>
    </row>
    <row r="23" customFormat="false" ht="11.25" hidden="false" customHeight="true" outlineLevel="0" collapsed="false">
      <c r="B23" s="19" t="s">
        <v>97</v>
      </c>
      <c r="C23" s="20" t="s">
        <v>98</v>
      </c>
      <c r="D23" s="19" t="n">
        <v>17</v>
      </c>
      <c r="E23" s="33" t="n">
        <v>0.0174372877061639</v>
      </c>
      <c r="F23" s="33" t="n">
        <v>0.00990689194613759</v>
      </c>
      <c r="G23" s="33" t="n">
        <v>0.000825257612370659</v>
      </c>
      <c r="H23" s="33" t="n">
        <v>0.000910291625412258</v>
      </c>
      <c r="I23" s="33" t="n">
        <v>0.00795849232478439</v>
      </c>
      <c r="J23" s="33" t="n">
        <v>0.00601203607689128</v>
      </c>
      <c r="K23" s="33" t="n">
        <v>0.0012637305029521</v>
      </c>
      <c r="L23" s="33" t="n">
        <v>0.0863541266135444</v>
      </c>
      <c r="M23" s="33" t="n">
        <v>0.00327562771069218</v>
      </c>
      <c r="N23" s="33" t="n">
        <v>0.0769255077815352</v>
      </c>
      <c r="O23" s="33" t="n">
        <v>0.0101498761605833</v>
      </c>
      <c r="P23" s="33" t="n">
        <v>0.00887228980625798</v>
      </c>
      <c r="Q23" s="33" t="n">
        <v>0.0104278147429019</v>
      </c>
      <c r="R23" s="33" t="n">
        <v>0.00843038800435618</v>
      </c>
      <c r="S23" s="33" t="n">
        <v>0.00864744243704616</v>
      </c>
      <c r="T23" s="33" t="n">
        <v>0.016808144424742</v>
      </c>
      <c r="U23" s="33" t="n">
        <v>1.21473121255027</v>
      </c>
      <c r="V23" s="33" t="n">
        <v>0.0117377824579871</v>
      </c>
      <c r="W23" s="33" t="n">
        <v>0.0144551585253334</v>
      </c>
      <c r="X23" s="33" t="n">
        <v>0.00444134703360368</v>
      </c>
      <c r="Y23" s="33" t="n">
        <v>0.0100935610841838</v>
      </c>
      <c r="Z23" s="33" t="n">
        <v>0.010787824326396</v>
      </c>
      <c r="AA23" s="33" t="n">
        <v>0.0224783762483131</v>
      </c>
      <c r="AB23" s="33" t="n">
        <v>0.0173317636011887</v>
      </c>
      <c r="AC23" s="33" t="n">
        <v>0.0358480194332391</v>
      </c>
      <c r="AD23" s="33" t="n">
        <v>0.0272795738026673</v>
      </c>
      <c r="AE23" s="33" t="n">
        <v>0.0093778913371094</v>
      </c>
      <c r="AF23" s="33" t="n">
        <v>0.003712624704401</v>
      </c>
      <c r="AG23" s="33" t="n">
        <v>0.0245945601579164</v>
      </c>
      <c r="AH23" s="33" t="n">
        <v>0.0141501759369861</v>
      </c>
      <c r="AI23" s="33" t="n">
        <v>0.0118892839480526</v>
      </c>
      <c r="AJ23" s="33" t="n">
        <v>0.014497749337396</v>
      </c>
      <c r="AK23" s="33" t="n">
        <v>0.0148378327681077</v>
      </c>
      <c r="AL23" s="33" t="n">
        <v>0.0124055521313199</v>
      </c>
      <c r="AM23" s="33" t="n">
        <v>0.00214126750675104</v>
      </c>
      <c r="AN23" s="33" t="n">
        <v>0.0180667987637473</v>
      </c>
      <c r="AO23" s="33" t="n">
        <v>0.00364169014250875</v>
      </c>
      <c r="AP23" s="33" t="n">
        <v>0.00745569958207167</v>
      </c>
      <c r="AQ23" s="33" t="n">
        <v>0.00309681008451391</v>
      </c>
      <c r="AR23" s="33" t="n">
        <v>0.0413294446288045</v>
      </c>
      <c r="AS23" s="33" t="n">
        <v>0.0120687247939241</v>
      </c>
      <c r="AT23" s="33" t="n">
        <v>0.11677746159296</v>
      </c>
      <c r="AU23" s="33" t="n">
        <v>0.0149567134739948</v>
      </c>
      <c r="AV23" s="33" t="n">
        <v>0.00138634683875723</v>
      </c>
      <c r="AW23" s="33" t="n">
        <v>0.000960572903065047</v>
      </c>
      <c r="AX23" s="33" t="n">
        <v>0.00726690657830647</v>
      </c>
      <c r="AY23" s="33" t="n">
        <v>0.00201127873157139</v>
      </c>
      <c r="AZ23" s="33" t="n">
        <v>0.0239786704393481</v>
      </c>
      <c r="BA23" s="33" t="n">
        <v>0.00902441628868742</v>
      </c>
      <c r="BB23" s="33" t="n">
        <v>0.00372339972615111</v>
      </c>
      <c r="BC23" s="33" t="n">
        <v>0.0116406803902541</v>
      </c>
      <c r="BD23" s="33" t="n">
        <v>0.0142403353881553</v>
      </c>
      <c r="BE23" s="33" t="n">
        <v>0.029894868149313</v>
      </c>
      <c r="BF23" s="33" t="n">
        <v>0.00700144090009189</v>
      </c>
      <c r="BG23" s="33" t="n">
        <v>0.0232855121956103</v>
      </c>
      <c r="BH23" s="33" t="n">
        <v>0.00628430628179817</v>
      </c>
      <c r="BI23" s="33" t="n">
        <v>0.0141751186247427</v>
      </c>
      <c r="BJ23" s="33" t="n">
        <v>0.0067343077425061</v>
      </c>
      <c r="BK23" s="33" t="n">
        <v>0.0294655635835609</v>
      </c>
      <c r="BL23" s="33" t="n">
        <v>0.00115904843486338</v>
      </c>
      <c r="BM23" s="33" t="n">
        <v>0.0234227469297984</v>
      </c>
      <c r="BN23" s="33" t="n">
        <v>0.0126695227291518</v>
      </c>
      <c r="BO23" s="33" t="n">
        <v>0.00894801153682198</v>
      </c>
      <c r="BP23" s="33" t="n">
        <v>0.00984427085946803</v>
      </c>
      <c r="BQ23" s="33" t="n">
        <v>0.0171487058454304</v>
      </c>
      <c r="BR23" s="33" t="n">
        <v>0.00186604693533879</v>
      </c>
      <c r="BS23" s="33" t="n">
        <v>0.0127024564945672</v>
      </c>
      <c r="BT23" s="33" t="n">
        <v>0</v>
      </c>
    </row>
    <row r="24" customFormat="false" ht="11.25" hidden="false" customHeight="true" outlineLevel="0" collapsed="false">
      <c r="B24" s="24" t="s">
        <v>99</v>
      </c>
      <c r="C24" s="25" t="s">
        <v>100</v>
      </c>
      <c r="D24" s="24" t="n">
        <v>18</v>
      </c>
      <c r="E24" s="34" t="n">
        <v>0.0221877485824675</v>
      </c>
      <c r="F24" s="34" t="n">
        <v>0.0114452570398181</v>
      </c>
      <c r="G24" s="34" t="n">
        <v>0.00116584936784113</v>
      </c>
      <c r="H24" s="34" t="n">
        <v>0.00185285883143437</v>
      </c>
      <c r="I24" s="34" t="n">
        <v>0.0164141863052176</v>
      </c>
      <c r="J24" s="34" t="n">
        <v>0.00942433425862682</v>
      </c>
      <c r="K24" s="34" t="n">
        <v>0.00235698371983804</v>
      </c>
      <c r="L24" s="34" t="n">
        <v>0.122618517030503</v>
      </c>
      <c r="M24" s="34" t="n">
        <v>0.0082427859616505</v>
      </c>
      <c r="N24" s="34" t="n">
        <v>0.0859116135506353</v>
      </c>
      <c r="O24" s="34" t="n">
        <v>0.0325848389052245</v>
      </c>
      <c r="P24" s="34" t="n">
        <v>0.00341075675473092</v>
      </c>
      <c r="Q24" s="34" t="n">
        <v>0.00929657920933099</v>
      </c>
      <c r="R24" s="34" t="n">
        <v>0.0108787783536182</v>
      </c>
      <c r="S24" s="34" t="n">
        <v>0.00968764928868674</v>
      </c>
      <c r="T24" s="34" t="n">
        <v>0.00766240949688876</v>
      </c>
      <c r="U24" s="34" t="n">
        <v>0.0431373562539812</v>
      </c>
      <c r="V24" s="34" t="n">
        <v>1.040144755884</v>
      </c>
      <c r="W24" s="34" t="n">
        <v>0.0286630917214973</v>
      </c>
      <c r="X24" s="34" t="n">
        <v>0.00867657609918246</v>
      </c>
      <c r="Y24" s="34" t="n">
        <v>0.0228416729598474</v>
      </c>
      <c r="Z24" s="34" t="n">
        <v>0.0236901644042061</v>
      </c>
      <c r="AA24" s="34" t="n">
        <v>0.00917968824542845</v>
      </c>
      <c r="AB24" s="34" t="n">
        <v>0.0222707671001344</v>
      </c>
      <c r="AC24" s="34" t="n">
        <v>0.0301171217926757</v>
      </c>
      <c r="AD24" s="34" t="n">
        <v>0.0201621169377487</v>
      </c>
      <c r="AE24" s="34" t="n">
        <v>0.0249758032657108</v>
      </c>
      <c r="AF24" s="34" t="n">
        <v>0.00999784090867354</v>
      </c>
      <c r="AG24" s="34" t="n">
        <v>0.0262477645621316</v>
      </c>
      <c r="AH24" s="34" t="n">
        <v>0.0239828803200464</v>
      </c>
      <c r="AI24" s="34" t="n">
        <v>0.0203260962290226</v>
      </c>
      <c r="AJ24" s="34" t="n">
        <v>0.0390232535663161</v>
      </c>
      <c r="AK24" s="34" t="n">
        <v>0.0199566226838434</v>
      </c>
      <c r="AL24" s="34" t="n">
        <v>0.00909459245433908</v>
      </c>
      <c r="AM24" s="34" t="n">
        <v>0.00383829073115538</v>
      </c>
      <c r="AN24" s="34" t="n">
        <v>0.0147481407653538</v>
      </c>
      <c r="AO24" s="34" t="n">
        <v>0.00691177829255641</v>
      </c>
      <c r="AP24" s="34" t="n">
        <v>0.0196729640895621</v>
      </c>
      <c r="AQ24" s="34" t="n">
        <v>0.00495660647021914</v>
      </c>
      <c r="AR24" s="34" t="n">
        <v>0.0506146661577041</v>
      </c>
      <c r="AS24" s="34" t="n">
        <v>0.0164066761494459</v>
      </c>
      <c r="AT24" s="34" t="n">
        <v>0.47660694991609</v>
      </c>
      <c r="AU24" s="34" t="n">
        <v>0.0239073907864866</v>
      </c>
      <c r="AV24" s="34" t="n">
        <v>0.00156563608727461</v>
      </c>
      <c r="AW24" s="34" t="n">
        <v>0.00262499810491984</v>
      </c>
      <c r="AX24" s="34" t="n">
        <v>0.0131689465742298</v>
      </c>
      <c r="AY24" s="34" t="n">
        <v>0.00201700520275168</v>
      </c>
      <c r="AZ24" s="34" t="n">
        <v>0.0272014167411868</v>
      </c>
      <c r="BA24" s="34" t="n">
        <v>0.0499188617897882</v>
      </c>
      <c r="BB24" s="34" t="n">
        <v>0.0185262870663694</v>
      </c>
      <c r="BC24" s="34" t="n">
        <v>0.064807687429823</v>
      </c>
      <c r="BD24" s="34" t="n">
        <v>0.0462510135218321</v>
      </c>
      <c r="BE24" s="34" t="n">
        <v>0.12531578816133</v>
      </c>
      <c r="BF24" s="34" t="n">
        <v>0.02508314547644</v>
      </c>
      <c r="BG24" s="34" t="n">
        <v>0.0475782594864002</v>
      </c>
      <c r="BH24" s="34" t="n">
        <v>0.0156757855386174</v>
      </c>
      <c r="BI24" s="34" t="n">
        <v>0.168001708572788</v>
      </c>
      <c r="BJ24" s="34" t="n">
        <v>0.00731052387472453</v>
      </c>
      <c r="BK24" s="34" t="n">
        <v>0.076792326454982</v>
      </c>
      <c r="BL24" s="34" t="n">
        <v>0.00219565508838145</v>
      </c>
      <c r="BM24" s="34" t="n">
        <v>0.089956589727279</v>
      </c>
      <c r="BN24" s="34" t="n">
        <v>0.0255534689224899</v>
      </c>
      <c r="BO24" s="34" t="n">
        <v>0.0159577641279071</v>
      </c>
      <c r="BP24" s="34" t="n">
        <v>0.0204608804337757</v>
      </c>
      <c r="BQ24" s="34" t="n">
        <v>0.0183605547202162</v>
      </c>
      <c r="BR24" s="34" t="n">
        <v>0.0209013308205133</v>
      </c>
      <c r="BS24" s="34" t="n">
        <v>0.0319978772600846</v>
      </c>
      <c r="BT24" s="34" t="n">
        <v>0</v>
      </c>
    </row>
    <row r="25" customFormat="false" ht="11.25" hidden="false" customHeight="true" outlineLevel="0" collapsed="false">
      <c r="B25" s="19" t="s">
        <v>101</v>
      </c>
      <c r="C25" s="20" t="s">
        <v>102</v>
      </c>
      <c r="D25" s="19" t="n">
        <v>19</v>
      </c>
      <c r="E25" s="33" t="n">
        <v>0.0828279460972013</v>
      </c>
      <c r="F25" s="33" t="n">
        <v>0.0287335359166708</v>
      </c>
      <c r="G25" s="33" t="n">
        <v>0.00388275224475314</v>
      </c>
      <c r="H25" s="33" t="n">
        <v>0.00582389096177511</v>
      </c>
      <c r="I25" s="33" t="n">
        <v>0.0265742868769211</v>
      </c>
      <c r="J25" s="33" t="n">
        <v>0.0294658582581513</v>
      </c>
      <c r="K25" s="33" t="n">
        <v>0.00718978028198995</v>
      </c>
      <c r="L25" s="33" t="n">
        <v>0.0861937759139895</v>
      </c>
      <c r="M25" s="33" t="n">
        <v>0.013968514060185</v>
      </c>
      <c r="N25" s="33" t="n">
        <v>0.0756886668620381</v>
      </c>
      <c r="O25" s="33" t="n">
        <v>0.0126044052101072</v>
      </c>
      <c r="P25" s="33" t="n">
        <v>0.00185115561842421</v>
      </c>
      <c r="Q25" s="33" t="n">
        <v>0.00765269561550696</v>
      </c>
      <c r="R25" s="33" t="n">
        <v>0.00532852557391981</v>
      </c>
      <c r="S25" s="33" t="n">
        <v>0.00473245584439425</v>
      </c>
      <c r="T25" s="33" t="n">
        <v>0.00528899277898392</v>
      </c>
      <c r="U25" s="33" t="n">
        <v>0.0261434188512822</v>
      </c>
      <c r="V25" s="33" t="n">
        <v>0.00120826544802591</v>
      </c>
      <c r="W25" s="33" t="n">
        <v>1.36474039882919</v>
      </c>
      <c r="X25" s="33" t="n">
        <v>0.0115332833273546</v>
      </c>
      <c r="Y25" s="33" t="n">
        <v>0.0706120228086753</v>
      </c>
      <c r="Z25" s="33" t="n">
        <v>0.0193145220232384</v>
      </c>
      <c r="AA25" s="33" t="n">
        <v>0.00852793937638017</v>
      </c>
      <c r="AB25" s="33" t="n">
        <v>0.0105434708928565</v>
      </c>
      <c r="AC25" s="33" t="n">
        <v>0.0250997388363043</v>
      </c>
      <c r="AD25" s="33" t="n">
        <v>0.0240059050158852</v>
      </c>
      <c r="AE25" s="33" t="n">
        <v>0.0327243994867032</v>
      </c>
      <c r="AF25" s="33" t="n">
        <v>0.0184357028281703</v>
      </c>
      <c r="AG25" s="33" t="n">
        <v>0.0179080215256827</v>
      </c>
      <c r="AH25" s="33" t="n">
        <v>0.00648590356723393</v>
      </c>
      <c r="AI25" s="33" t="n">
        <v>0.014286166312804</v>
      </c>
      <c r="AJ25" s="33" t="n">
        <v>0.018775396304118</v>
      </c>
      <c r="AK25" s="33" t="n">
        <v>0.0160968583168011</v>
      </c>
      <c r="AL25" s="33" t="n">
        <v>0.0094258770652785</v>
      </c>
      <c r="AM25" s="33" t="n">
        <v>0.00267071392940281</v>
      </c>
      <c r="AN25" s="33" t="n">
        <v>0.00892201825584574</v>
      </c>
      <c r="AO25" s="33" t="n">
        <v>0.00503297257805027</v>
      </c>
      <c r="AP25" s="33" t="n">
        <v>0.0245791429084617</v>
      </c>
      <c r="AQ25" s="33" t="n">
        <v>0.0065242946135425</v>
      </c>
      <c r="AR25" s="33" t="n">
        <v>0.0598004308285677</v>
      </c>
      <c r="AS25" s="33" t="n">
        <v>0.00785258766488678</v>
      </c>
      <c r="AT25" s="33" t="n">
        <v>0.140737492583287</v>
      </c>
      <c r="AU25" s="33" t="n">
        <v>0.281513238069869</v>
      </c>
      <c r="AV25" s="33" t="n">
        <v>0.00798755298949155</v>
      </c>
      <c r="AW25" s="33" t="n">
        <v>0.0119081357267638</v>
      </c>
      <c r="AX25" s="33" t="n">
        <v>0.0155686374064368</v>
      </c>
      <c r="AY25" s="33" t="n">
        <v>0.000874424101624607</v>
      </c>
      <c r="AZ25" s="33" t="n">
        <v>0.019047164574898</v>
      </c>
      <c r="BA25" s="33" t="n">
        <v>0.00145272566012626</v>
      </c>
      <c r="BB25" s="33" t="n">
        <v>0.00231767064135044</v>
      </c>
      <c r="BC25" s="33" t="n">
        <v>0.00980208524589715</v>
      </c>
      <c r="BD25" s="33" t="n">
        <v>0.00461394309827133</v>
      </c>
      <c r="BE25" s="33" t="n">
        <v>0.00954821573182054</v>
      </c>
      <c r="BF25" s="33" t="n">
        <v>0.00278794744236697</v>
      </c>
      <c r="BG25" s="33" t="n">
        <v>0.00662109094258716</v>
      </c>
      <c r="BH25" s="33" t="n">
        <v>0.00319605319952269</v>
      </c>
      <c r="BI25" s="33" t="n">
        <v>0.004329410076345</v>
      </c>
      <c r="BJ25" s="33" t="n">
        <v>0.00347275508193291</v>
      </c>
      <c r="BK25" s="33" t="n">
        <v>0.00729430833115991</v>
      </c>
      <c r="BL25" s="33" t="n">
        <v>0.00191625471135981</v>
      </c>
      <c r="BM25" s="33" t="n">
        <v>0.0200447496602114</v>
      </c>
      <c r="BN25" s="33" t="n">
        <v>0.00506085612876597</v>
      </c>
      <c r="BO25" s="33" t="n">
        <v>0.0037232890434682</v>
      </c>
      <c r="BP25" s="33" t="n">
        <v>0.00703584882154667</v>
      </c>
      <c r="BQ25" s="33" t="n">
        <v>0.00609603673167036</v>
      </c>
      <c r="BR25" s="33" t="n">
        <v>0.00120867003327612</v>
      </c>
      <c r="BS25" s="33" t="n">
        <v>0.00970891731287299</v>
      </c>
      <c r="BT25" s="33" t="n">
        <v>0</v>
      </c>
    </row>
    <row r="26" customFormat="false" ht="11.25" hidden="false" customHeight="true" outlineLevel="0" collapsed="false">
      <c r="B26" s="24" t="s">
        <v>103</v>
      </c>
      <c r="C26" s="25" t="s">
        <v>104</v>
      </c>
      <c r="D26" s="24" t="n">
        <v>20</v>
      </c>
      <c r="E26" s="34" t="n">
        <v>0.0350011482296872</v>
      </c>
      <c r="F26" s="34" t="n">
        <v>0.0154319083129224</v>
      </c>
      <c r="G26" s="34" t="n">
        <v>0.00154392638829978</v>
      </c>
      <c r="H26" s="34" t="n">
        <v>0.00225850381636604</v>
      </c>
      <c r="I26" s="34" t="n">
        <v>0.0210941497466301</v>
      </c>
      <c r="J26" s="34" t="n">
        <v>0.0106573818953198</v>
      </c>
      <c r="K26" s="34" t="n">
        <v>0.00259466599534143</v>
      </c>
      <c r="L26" s="34" t="n">
        <v>0.052444918560137</v>
      </c>
      <c r="M26" s="34" t="n">
        <v>0.0106775216021314</v>
      </c>
      <c r="N26" s="34" t="n">
        <v>0.0610108033607669</v>
      </c>
      <c r="O26" s="34" t="n">
        <v>0.0106102590286966</v>
      </c>
      <c r="P26" s="34" t="n">
        <v>0.000873432566667836</v>
      </c>
      <c r="Q26" s="34" t="n">
        <v>0.00349386873983116</v>
      </c>
      <c r="R26" s="34" t="n">
        <v>0.00255197291487765</v>
      </c>
      <c r="S26" s="34" t="n">
        <v>0.00229978005663722</v>
      </c>
      <c r="T26" s="34" t="n">
        <v>0.00320340236820255</v>
      </c>
      <c r="U26" s="34" t="n">
        <v>0.0117194027961027</v>
      </c>
      <c r="V26" s="34" t="n">
        <v>0.000596168976707262</v>
      </c>
      <c r="W26" s="34" t="n">
        <v>0.431920990761452</v>
      </c>
      <c r="X26" s="34" t="n">
        <v>1.01481041215396</v>
      </c>
      <c r="Y26" s="34" t="n">
        <v>0.031142599669073</v>
      </c>
      <c r="Z26" s="34" t="n">
        <v>0.0157568290328233</v>
      </c>
      <c r="AA26" s="34" t="n">
        <v>0.0264309164681504</v>
      </c>
      <c r="AB26" s="34" t="n">
        <v>0.0178150310847707</v>
      </c>
      <c r="AC26" s="34" t="n">
        <v>0.0112215544840599</v>
      </c>
      <c r="AD26" s="34" t="n">
        <v>0.00951871552997414</v>
      </c>
      <c r="AE26" s="34" t="n">
        <v>0.012903792629113</v>
      </c>
      <c r="AF26" s="34" t="n">
        <v>0.00685840357049334</v>
      </c>
      <c r="AG26" s="34" t="n">
        <v>0.00865059479143936</v>
      </c>
      <c r="AH26" s="34" t="n">
        <v>0.0031476100291819</v>
      </c>
      <c r="AI26" s="34" t="n">
        <v>0.0062454392365158</v>
      </c>
      <c r="AJ26" s="34" t="n">
        <v>0.00921504844889243</v>
      </c>
      <c r="AK26" s="34" t="n">
        <v>0.00697924611927145</v>
      </c>
      <c r="AL26" s="34" t="n">
        <v>0.00393462489556982</v>
      </c>
      <c r="AM26" s="34" t="n">
        <v>0.00119812220051951</v>
      </c>
      <c r="AN26" s="34" t="n">
        <v>0.0042179999120993</v>
      </c>
      <c r="AO26" s="34" t="n">
        <v>0.00230080957015993</v>
      </c>
      <c r="AP26" s="34" t="n">
        <v>0.0100039577815116</v>
      </c>
      <c r="AQ26" s="34" t="n">
        <v>0.00339761804486593</v>
      </c>
      <c r="AR26" s="34" t="n">
        <v>0.0305863155769807</v>
      </c>
      <c r="AS26" s="34" t="n">
        <v>0.00918269816624798</v>
      </c>
      <c r="AT26" s="34" t="n">
        <v>0.0690721572894633</v>
      </c>
      <c r="AU26" s="34" t="n">
        <v>0.106921851041022</v>
      </c>
      <c r="AV26" s="34" t="n">
        <v>0.0028829677754765</v>
      </c>
      <c r="AW26" s="34" t="n">
        <v>0.00426989662936967</v>
      </c>
      <c r="AX26" s="34" t="n">
        <v>0.0072365883091611</v>
      </c>
      <c r="AY26" s="34" t="n">
        <v>0.000655066697994004</v>
      </c>
      <c r="AZ26" s="34" t="n">
        <v>0.0160954769814884</v>
      </c>
      <c r="BA26" s="34" t="n">
        <v>0.000840808475241706</v>
      </c>
      <c r="BB26" s="34" t="n">
        <v>0.00152019376640342</v>
      </c>
      <c r="BC26" s="34" t="n">
        <v>0.00617040355997105</v>
      </c>
      <c r="BD26" s="34" t="n">
        <v>0.00357463905603024</v>
      </c>
      <c r="BE26" s="34" t="n">
        <v>0.0075775754792973</v>
      </c>
      <c r="BF26" s="34" t="n">
        <v>0.00192311421409709</v>
      </c>
      <c r="BG26" s="34" t="n">
        <v>0.0055806577337897</v>
      </c>
      <c r="BH26" s="34" t="n">
        <v>0.00384936746288243</v>
      </c>
      <c r="BI26" s="34" t="n">
        <v>0.0033718072332466</v>
      </c>
      <c r="BJ26" s="34" t="n">
        <v>0.00391206378945801</v>
      </c>
      <c r="BK26" s="34" t="n">
        <v>0.00697536264183465</v>
      </c>
      <c r="BL26" s="34" t="n">
        <v>0.00202701423712436</v>
      </c>
      <c r="BM26" s="34" t="n">
        <v>0.0195551135612834</v>
      </c>
      <c r="BN26" s="34" t="n">
        <v>0.00418107820429188</v>
      </c>
      <c r="BO26" s="34" t="n">
        <v>0.00206380946454941</v>
      </c>
      <c r="BP26" s="34" t="n">
        <v>0.00573016919598287</v>
      </c>
      <c r="BQ26" s="34" t="n">
        <v>0.00675957271832965</v>
      </c>
      <c r="BR26" s="34" t="n">
        <v>0.00105567181037037</v>
      </c>
      <c r="BS26" s="34" t="n">
        <v>0.00772708840616853</v>
      </c>
      <c r="BT26" s="34" t="n">
        <v>0</v>
      </c>
    </row>
    <row r="27" customFormat="false" ht="11.25" hidden="false" customHeight="true" outlineLevel="0" collapsed="false">
      <c r="B27" s="19" t="s">
        <v>105</v>
      </c>
      <c r="C27" s="20" t="s">
        <v>106</v>
      </c>
      <c r="D27" s="19" t="n">
        <v>21</v>
      </c>
      <c r="E27" s="33" t="n">
        <v>0.39876729538615</v>
      </c>
      <c r="F27" s="33" t="n">
        <v>0.0600907139054221</v>
      </c>
      <c r="G27" s="33" t="n">
        <v>0.00389504630280845</v>
      </c>
      <c r="H27" s="33" t="n">
        <v>0.00401601810347505</v>
      </c>
      <c r="I27" s="33" t="n">
        <v>0.0348476192565829</v>
      </c>
      <c r="J27" s="33" t="n">
        <v>0.00875908155344463</v>
      </c>
      <c r="K27" s="33" t="n">
        <v>0.00253716928375761</v>
      </c>
      <c r="L27" s="33" t="n">
        <v>0.0865915280513734</v>
      </c>
      <c r="M27" s="33" t="n">
        <v>0.0282843697721172</v>
      </c>
      <c r="N27" s="33" t="n">
        <v>0.129154510957299</v>
      </c>
      <c r="O27" s="33" t="n">
        <v>0.0126714505224506</v>
      </c>
      <c r="P27" s="33" t="n">
        <v>0.00451912348466601</v>
      </c>
      <c r="Q27" s="33" t="n">
        <v>0.0404047689374742</v>
      </c>
      <c r="R27" s="33" t="n">
        <v>0.013732609876494</v>
      </c>
      <c r="S27" s="33" t="n">
        <v>0.0125849697820454</v>
      </c>
      <c r="T27" s="33" t="n">
        <v>0.00996410568669301</v>
      </c>
      <c r="U27" s="33" t="n">
        <v>0.0486568067399862</v>
      </c>
      <c r="V27" s="33" t="n">
        <v>0.00253248170921682</v>
      </c>
      <c r="W27" s="33" t="n">
        <v>0.0568882560879366</v>
      </c>
      <c r="X27" s="33" t="n">
        <v>0.0268678204123234</v>
      </c>
      <c r="Y27" s="33" t="n">
        <v>1.23033968096813</v>
      </c>
      <c r="Z27" s="33" t="n">
        <v>0.103920660356341</v>
      </c>
      <c r="AA27" s="33" t="n">
        <v>0.0386693328025098</v>
      </c>
      <c r="AB27" s="33" t="n">
        <v>0.0170236995177735</v>
      </c>
      <c r="AC27" s="33" t="n">
        <v>0.153837966080042</v>
      </c>
      <c r="AD27" s="33" t="n">
        <v>0.0293574680227323</v>
      </c>
      <c r="AE27" s="33" t="n">
        <v>0.0192456335454277</v>
      </c>
      <c r="AF27" s="33" t="n">
        <v>0.0135996201077651</v>
      </c>
      <c r="AG27" s="33" t="n">
        <v>0.0208164557303251</v>
      </c>
      <c r="AH27" s="33" t="n">
        <v>0.00636050991783286</v>
      </c>
      <c r="AI27" s="33" t="n">
        <v>0.0300268061534367</v>
      </c>
      <c r="AJ27" s="33" t="n">
        <v>0.0151586344030403</v>
      </c>
      <c r="AK27" s="33" t="n">
        <v>0.022371460173371</v>
      </c>
      <c r="AL27" s="33" t="n">
        <v>0.0188755372684696</v>
      </c>
      <c r="AM27" s="33" t="n">
        <v>0.00426435892567412</v>
      </c>
      <c r="AN27" s="33" t="n">
        <v>0.0227580707784191</v>
      </c>
      <c r="AO27" s="33" t="n">
        <v>0.007043108833682</v>
      </c>
      <c r="AP27" s="33" t="n">
        <v>0.0103071561521724</v>
      </c>
      <c r="AQ27" s="33" t="n">
        <v>0.00850149533294815</v>
      </c>
      <c r="AR27" s="33" t="n">
        <v>0.067833360221166</v>
      </c>
      <c r="AS27" s="33" t="n">
        <v>0.0097301590178181</v>
      </c>
      <c r="AT27" s="33" t="n">
        <v>0.0604595608381737</v>
      </c>
      <c r="AU27" s="33" t="n">
        <v>0.0298247348409073</v>
      </c>
      <c r="AV27" s="33" t="n">
        <v>0.000817482916596645</v>
      </c>
      <c r="AW27" s="33" t="n">
        <v>0.00136224199167787</v>
      </c>
      <c r="AX27" s="33" t="n">
        <v>0.00353543895890648</v>
      </c>
      <c r="AY27" s="33" t="n">
        <v>0.00111265657323811</v>
      </c>
      <c r="AZ27" s="33" t="n">
        <v>0.0194547595755126</v>
      </c>
      <c r="BA27" s="33" t="n">
        <v>0.00107002905998036</v>
      </c>
      <c r="BB27" s="33" t="n">
        <v>0.00146833543693196</v>
      </c>
      <c r="BC27" s="33" t="n">
        <v>0.00618757163636111</v>
      </c>
      <c r="BD27" s="33" t="n">
        <v>0.00309765336868585</v>
      </c>
      <c r="BE27" s="33" t="n">
        <v>0.0059749502103589</v>
      </c>
      <c r="BF27" s="33" t="n">
        <v>0.0043635137466723</v>
      </c>
      <c r="BG27" s="33" t="n">
        <v>0.00477941469952745</v>
      </c>
      <c r="BH27" s="33" t="n">
        <v>0.00171310287861941</v>
      </c>
      <c r="BI27" s="33" t="n">
        <v>0.00325944261798511</v>
      </c>
      <c r="BJ27" s="33" t="n">
        <v>0.00189812124292181</v>
      </c>
      <c r="BK27" s="33" t="n">
        <v>0.00917739156763928</v>
      </c>
      <c r="BL27" s="33" t="n">
        <v>0.000515075043954312</v>
      </c>
      <c r="BM27" s="33" t="n">
        <v>0.012407358296233</v>
      </c>
      <c r="BN27" s="33" t="n">
        <v>0.00468922522798136</v>
      </c>
      <c r="BO27" s="33" t="n">
        <v>0.00235358853547911</v>
      </c>
      <c r="BP27" s="33" t="n">
        <v>0.0115276204093628</v>
      </c>
      <c r="BQ27" s="33" t="n">
        <v>0.0129398337341983</v>
      </c>
      <c r="BR27" s="33" t="n">
        <v>0.00118223508016521</v>
      </c>
      <c r="BS27" s="33" t="n">
        <v>0.00843075055779501</v>
      </c>
      <c r="BT27" s="33" t="n">
        <v>0</v>
      </c>
    </row>
    <row r="28" customFormat="false" ht="11.25" hidden="false" customHeight="true" outlineLevel="0" collapsed="false">
      <c r="B28" s="24" t="s">
        <v>107</v>
      </c>
      <c r="C28" s="25" t="s">
        <v>108</v>
      </c>
      <c r="D28" s="24" t="n">
        <v>22</v>
      </c>
      <c r="E28" s="34" t="n">
        <v>0.38235645785909</v>
      </c>
      <c r="F28" s="34" t="n">
        <v>0.0588726540592605</v>
      </c>
      <c r="G28" s="34" t="n">
        <v>0.00238661114761624</v>
      </c>
      <c r="H28" s="34" t="n">
        <v>0.0204426795770197</v>
      </c>
      <c r="I28" s="34" t="n">
        <v>0.0149542485405989</v>
      </c>
      <c r="J28" s="34" t="n">
        <v>0.00967397157462197</v>
      </c>
      <c r="K28" s="34" t="n">
        <v>0.00313655780813719</v>
      </c>
      <c r="L28" s="34" t="n">
        <v>0.0927512607956999</v>
      </c>
      <c r="M28" s="34" t="n">
        <v>0.0261240338739675</v>
      </c>
      <c r="N28" s="34" t="n">
        <v>0.140068547532326</v>
      </c>
      <c r="O28" s="34" t="n">
        <v>0.0106751385611983</v>
      </c>
      <c r="P28" s="34" t="n">
        <v>0.00424510517088776</v>
      </c>
      <c r="Q28" s="34" t="n">
        <v>0.014421773876098</v>
      </c>
      <c r="R28" s="34" t="n">
        <v>0.006499905164835</v>
      </c>
      <c r="S28" s="34" t="n">
        <v>0.00537334092792598</v>
      </c>
      <c r="T28" s="34" t="n">
        <v>0.0133852488142904</v>
      </c>
      <c r="U28" s="34" t="n">
        <v>0.0337175791003927</v>
      </c>
      <c r="V28" s="34" t="n">
        <v>0.00790978914239103</v>
      </c>
      <c r="W28" s="34" t="n">
        <v>0.0353732737748661</v>
      </c>
      <c r="X28" s="34" t="n">
        <v>0.0253700704673483</v>
      </c>
      <c r="Y28" s="34" t="n">
        <v>0.048407495539522</v>
      </c>
      <c r="Z28" s="34" t="n">
        <v>1.15323551711353</v>
      </c>
      <c r="AA28" s="34" t="n">
        <v>0.0285523203116743</v>
      </c>
      <c r="AB28" s="34" t="n">
        <v>0.0164592760161411</v>
      </c>
      <c r="AC28" s="34" t="n">
        <v>0.0515090106186835</v>
      </c>
      <c r="AD28" s="34" t="n">
        <v>0.0254384801381905</v>
      </c>
      <c r="AE28" s="34" t="n">
        <v>0.0165213398109884</v>
      </c>
      <c r="AF28" s="34" t="n">
        <v>0.00691299254477756</v>
      </c>
      <c r="AG28" s="34" t="n">
        <v>0.0173692143859984</v>
      </c>
      <c r="AH28" s="34" t="n">
        <v>0.00627250852670078</v>
      </c>
      <c r="AI28" s="34" t="n">
        <v>0.0103111169096873</v>
      </c>
      <c r="AJ28" s="34" t="n">
        <v>0.0131253968018074</v>
      </c>
      <c r="AK28" s="34" t="n">
        <v>0.015181413520874</v>
      </c>
      <c r="AL28" s="34" t="n">
        <v>0.00838292738801529</v>
      </c>
      <c r="AM28" s="34" t="n">
        <v>0.00275189461569065</v>
      </c>
      <c r="AN28" s="34" t="n">
        <v>0.014344305364464</v>
      </c>
      <c r="AO28" s="34" t="n">
        <v>0.0107446063333677</v>
      </c>
      <c r="AP28" s="34" t="n">
        <v>0.0082107862337334</v>
      </c>
      <c r="AQ28" s="34" t="n">
        <v>0.00839988786553978</v>
      </c>
      <c r="AR28" s="34" t="n">
        <v>0.143767576337608</v>
      </c>
      <c r="AS28" s="34" t="n">
        <v>0.014971876622228</v>
      </c>
      <c r="AT28" s="34" t="n">
        <v>0.0694148808390266</v>
      </c>
      <c r="AU28" s="34" t="n">
        <v>0.0199704646164235</v>
      </c>
      <c r="AV28" s="34" t="n">
        <v>0.000769596426120348</v>
      </c>
      <c r="AW28" s="34" t="n">
        <v>0.00089709889367755</v>
      </c>
      <c r="AX28" s="34" t="n">
        <v>0.0039829592111315</v>
      </c>
      <c r="AY28" s="34" t="n">
        <v>0.00116676144103878</v>
      </c>
      <c r="AZ28" s="34" t="n">
        <v>0.0187166040608156</v>
      </c>
      <c r="BA28" s="34" t="n">
        <v>0.00211042170365184</v>
      </c>
      <c r="BB28" s="34" t="n">
        <v>0.00288698418995021</v>
      </c>
      <c r="BC28" s="34" t="n">
        <v>0.00872792785674536</v>
      </c>
      <c r="BD28" s="34" t="n">
        <v>0.00412346824622976</v>
      </c>
      <c r="BE28" s="34" t="n">
        <v>0.0085177244279729</v>
      </c>
      <c r="BF28" s="34" t="n">
        <v>0.0180939583229652</v>
      </c>
      <c r="BG28" s="34" t="n">
        <v>0.00462042792505697</v>
      </c>
      <c r="BH28" s="34" t="n">
        <v>0.00183439269536</v>
      </c>
      <c r="BI28" s="34" t="n">
        <v>0.00533545759639167</v>
      </c>
      <c r="BJ28" s="34" t="n">
        <v>0.00169744176471549</v>
      </c>
      <c r="BK28" s="34" t="n">
        <v>0.0275839510777555</v>
      </c>
      <c r="BL28" s="34" t="n">
        <v>0.000525007976851059</v>
      </c>
      <c r="BM28" s="34" t="n">
        <v>0.0173856385445847</v>
      </c>
      <c r="BN28" s="34" t="n">
        <v>0.00775245421588821</v>
      </c>
      <c r="BO28" s="34" t="n">
        <v>0.00269644617710304</v>
      </c>
      <c r="BP28" s="34" t="n">
        <v>0.0202331537349181</v>
      </c>
      <c r="BQ28" s="34" t="n">
        <v>0.00841734829047591</v>
      </c>
      <c r="BR28" s="34" t="n">
        <v>0.00138081525606756</v>
      </c>
      <c r="BS28" s="34" t="n">
        <v>0.00715015032231911</v>
      </c>
      <c r="BT28" s="34" t="n">
        <v>0</v>
      </c>
    </row>
    <row r="29" customFormat="false" ht="11.25" hidden="false" customHeight="true" outlineLevel="0" collapsed="false">
      <c r="B29" s="19" t="s">
        <v>109</v>
      </c>
      <c r="C29" s="20" t="s">
        <v>110</v>
      </c>
      <c r="D29" s="19" t="n">
        <v>23</v>
      </c>
      <c r="E29" s="33" t="n">
        <v>0.0278550001269359</v>
      </c>
      <c r="F29" s="33" t="n">
        <v>0.00632680844034214</v>
      </c>
      <c r="G29" s="33" t="n">
        <v>0.000382588556822238</v>
      </c>
      <c r="H29" s="33" t="n">
        <v>0.00201753760826607</v>
      </c>
      <c r="I29" s="33" t="n">
        <v>0.00725644843186498</v>
      </c>
      <c r="J29" s="33" t="n">
        <v>0.00450378778119942</v>
      </c>
      <c r="K29" s="33" t="n">
        <v>0.00102943556252498</v>
      </c>
      <c r="L29" s="33" t="n">
        <v>0.0240504914499121</v>
      </c>
      <c r="M29" s="33" t="n">
        <v>0.00313972206360761</v>
      </c>
      <c r="N29" s="33" t="n">
        <v>0.0237806453361241</v>
      </c>
      <c r="O29" s="33" t="n">
        <v>0.00409474962158323</v>
      </c>
      <c r="P29" s="33" t="n">
        <v>0.000724306007758414</v>
      </c>
      <c r="Q29" s="33" t="n">
        <v>0.00403348808407995</v>
      </c>
      <c r="R29" s="33" t="n">
        <v>0.00285153433032592</v>
      </c>
      <c r="S29" s="33" t="n">
        <v>0.0020906950158937</v>
      </c>
      <c r="T29" s="33" t="n">
        <v>0.00240266426306385</v>
      </c>
      <c r="U29" s="33" t="n">
        <v>0.00972967939289903</v>
      </c>
      <c r="V29" s="33" t="n">
        <v>0.000908032871165512</v>
      </c>
      <c r="W29" s="33" t="n">
        <v>0.0163717118185084</v>
      </c>
      <c r="X29" s="33" t="n">
        <v>0.00321474041517406</v>
      </c>
      <c r="Y29" s="33" t="n">
        <v>0.0221454887906345</v>
      </c>
      <c r="Z29" s="33" t="n">
        <v>0.0202147708080144</v>
      </c>
      <c r="AA29" s="33" t="n">
        <v>1.02530314025167</v>
      </c>
      <c r="AB29" s="33" t="n">
        <v>0.00531176578310749</v>
      </c>
      <c r="AC29" s="33" t="n">
        <v>0.0123166178011512</v>
      </c>
      <c r="AD29" s="33" t="n">
        <v>0.00612184744583026</v>
      </c>
      <c r="AE29" s="33" t="n">
        <v>0.00649715516546529</v>
      </c>
      <c r="AF29" s="33" t="n">
        <v>0.00362583581748607</v>
      </c>
      <c r="AG29" s="33" t="n">
        <v>0.0135232947026044</v>
      </c>
      <c r="AH29" s="33" t="n">
        <v>0.00292246605760089</v>
      </c>
      <c r="AI29" s="33" t="n">
        <v>0.00488998033244203</v>
      </c>
      <c r="AJ29" s="33" t="n">
        <v>0.00739037750344551</v>
      </c>
      <c r="AK29" s="33" t="n">
        <v>0.00497530982006889</v>
      </c>
      <c r="AL29" s="33" t="n">
        <v>0.00316571819885467</v>
      </c>
      <c r="AM29" s="33" t="n">
        <v>0.000994417036500506</v>
      </c>
      <c r="AN29" s="33" t="n">
        <v>0.00388495369692366</v>
      </c>
      <c r="AO29" s="33" t="n">
        <v>0.00219488713126842</v>
      </c>
      <c r="AP29" s="33" t="n">
        <v>0.00396510949067285</v>
      </c>
      <c r="AQ29" s="33" t="n">
        <v>0.00244282806644092</v>
      </c>
      <c r="AR29" s="33" t="n">
        <v>0.0194192034758037</v>
      </c>
      <c r="AS29" s="33" t="n">
        <v>0.00492835006125273</v>
      </c>
      <c r="AT29" s="33" t="n">
        <v>0.0583599129401567</v>
      </c>
      <c r="AU29" s="33" t="n">
        <v>0.0126036575094689</v>
      </c>
      <c r="AV29" s="33" t="n">
        <v>0.00052768764031707</v>
      </c>
      <c r="AW29" s="33" t="n">
        <v>0.000496276468100279</v>
      </c>
      <c r="AX29" s="33" t="n">
        <v>0.0038270140106327</v>
      </c>
      <c r="AY29" s="33" t="n">
        <v>0.00116283895460172</v>
      </c>
      <c r="AZ29" s="33" t="n">
        <v>0.00578426472992958</v>
      </c>
      <c r="BA29" s="33" t="n">
        <v>0.000891809527399311</v>
      </c>
      <c r="BB29" s="33" t="n">
        <v>0.00189825197973673</v>
      </c>
      <c r="BC29" s="33" t="n">
        <v>0.00817382175254867</v>
      </c>
      <c r="BD29" s="33" t="n">
        <v>0.00338854597945269</v>
      </c>
      <c r="BE29" s="33" t="n">
        <v>0.00743614210523031</v>
      </c>
      <c r="BF29" s="33" t="n">
        <v>0.0018731954582881</v>
      </c>
      <c r="BG29" s="33" t="n">
        <v>0.00718427435730772</v>
      </c>
      <c r="BH29" s="33" t="n">
        <v>0.002412518181931</v>
      </c>
      <c r="BI29" s="33" t="n">
        <v>0.0071430038731177</v>
      </c>
      <c r="BJ29" s="33" t="n">
        <v>0.00237580152931723</v>
      </c>
      <c r="BK29" s="33" t="n">
        <v>0.0317442911508655</v>
      </c>
      <c r="BL29" s="33" t="n">
        <v>0.000376434438879303</v>
      </c>
      <c r="BM29" s="33" t="n">
        <v>0.0107859810741239</v>
      </c>
      <c r="BN29" s="33" t="n">
        <v>0.00514442604874654</v>
      </c>
      <c r="BO29" s="33" t="n">
        <v>0.00415293842881011</v>
      </c>
      <c r="BP29" s="33" t="n">
        <v>0.00697560133407572</v>
      </c>
      <c r="BQ29" s="33" t="n">
        <v>0.0169172567196566</v>
      </c>
      <c r="BR29" s="33" t="n">
        <v>0.00320632857123889</v>
      </c>
      <c r="BS29" s="33" t="n">
        <v>0.0212353763447685</v>
      </c>
      <c r="BT29" s="33" t="n">
        <v>0</v>
      </c>
    </row>
    <row r="30" customFormat="false" ht="11.25" hidden="false" customHeight="true" outlineLevel="0" collapsed="false">
      <c r="B30" s="24" t="s">
        <v>111</v>
      </c>
      <c r="C30" s="25" t="s">
        <v>112</v>
      </c>
      <c r="D30" s="24" t="n">
        <v>24</v>
      </c>
      <c r="E30" s="34" t="n">
        <v>0.0149281049755739</v>
      </c>
      <c r="F30" s="34" t="n">
        <v>0.0315555889315449</v>
      </c>
      <c r="G30" s="34" t="n">
        <v>0.000378086603092034</v>
      </c>
      <c r="H30" s="34" t="n">
        <v>0.000355657375669999</v>
      </c>
      <c r="I30" s="34" t="n">
        <v>0.00583838739560482</v>
      </c>
      <c r="J30" s="34" t="n">
        <v>0.000793625252375863</v>
      </c>
      <c r="K30" s="34" t="n">
        <v>0.000180976690830384</v>
      </c>
      <c r="L30" s="34" t="n">
        <v>0.0267133824113153</v>
      </c>
      <c r="M30" s="34" t="n">
        <v>0.00124609920533528</v>
      </c>
      <c r="N30" s="34" t="n">
        <v>0.0120929171777577</v>
      </c>
      <c r="O30" s="34" t="n">
        <v>0.000843207357787055</v>
      </c>
      <c r="P30" s="34" t="n">
        <v>0.000285600235183084</v>
      </c>
      <c r="Q30" s="34" t="n">
        <v>0.00111989169965591</v>
      </c>
      <c r="R30" s="34" t="n">
        <v>0.000963192597589696</v>
      </c>
      <c r="S30" s="34" t="n">
        <v>0.000668308762844574</v>
      </c>
      <c r="T30" s="34" t="n">
        <v>0.000494270757551942</v>
      </c>
      <c r="U30" s="34" t="n">
        <v>0.00229756863686923</v>
      </c>
      <c r="V30" s="34" t="n">
        <v>0.000160052078114235</v>
      </c>
      <c r="W30" s="34" t="n">
        <v>0.00528281597263529</v>
      </c>
      <c r="X30" s="34" t="n">
        <v>0.00144242500750886</v>
      </c>
      <c r="Y30" s="34" t="n">
        <v>0.00568789683276978</v>
      </c>
      <c r="Z30" s="34" t="n">
        <v>0.0109729238401812</v>
      </c>
      <c r="AA30" s="34" t="n">
        <v>0.00205411954410428</v>
      </c>
      <c r="AB30" s="34" t="n">
        <v>1.05510375201751</v>
      </c>
      <c r="AC30" s="34" t="n">
        <v>0.00263309830282216</v>
      </c>
      <c r="AD30" s="34" t="n">
        <v>0.00122329825255652</v>
      </c>
      <c r="AE30" s="34" t="n">
        <v>0.00146779980179959</v>
      </c>
      <c r="AF30" s="34" t="n">
        <v>0.000701017187983909</v>
      </c>
      <c r="AG30" s="34" t="n">
        <v>0.00145609489965909</v>
      </c>
      <c r="AH30" s="34" t="n">
        <v>0.000591404876748334</v>
      </c>
      <c r="AI30" s="34" t="n">
        <v>0.00107280000297363</v>
      </c>
      <c r="AJ30" s="34" t="n">
        <v>0.00180948246688704</v>
      </c>
      <c r="AK30" s="34" t="n">
        <v>0.00107459417763001</v>
      </c>
      <c r="AL30" s="34" t="n">
        <v>0.000607788088457148</v>
      </c>
      <c r="AM30" s="34" t="n">
        <v>0.000204879759386124</v>
      </c>
      <c r="AN30" s="34" t="n">
        <v>0.000980111355001898</v>
      </c>
      <c r="AO30" s="34" t="n">
        <v>0.000430847969547939</v>
      </c>
      <c r="AP30" s="34" t="n">
        <v>0.000970502598463696</v>
      </c>
      <c r="AQ30" s="34" t="n">
        <v>0.000375013973882903</v>
      </c>
      <c r="AR30" s="34" t="n">
        <v>0.00375034600363668</v>
      </c>
      <c r="AS30" s="34" t="n">
        <v>0.000652380860257464</v>
      </c>
      <c r="AT30" s="34" t="n">
        <v>0.0111306683834012</v>
      </c>
      <c r="AU30" s="34" t="n">
        <v>0.00210985535137636</v>
      </c>
      <c r="AV30" s="34" t="n">
        <v>0.000109966096523105</v>
      </c>
      <c r="AW30" s="34" t="n">
        <v>0.000113553422584677</v>
      </c>
      <c r="AX30" s="34" t="n">
        <v>0.000562416046296779</v>
      </c>
      <c r="AY30" s="34" t="n">
        <v>0.000188843490142608</v>
      </c>
      <c r="AZ30" s="34" t="n">
        <v>0.00309148272640135</v>
      </c>
      <c r="BA30" s="34" t="n">
        <v>0.000163713225528125</v>
      </c>
      <c r="BB30" s="34" t="n">
        <v>0.000312179935912362</v>
      </c>
      <c r="BC30" s="34" t="n">
        <v>0.00149687212389183</v>
      </c>
      <c r="BD30" s="34" t="n">
        <v>0.000684495997075508</v>
      </c>
      <c r="BE30" s="34" t="n">
        <v>0.00120784692442348</v>
      </c>
      <c r="BF30" s="34" t="n">
        <v>0.000451504299271637</v>
      </c>
      <c r="BG30" s="34" t="n">
        <v>0.000892849963460264</v>
      </c>
      <c r="BH30" s="34" t="n">
        <v>0.000636774566348249</v>
      </c>
      <c r="BI30" s="34" t="n">
        <v>0.00106390650508168</v>
      </c>
      <c r="BJ30" s="34" t="n">
        <v>0.00029299193890692</v>
      </c>
      <c r="BK30" s="34" t="n">
        <v>0.00162213823500015</v>
      </c>
      <c r="BL30" s="34" t="n">
        <v>8.33154822422476E-005</v>
      </c>
      <c r="BM30" s="34" t="n">
        <v>0.00800778727358132</v>
      </c>
      <c r="BN30" s="34" t="n">
        <v>0.00503175469823383</v>
      </c>
      <c r="BO30" s="34" t="n">
        <v>0.0031533278774375</v>
      </c>
      <c r="BP30" s="34" t="n">
        <v>0.0493141045437967</v>
      </c>
      <c r="BQ30" s="34" t="n">
        <v>0.131913415181105</v>
      </c>
      <c r="BR30" s="34" t="n">
        <v>0.000313286249342854</v>
      </c>
      <c r="BS30" s="34" t="n">
        <v>0.00799113714161269</v>
      </c>
      <c r="BT30" s="34" t="n">
        <v>0</v>
      </c>
    </row>
    <row r="31" customFormat="false" ht="11.25" hidden="false" customHeight="true" outlineLevel="0" collapsed="false">
      <c r="B31" s="19" t="s">
        <v>113</v>
      </c>
      <c r="C31" s="20" t="s">
        <v>114</v>
      </c>
      <c r="D31" s="19" t="n">
        <v>25</v>
      </c>
      <c r="E31" s="33" t="n">
        <v>0.0285730788529393</v>
      </c>
      <c r="F31" s="33" t="n">
        <v>0.0131595643971777</v>
      </c>
      <c r="G31" s="33" t="n">
        <v>0.00145500396323282</v>
      </c>
      <c r="H31" s="33" t="n">
        <v>0.00252524865425762</v>
      </c>
      <c r="I31" s="33" t="n">
        <v>0.0138592536755172</v>
      </c>
      <c r="J31" s="33" t="n">
        <v>0.0181115789508736</v>
      </c>
      <c r="K31" s="33" t="n">
        <v>0.0027583163293651</v>
      </c>
      <c r="L31" s="33" t="n">
        <v>0.0816311808078924</v>
      </c>
      <c r="M31" s="33" t="n">
        <v>0.0061010273984188</v>
      </c>
      <c r="N31" s="33" t="n">
        <v>0.112010440896597</v>
      </c>
      <c r="O31" s="33" t="n">
        <v>0.0364837569559569</v>
      </c>
      <c r="P31" s="33" t="n">
        <v>0.0010926565472259</v>
      </c>
      <c r="Q31" s="33" t="n">
        <v>0.00697215643258875</v>
      </c>
      <c r="R31" s="33" t="n">
        <v>0.00557648089316111</v>
      </c>
      <c r="S31" s="33" t="n">
        <v>0.0086555154217227</v>
      </c>
      <c r="T31" s="33" t="n">
        <v>0.00580350260090201</v>
      </c>
      <c r="U31" s="33" t="n">
        <v>0.0211244810757329</v>
      </c>
      <c r="V31" s="33" t="n">
        <v>0.00680739291222273</v>
      </c>
      <c r="W31" s="33" t="n">
        <v>0.0190123830325908</v>
      </c>
      <c r="X31" s="33" t="n">
        <v>0.00556629871806678</v>
      </c>
      <c r="Y31" s="33" t="n">
        <v>0.0291563859356621</v>
      </c>
      <c r="Z31" s="33" t="n">
        <v>0.0181601819579694</v>
      </c>
      <c r="AA31" s="33" t="n">
        <v>0.0195632666689672</v>
      </c>
      <c r="AB31" s="33" t="n">
        <v>0.0107097768727059</v>
      </c>
      <c r="AC31" s="33" t="n">
        <v>1.14915210356486</v>
      </c>
      <c r="AD31" s="33" t="n">
        <v>0.029465880114949</v>
      </c>
      <c r="AE31" s="33" t="n">
        <v>0.0207563492718989</v>
      </c>
      <c r="AF31" s="33" t="n">
        <v>0.00681862027880637</v>
      </c>
      <c r="AG31" s="33" t="n">
        <v>0.0194173426162911</v>
      </c>
      <c r="AH31" s="33" t="n">
        <v>0.01563708053363</v>
      </c>
      <c r="AI31" s="33" t="n">
        <v>0.0285001932300524</v>
      </c>
      <c r="AJ31" s="33" t="n">
        <v>0.0387297428813711</v>
      </c>
      <c r="AK31" s="33" t="n">
        <v>0.0895464617077362</v>
      </c>
      <c r="AL31" s="33" t="n">
        <v>0.0413543531553254</v>
      </c>
      <c r="AM31" s="33" t="n">
        <v>0.00975069872371794</v>
      </c>
      <c r="AN31" s="33" t="n">
        <v>0.0279684354782509</v>
      </c>
      <c r="AO31" s="33" t="n">
        <v>0.0190662799901558</v>
      </c>
      <c r="AP31" s="33" t="n">
        <v>0.0126001324890562</v>
      </c>
      <c r="AQ31" s="33" t="n">
        <v>0.0103845368483947</v>
      </c>
      <c r="AR31" s="33" t="n">
        <v>0.191587822297231</v>
      </c>
      <c r="AS31" s="33" t="n">
        <v>0.0291046456518168</v>
      </c>
      <c r="AT31" s="33" t="n">
        <v>0.109974362832033</v>
      </c>
      <c r="AU31" s="33" t="n">
        <v>0.0902723796012118</v>
      </c>
      <c r="AV31" s="33" t="n">
        <v>0.00118733900208721</v>
      </c>
      <c r="AW31" s="33" t="n">
        <v>0.00492385842040101</v>
      </c>
      <c r="AX31" s="33" t="n">
        <v>0.00688230870316181</v>
      </c>
      <c r="AY31" s="33" t="n">
        <v>0.000975253323198192</v>
      </c>
      <c r="AZ31" s="33" t="n">
        <v>0.0235723963705596</v>
      </c>
      <c r="BA31" s="33" t="n">
        <v>0.00149070202978121</v>
      </c>
      <c r="BB31" s="33" t="n">
        <v>0.00206382952424999</v>
      </c>
      <c r="BC31" s="33" t="n">
        <v>0.00994156366765181</v>
      </c>
      <c r="BD31" s="33" t="n">
        <v>0.00491310875859465</v>
      </c>
      <c r="BE31" s="33" t="n">
        <v>0.00857436803884911</v>
      </c>
      <c r="BF31" s="33" t="n">
        <v>0.005013564321181</v>
      </c>
      <c r="BG31" s="33" t="n">
        <v>0.00919940797730109</v>
      </c>
      <c r="BH31" s="33" t="n">
        <v>0.00216301186584887</v>
      </c>
      <c r="BI31" s="33" t="n">
        <v>0.00468560815417608</v>
      </c>
      <c r="BJ31" s="33" t="n">
        <v>0.00521488276708054</v>
      </c>
      <c r="BK31" s="33" t="n">
        <v>0.0126401365240459</v>
      </c>
      <c r="BL31" s="33" t="n">
        <v>0.000645741123607403</v>
      </c>
      <c r="BM31" s="33" t="n">
        <v>0.017380751011643</v>
      </c>
      <c r="BN31" s="33" t="n">
        <v>0.00623844054974123</v>
      </c>
      <c r="BO31" s="33" t="n">
        <v>0.00294176641381441</v>
      </c>
      <c r="BP31" s="33" t="n">
        <v>0.0170179583503021</v>
      </c>
      <c r="BQ31" s="33" t="n">
        <v>0.0137174568708405</v>
      </c>
      <c r="BR31" s="33" t="n">
        <v>0.00139984677372298</v>
      </c>
      <c r="BS31" s="33" t="n">
        <v>0.00797085140484382</v>
      </c>
      <c r="BT31" s="33" t="n">
        <v>0</v>
      </c>
    </row>
    <row r="32" customFormat="false" ht="11.25" hidden="false" customHeight="true" outlineLevel="0" collapsed="false">
      <c r="B32" s="24" t="s">
        <v>115</v>
      </c>
      <c r="C32" s="25" t="s">
        <v>116</v>
      </c>
      <c r="D32" s="24" t="n">
        <v>26</v>
      </c>
      <c r="E32" s="34" t="n">
        <v>0.055249750724421</v>
      </c>
      <c r="F32" s="34" t="n">
        <v>0.0340313983806638</v>
      </c>
      <c r="G32" s="34" t="n">
        <v>0.00141847577331453</v>
      </c>
      <c r="H32" s="34" t="n">
        <v>0.00139370040123487</v>
      </c>
      <c r="I32" s="34" t="n">
        <v>0.00665832659712434</v>
      </c>
      <c r="J32" s="34" t="n">
        <v>0.00614678968611055</v>
      </c>
      <c r="K32" s="34" t="n">
        <v>0.00113589437638525</v>
      </c>
      <c r="L32" s="34" t="n">
        <v>0.0362280992532495</v>
      </c>
      <c r="M32" s="34" t="n">
        <v>0.00608108304660159</v>
      </c>
      <c r="N32" s="34" t="n">
        <v>0.0461013781120308</v>
      </c>
      <c r="O32" s="34" t="n">
        <v>0.0319765577708579</v>
      </c>
      <c r="P32" s="34" t="n">
        <v>0.000785282261940565</v>
      </c>
      <c r="Q32" s="34" t="n">
        <v>0.00244506288596577</v>
      </c>
      <c r="R32" s="34" t="n">
        <v>0.0015485750901307</v>
      </c>
      <c r="S32" s="34" t="n">
        <v>0.0011045944054448</v>
      </c>
      <c r="T32" s="34" t="n">
        <v>0.00127026831557391</v>
      </c>
      <c r="U32" s="34" t="n">
        <v>0.00861923852498457</v>
      </c>
      <c r="V32" s="34" t="n">
        <v>0.000520594446226431</v>
      </c>
      <c r="W32" s="34" t="n">
        <v>0.0088464686357166</v>
      </c>
      <c r="X32" s="34" t="n">
        <v>0.00438246227375004</v>
      </c>
      <c r="Y32" s="34" t="n">
        <v>0.0167009460713331</v>
      </c>
      <c r="Z32" s="34" t="n">
        <v>0.00713206905233423</v>
      </c>
      <c r="AA32" s="34" t="n">
        <v>0.00716730515912479</v>
      </c>
      <c r="AB32" s="34" t="n">
        <v>0.00293050974857228</v>
      </c>
      <c r="AC32" s="34" t="n">
        <v>0.0123254672257906</v>
      </c>
      <c r="AD32" s="34" t="n">
        <v>1.11044630398186</v>
      </c>
      <c r="AE32" s="34" t="n">
        <v>0.0113055160155492</v>
      </c>
      <c r="AF32" s="34" t="n">
        <v>0.00581358557539743</v>
      </c>
      <c r="AG32" s="34" t="n">
        <v>0.00747898964237452</v>
      </c>
      <c r="AH32" s="34" t="n">
        <v>0.00177876605464074</v>
      </c>
      <c r="AI32" s="34" t="n">
        <v>0.00830945323670701</v>
      </c>
      <c r="AJ32" s="34" t="n">
        <v>0.00903363942225152</v>
      </c>
      <c r="AK32" s="34" t="n">
        <v>0.0281284916818295</v>
      </c>
      <c r="AL32" s="34" t="n">
        <v>0.00477882770808874</v>
      </c>
      <c r="AM32" s="34" t="n">
        <v>0.00266603792792118</v>
      </c>
      <c r="AN32" s="34" t="n">
        <v>0.00905346463604938</v>
      </c>
      <c r="AO32" s="34" t="n">
        <v>0.00446350164321053</v>
      </c>
      <c r="AP32" s="34" t="n">
        <v>0.0289542340204545</v>
      </c>
      <c r="AQ32" s="34" t="n">
        <v>0.0196329211254941</v>
      </c>
      <c r="AR32" s="34" t="n">
        <v>0.624018474092622</v>
      </c>
      <c r="AS32" s="34" t="n">
        <v>0.00672175809989884</v>
      </c>
      <c r="AT32" s="34" t="n">
        <v>0.0251781400076572</v>
      </c>
      <c r="AU32" s="34" t="n">
        <v>0.00732120095924435</v>
      </c>
      <c r="AV32" s="34" t="n">
        <v>0.000406157162148135</v>
      </c>
      <c r="AW32" s="34" t="n">
        <v>0.000390061376970539</v>
      </c>
      <c r="AX32" s="34" t="n">
        <v>0.00379802964739183</v>
      </c>
      <c r="AY32" s="34" t="n">
        <v>0.00257817735588128</v>
      </c>
      <c r="AZ32" s="34" t="n">
        <v>0.0217688865486257</v>
      </c>
      <c r="BA32" s="34" t="n">
        <v>0.000398674111627046</v>
      </c>
      <c r="BB32" s="34" t="n">
        <v>0.000979148252213413</v>
      </c>
      <c r="BC32" s="34" t="n">
        <v>0.0071907553021393</v>
      </c>
      <c r="BD32" s="34" t="n">
        <v>0.00302180751353844</v>
      </c>
      <c r="BE32" s="34" t="n">
        <v>0.00561387092747303</v>
      </c>
      <c r="BF32" s="34" t="n">
        <v>0.0334319655090329</v>
      </c>
      <c r="BG32" s="34" t="n">
        <v>0.00307764081089026</v>
      </c>
      <c r="BH32" s="34" t="n">
        <v>0.00156910039069869</v>
      </c>
      <c r="BI32" s="34" t="n">
        <v>0.0018076399039752</v>
      </c>
      <c r="BJ32" s="34" t="n">
        <v>0.000982183008944856</v>
      </c>
      <c r="BK32" s="34" t="n">
        <v>0.00843748297278583</v>
      </c>
      <c r="BL32" s="34" t="n">
        <v>0.00027131630970777</v>
      </c>
      <c r="BM32" s="34" t="n">
        <v>0.0267354834717988</v>
      </c>
      <c r="BN32" s="34" t="n">
        <v>0.00529035632204824</v>
      </c>
      <c r="BO32" s="34" t="n">
        <v>0.00223824597782465</v>
      </c>
      <c r="BP32" s="34" t="n">
        <v>0.0109338360287609</v>
      </c>
      <c r="BQ32" s="34" t="n">
        <v>0.00565660622213965</v>
      </c>
      <c r="BR32" s="34" t="n">
        <v>0.00104726266760015</v>
      </c>
      <c r="BS32" s="34" t="n">
        <v>0.00766792684141382</v>
      </c>
      <c r="BT32" s="34" t="n">
        <v>0</v>
      </c>
    </row>
    <row r="33" customFormat="false" ht="11.25" hidden="false" customHeight="true" outlineLevel="0" collapsed="false">
      <c r="B33" s="19" t="s">
        <v>117</v>
      </c>
      <c r="C33" s="20" t="s">
        <v>118</v>
      </c>
      <c r="D33" s="19" t="n">
        <v>27</v>
      </c>
      <c r="E33" s="33" t="n">
        <v>0.0152958746499186</v>
      </c>
      <c r="F33" s="33" t="n">
        <v>0.00974686746753985</v>
      </c>
      <c r="G33" s="33" t="n">
        <v>0.00087362571113116</v>
      </c>
      <c r="H33" s="33" t="n">
        <v>0.0021148061998693</v>
      </c>
      <c r="I33" s="33" t="n">
        <v>0.127894008403478</v>
      </c>
      <c r="J33" s="33" t="n">
        <v>0.0133213810380065</v>
      </c>
      <c r="K33" s="33" t="n">
        <v>0.00374847277278153</v>
      </c>
      <c r="L33" s="33" t="n">
        <v>0.0350486148870415</v>
      </c>
      <c r="M33" s="33" t="n">
        <v>0.00284754584280964</v>
      </c>
      <c r="N33" s="33" t="n">
        <v>0.0254777435461755</v>
      </c>
      <c r="O33" s="33" t="n">
        <v>0.0149032879953395</v>
      </c>
      <c r="P33" s="33" t="n">
        <v>0.000557295557284118</v>
      </c>
      <c r="Q33" s="33" t="n">
        <v>0.0024165504878284</v>
      </c>
      <c r="R33" s="33" t="n">
        <v>0.00209778914967334</v>
      </c>
      <c r="S33" s="33" t="n">
        <v>0.00164547487026228</v>
      </c>
      <c r="T33" s="33" t="n">
        <v>0.00320649708011553</v>
      </c>
      <c r="U33" s="33" t="n">
        <v>0.0100197517989411</v>
      </c>
      <c r="V33" s="33" t="n">
        <v>0.000891398183226823</v>
      </c>
      <c r="W33" s="33" t="n">
        <v>0.0802125123117532</v>
      </c>
      <c r="X33" s="33" t="n">
        <v>0.00260381429508649</v>
      </c>
      <c r="Y33" s="33" t="n">
        <v>0.0121853241788459</v>
      </c>
      <c r="Z33" s="33" t="n">
        <v>0.00766923770012969</v>
      </c>
      <c r="AA33" s="33" t="n">
        <v>0.00481344652106193</v>
      </c>
      <c r="AB33" s="33" t="n">
        <v>0.00366938626170445</v>
      </c>
      <c r="AC33" s="33" t="n">
        <v>0.0157386104261122</v>
      </c>
      <c r="AD33" s="33" t="n">
        <v>0.0150775144168405</v>
      </c>
      <c r="AE33" s="33" t="n">
        <v>1.12121582908473</v>
      </c>
      <c r="AF33" s="33" t="n">
        <v>0.0170638952807995</v>
      </c>
      <c r="AG33" s="33" t="n">
        <v>0.1998725255952</v>
      </c>
      <c r="AH33" s="33" t="n">
        <v>0.0063122794189349</v>
      </c>
      <c r="AI33" s="33" t="n">
        <v>0.0434531429569893</v>
      </c>
      <c r="AJ33" s="33" t="n">
        <v>0.104553996349022</v>
      </c>
      <c r="AK33" s="33" t="n">
        <v>0.0856538962908457</v>
      </c>
      <c r="AL33" s="33" t="n">
        <v>0.0789103779112949</v>
      </c>
      <c r="AM33" s="33" t="n">
        <v>0.0104826259484922</v>
      </c>
      <c r="AN33" s="33" t="n">
        <v>0.0183411267727701</v>
      </c>
      <c r="AO33" s="33" t="n">
        <v>0.0258073377266748</v>
      </c>
      <c r="AP33" s="33" t="n">
        <v>0.0237540539007576</v>
      </c>
      <c r="AQ33" s="33" t="n">
        <v>0.00678285991907821</v>
      </c>
      <c r="AR33" s="33" t="n">
        <v>0.195319588321775</v>
      </c>
      <c r="AS33" s="33" t="n">
        <v>0.0191227857283998</v>
      </c>
      <c r="AT33" s="33" t="n">
        <v>0.0507912836393548</v>
      </c>
      <c r="AU33" s="33" t="n">
        <v>0.0374529499383396</v>
      </c>
      <c r="AV33" s="33" t="n">
        <v>0.00151769955250578</v>
      </c>
      <c r="AW33" s="33" t="n">
        <v>0.00115164704038711</v>
      </c>
      <c r="AX33" s="33" t="n">
        <v>0.0047482110781739</v>
      </c>
      <c r="AY33" s="33" t="n">
        <v>0.000796159659333198</v>
      </c>
      <c r="AZ33" s="33" t="n">
        <v>0.012353684159352</v>
      </c>
      <c r="BA33" s="33" t="n">
        <v>0.000665644554065005</v>
      </c>
      <c r="BB33" s="33" t="n">
        <v>0.00115135467359706</v>
      </c>
      <c r="BC33" s="33" t="n">
        <v>0.00612929061281729</v>
      </c>
      <c r="BD33" s="33" t="n">
        <v>0.0034205677901611</v>
      </c>
      <c r="BE33" s="33" t="n">
        <v>0.00486036203199105</v>
      </c>
      <c r="BF33" s="33" t="n">
        <v>0.00347019083379513</v>
      </c>
      <c r="BG33" s="33" t="n">
        <v>0.00355281580002784</v>
      </c>
      <c r="BH33" s="33" t="n">
        <v>0.00160471943458769</v>
      </c>
      <c r="BI33" s="33" t="n">
        <v>0.00220024756134841</v>
      </c>
      <c r="BJ33" s="33" t="n">
        <v>0.00382413025617956</v>
      </c>
      <c r="BK33" s="33" t="n">
        <v>0.00646969163059864</v>
      </c>
      <c r="BL33" s="33" t="n">
        <v>0.000672370454470197</v>
      </c>
      <c r="BM33" s="33" t="n">
        <v>0.0165622070201386</v>
      </c>
      <c r="BN33" s="33" t="n">
        <v>0.00319112755081719</v>
      </c>
      <c r="BO33" s="33" t="n">
        <v>0.00196597418218401</v>
      </c>
      <c r="BP33" s="33" t="n">
        <v>0.00603579320859304</v>
      </c>
      <c r="BQ33" s="33" t="n">
        <v>0.00510643256753779</v>
      </c>
      <c r="BR33" s="33" t="n">
        <v>0.00110914158799652</v>
      </c>
      <c r="BS33" s="33" t="n">
        <v>0.00429230953396188</v>
      </c>
      <c r="BT33" s="33" t="n">
        <v>0</v>
      </c>
    </row>
    <row r="34" customFormat="false" ht="11.25" hidden="false" customHeight="true" outlineLevel="0" collapsed="false">
      <c r="B34" s="24" t="s">
        <v>119</v>
      </c>
      <c r="C34" s="25" t="s">
        <v>120</v>
      </c>
      <c r="D34" s="24" t="n">
        <v>28</v>
      </c>
      <c r="E34" s="34" t="n">
        <v>0.0189302483765545</v>
      </c>
      <c r="F34" s="34" t="n">
        <v>0.00646698876421984</v>
      </c>
      <c r="G34" s="34" t="n">
        <v>0.000577007720440558</v>
      </c>
      <c r="H34" s="34" t="n">
        <v>0.00120256612609605</v>
      </c>
      <c r="I34" s="34" t="n">
        <v>0.0176442219146834</v>
      </c>
      <c r="J34" s="34" t="n">
        <v>0.00798645309060883</v>
      </c>
      <c r="K34" s="34" t="n">
        <v>0.00335099129693133</v>
      </c>
      <c r="L34" s="34" t="n">
        <v>0.0320240538350032</v>
      </c>
      <c r="M34" s="34" t="n">
        <v>0.00281428266385703</v>
      </c>
      <c r="N34" s="34" t="n">
        <v>0.0310809182233291</v>
      </c>
      <c r="O34" s="34" t="n">
        <v>0.00776487452388347</v>
      </c>
      <c r="P34" s="34" t="n">
        <v>0.000587514091506964</v>
      </c>
      <c r="Q34" s="34" t="n">
        <v>0.0026508171689716</v>
      </c>
      <c r="R34" s="34" t="n">
        <v>0.00235953990518971</v>
      </c>
      <c r="S34" s="34" t="n">
        <v>0.00169659760906879</v>
      </c>
      <c r="T34" s="34" t="n">
        <v>0.00238949738489246</v>
      </c>
      <c r="U34" s="34" t="n">
        <v>0.0152008774613382</v>
      </c>
      <c r="V34" s="34" t="n">
        <v>0.00505205718285553</v>
      </c>
      <c r="W34" s="34" t="n">
        <v>0.0154665348435805</v>
      </c>
      <c r="X34" s="34" t="n">
        <v>0.00267745471743509</v>
      </c>
      <c r="Y34" s="34" t="n">
        <v>0.0259228691104234</v>
      </c>
      <c r="Z34" s="34" t="n">
        <v>0.0125474053836637</v>
      </c>
      <c r="AA34" s="34" t="n">
        <v>0.00415978134309568</v>
      </c>
      <c r="AB34" s="34" t="n">
        <v>0.00378157783500846</v>
      </c>
      <c r="AC34" s="34" t="n">
        <v>0.0102614496795347</v>
      </c>
      <c r="AD34" s="34" t="n">
        <v>0.0091008124183779</v>
      </c>
      <c r="AE34" s="34" t="n">
        <v>0.0505702357782436</v>
      </c>
      <c r="AF34" s="34" t="n">
        <v>1.24085663747152</v>
      </c>
      <c r="AG34" s="34" t="n">
        <v>0.0698690954258833</v>
      </c>
      <c r="AH34" s="34" t="n">
        <v>0.0105745580373899</v>
      </c>
      <c r="AI34" s="34" t="n">
        <v>0.163201487772307</v>
      </c>
      <c r="AJ34" s="34" t="n">
        <v>0.0545456649611864</v>
      </c>
      <c r="AK34" s="34" t="n">
        <v>0.0549776857795175</v>
      </c>
      <c r="AL34" s="34" t="n">
        <v>0.0820829126273715</v>
      </c>
      <c r="AM34" s="34" t="n">
        <v>0.0184289359795214</v>
      </c>
      <c r="AN34" s="34" t="n">
        <v>0.0440773453426577</v>
      </c>
      <c r="AO34" s="34" t="n">
        <v>0.0339991377693433</v>
      </c>
      <c r="AP34" s="34" t="n">
        <v>0.021827771970132</v>
      </c>
      <c r="AQ34" s="34" t="n">
        <v>0.0064314242474397</v>
      </c>
      <c r="AR34" s="34" t="n">
        <v>0.106170462651525</v>
      </c>
      <c r="AS34" s="34" t="n">
        <v>0.0270841393569827</v>
      </c>
      <c r="AT34" s="34" t="n">
        <v>0.0420632248061597</v>
      </c>
      <c r="AU34" s="34" t="n">
        <v>0.0285390555040629</v>
      </c>
      <c r="AV34" s="34" t="n">
        <v>0.00136681714974769</v>
      </c>
      <c r="AW34" s="34" t="n">
        <v>0.000631255480434489</v>
      </c>
      <c r="AX34" s="34" t="n">
        <v>0.00483273113320047</v>
      </c>
      <c r="AY34" s="34" t="n">
        <v>0.000729758696146246</v>
      </c>
      <c r="AZ34" s="34" t="n">
        <v>0.00879305108620754</v>
      </c>
      <c r="BA34" s="34" t="n">
        <v>0.000913742655217872</v>
      </c>
      <c r="BB34" s="34" t="n">
        <v>0.00131527986807002</v>
      </c>
      <c r="BC34" s="34" t="n">
        <v>0.00672868112107707</v>
      </c>
      <c r="BD34" s="34" t="n">
        <v>0.00373442177233154</v>
      </c>
      <c r="BE34" s="34" t="n">
        <v>0.0062100825011046</v>
      </c>
      <c r="BF34" s="34" t="n">
        <v>0.00429494644183168</v>
      </c>
      <c r="BG34" s="34" t="n">
        <v>0.0054225265230423</v>
      </c>
      <c r="BH34" s="34" t="n">
        <v>0.00161290411268933</v>
      </c>
      <c r="BI34" s="34" t="n">
        <v>0.00324870766026181</v>
      </c>
      <c r="BJ34" s="34" t="n">
        <v>0.00221907178802175</v>
      </c>
      <c r="BK34" s="34" t="n">
        <v>0.00721031829080321</v>
      </c>
      <c r="BL34" s="34" t="n">
        <v>0.000586348280821367</v>
      </c>
      <c r="BM34" s="34" t="n">
        <v>0.0120880370513533</v>
      </c>
      <c r="BN34" s="34" t="n">
        <v>0.00308781497520792</v>
      </c>
      <c r="BO34" s="34" t="n">
        <v>0.00257048757043475</v>
      </c>
      <c r="BP34" s="34" t="n">
        <v>0.00638796489734707</v>
      </c>
      <c r="BQ34" s="34" t="n">
        <v>0.00912369179284319</v>
      </c>
      <c r="BR34" s="34" t="n">
        <v>0.00178483373221031</v>
      </c>
      <c r="BS34" s="34" t="n">
        <v>0.00598974424697142</v>
      </c>
      <c r="BT34" s="34" t="n">
        <v>0</v>
      </c>
    </row>
    <row r="35" customFormat="false" ht="11.25" hidden="false" customHeight="true" outlineLevel="0" collapsed="false">
      <c r="B35" s="19" t="s">
        <v>121</v>
      </c>
      <c r="C35" s="20" t="s">
        <v>122</v>
      </c>
      <c r="D35" s="19" t="n">
        <v>29</v>
      </c>
      <c r="E35" s="33" t="n">
        <v>0.0199110902612066</v>
      </c>
      <c r="F35" s="33" t="n">
        <v>0.0138249506259818</v>
      </c>
      <c r="G35" s="33" t="n">
        <v>0.00119276360942803</v>
      </c>
      <c r="H35" s="33" t="n">
        <v>0.0018009462297793</v>
      </c>
      <c r="I35" s="33" t="n">
        <v>0.0352471117294078</v>
      </c>
      <c r="J35" s="33" t="n">
        <v>0.0224844849086958</v>
      </c>
      <c r="K35" s="33" t="n">
        <v>0.00533340768630855</v>
      </c>
      <c r="L35" s="33" t="n">
        <v>0.066489951063946</v>
      </c>
      <c r="M35" s="33" t="n">
        <v>0.00377355855992577</v>
      </c>
      <c r="N35" s="33" t="n">
        <v>0.0501232369518667</v>
      </c>
      <c r="O35" s="33" t="n">
        <v>0.0557505140973089</v>
      </c>
      <c r="P35" s="33" t="n">
        <v>0.000765999183722035</v>
      </c>
      <c r="Q35" s="33" t="n">
        <v>0.00320214647868259</v>
      </c>
      <c r="R35" s="33" t="n">
        <v>0.00294706025412222</v>
      </c>
      <c r="S35" s="33" t="n">
        <v>0.00213113875981193</v>
      </c>
      <c r="T35" s="33" t="n">
        <v>0.00848683068242905</v>
      </c>
      <c r="U35" s="33" t="n">
        <v>0.0099821709967171</v>
      </c>
      <c r="V35" s="33" t="n">
        <v>0.00123435251359297</v>
      </c>
      <c r="W35" s="33" t="n">
        <v>0.0313233219901608</v>
      </c>
      <c r="X35" s="33" t="n">
        <v>0.00370896040716346</v>
      </c>
      <c r="Y35" s="33" t="n">
        <v>0.0154782455566614</v>
      </c>
      <c r="Z35" s="33" t="n">
        <v>0.0168207769214077</v>
      </c>
      <c r="AA35" s="33" t="n">
        <v>0.0141282297075558</v>
      </c>
      <c r="AB35" s="33" t="n">
        <v>0.00510155872499509</v>
      </c>
      <c r="AC35" s="33" t="n">
        <v>0.010589949404421</v>
      </c>
      <c r="AD35" s="33" t="n">
        <v>0.00877127007008375</v>
      </c>
      <c r="AE35" s="33" t="n">
        <v>0.0398666037521237</v>
      </c>
      <c r="AF35" s="33" t="n">
        <v>0.0120034154118284</v>
      </c>
      <c r="AG35" s="33" t="n">
        <v>1.10244362056236</v>
      </c>
      <c r="AH35" s="33" t="n">
        <v>0.0137505837488014</v>
      </c>
      <c r="AI35" s="33" t="n">
        <v>0.0386084678477929</v>
      </c>
      <c r="AJ35" s="33" t="n">
        <v>0.0728193149233425</v>
      </c>
      <c r="AK35" s="33" t="n">
        <v>0.0528985266637147</v>
      </c>
      <c r="AL35" s="33" t="n">
        <v>0.0311405652359745</v>
      </c>
      <c r="AM35" s="33" t="n">
        <v>0.016862857700761</v>
      </c>
      <c r="AN35" s="33" t="n">
        <v>0.019693669406984</v>
      </c>
      <c r="AO35" s="33" t="n">
        <v>0.039980532972398</v>
      </c>
      <c r="AP35" s="33" t="n">
        <v>0.0384337745478329</v>
      </c>
      <c r="AQ35" s="33" t="n">
        <v>0.0102858810292438</v>
      </c>
      <c r="AR35" s="33" t="n">
        <v>0.24528413965711</v>
      </c>
      <c r="AS35" s="33" t="n">
        <v>0.0129780009233289</v>
      </c>
      <c r="AT35" s="33" t="n">
        <v>0.0471969890959368</v>
      </c>
      <c r="AU35" s="33" t="n">
        <v>0.0200636247197706</v>
      </c>
      <c r="AV35" s="33" t="n">
        <v>0.00157226223062282</v>
      </c>
      <c r="AW35" s="33" t="n">
        <v>0.000833456207216888</v>
      </c>
      <c r="AX35" s="33" t="n">
        <v>0.00484896537193968</v>
      </c>
      <c r="AY35" s="33" t="n">
        <v>0.00183908854852064</v>
      </c>
      <c r="AZ35" s="33" t="n">
        <v>0.0373826515643113</v>
      </c>
      <c r="BA35" s="33" t="n">
        <v>0.000749303969398006</v>
      </c>
      <c r="BB35" s="33" t="n">
        <v>0.00139576665461414</v>
      </c>
      <c r="BC35" s="33" t="n">
        <v>0.00694810010948271</v>
      </c>
      <c r="BD35" s="33" t="n">
        <v>0.0038070265945379</v>
      </c>
      <c r="BE35" s="33" t="n">
        <v>0.00568946523822098</v>
      </c>
      <c r="BF35" s="33" t="n">
        <v>0.0065841202869988</v>
      </c>
      <c r="BG35" s="33" t="n">
        <v>0.00386800646319792</v>
      </c>
      <c r="BH35" s="33" t="n">
        <v>0.00160053574023886</v>
      </c>
      <c r="BI35" s="33" t="n">
        <v>0.00256099051653031</v>
      </c>
      <c r="BJ35" s="33" t="n">
        <v>0.0017592202235378</v>
      </c>
      <c r="BK35" s="33" t="n">
        <v>0.00962388713635065</v>
      </c>
      <c r="BL35" s="33" t="n">
        <v>0.00141164674169485</v>
      </c>
      <c r="BM35" s="33" t="n">
        <v>0.024797249796926</v>
      </c>
      <c r="BN35" s="33" t="n">
        <v>0.0042306231165212</v>
      </c>
      <c r="BO35" s="33" t="n">
        <v>0.00198523364491527</v>
      </c>
      <c r="BP35" s="33" t="n">
        <v>0.00887750399678417</v>
      </c>
      <c r="BQ35" s="33" t="n">
        <v>0.00661182988542921</v>
      </c>
      <c r="BR35" s="33" t="n">
        <v>0.00114373365537446</v>
      </c>
      <c r="BS35" s="33" t="n">
        <v>0.00662829439050245</v>
      </c>
      <c r="BT35" s="33" t="n">
        <v>0</v>
      </c>
    </row>
    <row r="36" customFormat="false" ht="11.25" hidden="false" customHeight="true" outlineLevel="0" collapsed="false">
      <c r="B36" s="24" t="s">
        <v>123</v>
      </c>
      <c r="C36" s="25" t="s">
        <v>124</v>
      </c>
      <c r="D36" s="24" t="n">
        <v>30</v>
      </c>
      <c r="E36" s="34" t="n">
        <v>0.00371854017175831</v>
      </c>
      <c r="F36" s="34" t="n">
        <v>0.00160724582120576</v>
      </c>
      <c r="G36" s="34" t="n">
        <v>0.000190809309156897</v>
      </c>
      <c r="H36" s="34" t="n">
        <v>0.000616592376969862</v>
      </c>
      <c r="I36" s="34" t="n">
        <v>0.0102370450962539</v>
      </c>
      <c r="J36" s="34" t="n">
        <v>0.00483177218769783</v>
      </c>
      <c r="K36" s="34" t="n">
        <v>0.00102739177030272</v>
      </c>
      <c r="L36" s="34" t="n">
        <v>0.0122161194400468</v>
      </c>
      <c r="M36" s="34" t="n">
        <v>0.00121821022745922</v>
      </c>
      <c r="N36" s="34" t="n">
        <v>0.00916941986201276</v>
      </c>
      <c r="O36" s="34" t="n">
        <v>0.00221470686197108</v>
      </c>
      <c r="P36" s="34" t="n">
        <v>0.000358524297848094</v>
      </c>
      <c r="Q36" s="34" t="n">
        <v>0.00102748171509916</v>
      </c>
      <c r="R36" s="34" t="n">
        <v>0.001093001743775</v>
      </c>
      <c r="S36" s="34" t="n">
        <v>0.000944853090671114</v>
      </c>
      <c r="T36" s="34" t="n">
        <v>0.000969588192618652</v>
      </c>
      <c r="U36" s="34" t="n">
        <v>0.00437804882500388</v>
      </c>
      <c r="V36" s="34" t="n">
        <v>0.00263306426760006</v>
      </c>
      <c r="W36" s="34" t="n">
        <v>0.0084531356529014</v>
      </c>
      <c r="X36" s="34" t="n">
        <v>0.00109992497733176</v>
      </c>
      <c r="Y36" s="34" t="n">
        <v>0.00379413751343007</v>
      </c>
      <c r="Z36" s="34" t="n">
        <v>0.00295811777589068</v>
      </c>
      <c r="AA36" s="34" t="n">
        <v>0.0011767486643974</v>
      </c>
      <c r="AB36" s="34" t="n">
        <v>0.00249129611534522</v>
      </c>
      <c r="AC36" s="34" t="n">
        <v>0.00368889388430952</v>
      </c>
      <c r="AD36" s="34" t="n">
        <v>0.0030243117896592</v>
      </c>
      <c r="AE36" s="34" t="n">
        <v>0.00577388437220633</v>
      </c>
      <c r="AF36" s="34" t="n">
        <v>0.00233062439750437</v>
      </c>
      <c r="AG36" s="34" t="n">
        <v>0.00354321200882333</v>
      </c>
      <c r="AH36" s="34" t="n">
        <v>1.19024739964713</v>
      </c>
      <c r="AI36" s="34" t="n">
        <v>0.0117504469386152</v>
      </c>
      <c r="AJ36" s="34" t="n">
        <v>0.0182574933861628</v>
      </c>
      <c r="AK36" s="34" t="n">
        <v>0.0076071409731231</v>
      </c>
      <c r="AL36" s="34" t="n">
        <v>0.00452238940667699</v>
      </c>
      <c r="AM36" s="34" t="n">
        <v>0.00159994568751578</v>
      </c>
      <c r="AN36" s="34" t="n">
        <v>0.00253806055770573</v>
      </c>
      <c r="AO36" s="34" t="n">
        <v>0.0129308606077522</v>
      </c>
      <c r="AP36" s="34" t="n">
        <v>0.00971515903956058</v>
      </c>
      <c r="AQ36" s="34" t="n">
        <v>0.0016338741721607</v>
      </c>
      <c r="AR36" s="34" t="n">
        <v>0.017210348220307</v>
      </c>
      <c r="AS36" s="34" t="n">
        <v>0.00307773865982691</v>
      </c>
      <c r="AT36" s="34" t="n">
        <v>0.0267542253327088</v>
      </c>
      <c r="AU36" s="34" t="n">
        <v>0.00705504250433437</v>
      </c>
      <c r="AV36" s="34" t="n">
        <v>0.000818422616748994</v>
      </c>
      <c r="AW36" s="34" t="n">
        <v>0.000608404163228524</v>
      </c>
      <c r="AX36" s="34" t="n">
        <v>0.00609865898839401</v>
      </c>
      <c r="AY36" s="34" t="n">
        <v>0.000281455770068168</v>
      </c>
      <c r="AZ36" s="34" t="n">
        <v>0.00253668502140546</v>
      </c>
      <c r="BA36" s="34" t="n">
        <v>0.000643501312415508</v>
      </c>
      <c r="BB36" s="34" t="n">
        <v>0.00437957469503527</v>
      </c>
      <c r="BC36" s="34" t="n">
        <v>0.00945978375143435</v>
      </c>
      <c r="BD36" s="34" t="n">
        <v>0.037978389338597</v>
      </c>
      <c r="BE36" s="34" t="n">
        <v>0.0156948701852966</v>
      </c>
      <c r="BF36" s="34" t="n">
        <v>0.00172010541312555</v>
      </c>
      <c r="BG36" s="34" t="n">
        <v>0.00817730094985548</v>
      </c>
      <c r="BH36" s="34" t="n">
        <v>0.0110823587570967</v>
      </c>
      <c r="BI36" s="34" t="n">
        <v>0.0084868680619852</v>
      </c>
      <c r="BJ36" s="34" t="n">
        <v>0.00149623477974391</v>
      </c>
      <c r="BK36" s="34" t="n">
        <v>0.0206061824953471</v>
      </c>
      <c r="BL36" s="34" t="n">
        <v>0.00239758023382379</v>
      </c>
      <c r="BM36" s="34" t="n">
        <v>0.0134181645393938</v>
      </c>
      <c r="BN36" s="34" t="n">
        <v>0.00950259187251484</v>
      </c>
      <c r="BO36" s="34" t="n">
        <v>0.00336172305221473</v>
      </c>
      <c r="BP36" s="34" t="n">
        <v>0.00828959800465838</v>
      </c>
      <c r="BQ36" s="34" t="n">
        <v>0.00498377020762676</v>
      </c>
      <c r="BR36" s="34" t="n">
        <v>0.00143839758510158</v>
      </c>
      <c r="BS36" s="34" t="n">
        <v>0.0126847811875777</v>
      </c>
      <c r="BT36" s="34" t="n">
        <v>0</v>
      </c>
    </row>
    <row r="37" customFormat="false" ht="11.25" hidden="false" customHeight="true" outlineLevel="0" collapsed="false">
      <c r="B37" s="19" t="s">
        <v>125</v>
      </c>
      <c r="C37" s="20" t="s">
        <v>126</v>
      </c>
      <c r="D37" s="19" t="n">
        <v>31</v>
      </c>
      <c r="E37" s="33" t="n">
        <v>0.0111225538518552</v>
      </c>
      <c r="F37" s="33" t="n">
        <v>0.00610190041151647</v>
      </c>
      <c r="G37" s="33" t="n">
        <v>0.000618289239580641</v>
      </c>
      <c r="H37" s="33" t="n">
        <v>0.00150452086815962</v>
      </c>
      <c r="I37" s="33" t="n">
        <v>0.0150767014849405</v>
      </c>
      <c r="J37" s="33" t="n">
        <v>0.00878958890995361</v>
      </c>
      <c r="K37" s="33" t="n">
        <v>0.00214037568847128</v>
      </c>
      <c r="L37" s="33" t="n">
        <v>0.0245847530810852</v>
      </c>
      <c r="M37" s="33" t="n">
        <v>0.00277650324523058</v>
      </c>
      <c r="N37" s="33" t="n">
        <v>0.0188620908700177</v>
      </c>
      <c r="O37" s="33" t="n">
        <v>0.00442081803360912</v>
      </c>
      <c r="P37" s="33" t="n">
        <v>0.000582537387025251</v>
      </c>
      <c r="Q37" s="33" t="n">
        <v>0.00287022868208534</v>
      </c>
      <c r="R37" s="33" t="n">
        <v>0.00218617243127221</v>
      </c>
      <c r="S37" s="33" t="n">
        <v>0.00168890104312417</v>
      </c>
      <c r="T37" s="33" t="n">
        <v>0.00253884917111757</v>
      </c>
      <c r="U37" s="33" t="n">
        <v>0.00940331076113415</v>
      </c>
      <c r="V37" s="33" t="n">
        <v>0.00113340411997345</v>
      </c>
      <c r="W37" s="33" t="n">
        <v>0.0138891829430339</v>
      </c>
      <c r="X37" s="33" t="n">
        <v>0.00235883761728346</v>
      </c>
      <c r="Y37" s="33" t="n">
        <v>0.0103598743619289</v>
      </c>
      <c r="Z37" s="33" t="n">
        <v>0.00540319523111721</v>
      </c>
      <c r="AA37" s="33" t="n">
        <v>0.00226916022666444</v>
      </c>
      <c r="AB37" s="33" t="n">
        <v>0.00396670188883128</v>
      </c>
      <c r="AC37" s="33" t="n">
        <v>0.00793292961787651</v>
      </c>
      <c r="AD37" s="33" t="n">
        <v>0.0086560746743282</v>
      </c>
      <c r="AE37" s="33" t="n">
        <v>0.0138121374408922</v>
      </c>
      <c r="AF37" s="33" t="n">
        <v>0.00802375071523375</v>
      </c>
      <c r="AG37" s="33" t="n">
        <v>0.00885207402182583</v>
      </c>
      <c r="AH37" s="33" t="n">
        <v>0.0322826610138054</v>
      </c>
      <c r="AI37" s="33" t="n">
        <v>1.13738401084121</v>
      </c>
      <c r="AJ37" s="33" t="n">
        <v>0.0557868682007829</v>
      </c>
      <c r="AK37" s="33" t="n">
        <v>0.0259808277292116</v>
      </c>
      <c r="AL37" s="33" t="n">
        <v>0.0191906222327161</v>
      </c>
      <c r="AM37" s="33" t="n">
        <v>0.0054534507540579</v>
      </c>
      <c r="AN37" s="33" t="n">
        <v>0.00733495819734737</v>
      </c>
      <c r="AO37" s="33" t="n">
        <v>0.0393448298394785</v>
      </c>
      <c r="AP37" s="33" t="n">
        <v>0.104069228286689</v>
      </c>
      <c r="AQ37" s="33" t="n">
        <v>0.00763089982854673</v>
      </c>
      <c r="AR37" s="33" t="n">
        <v>0.14227891280742</v>
      </c>
      <c r="AS37" s="33" t="n">
        <v>0.0127975895568464</v>
      </c>
      <c r="AT37" s="33" t="n">
        <v>0.0535696443561762</v>
      </c>
      <c r="AU37" s="33" t="n">
        <v>0.0342427473747947</v>
      </c>
      <c r="AV37" s="33" t="n">
        <v>0.0018646151426814</v>
      </c>
      <c r="AW37" s="33" t="n">
        <v>0.000730887888962964</v>
      </c>
      <c r="AX37" s="33" t="n">
        <v>0.00654625396040715</v>
      </c>
      <c r="AY37" s="33" t="n">
        <v>0.00109687712309906</v>
      </c>
      <c r="AZ37" s="33" t="n">
        <v>0.00595121568613728</v>
      </c>
      <c r="BA37" s="33" t="n">
        <v>0.000878794395246317</v>
      </c>
      <c r="BB37" s="33" t="n">
        <v>0.00223837784216356</v>
      </c>
      <c r="BC37" s="33" t="n">
        <v>0.0167829774198444</v>
      </c>
      <c r="BD37" s="33" t="n">
        <v>0.00552572045897211</v>
      </c>
      <c r="BE37" s="33" t="n">
        <v>0.00894503368204667</v>
      </c>
      <c r="BF37" s="33" t="n">
        <v>0.00902485642172995</v>
      </c>
      <c r="BG37" s="33" t="n">
        <v>0.0129134858441304</v>
      </c>
      <c r="BH37" s="33" t="n">
        <v>0.00249231144655402</v>
      </c>
      <c r="BI37" s="33" t="n">
        <v>0.00408226831336778</v>
      </c>
      <c r="BJ37" s="33" t="n">
        <v>0.00207361918179809</v>
      </c>
      <c r="BK37" s="33" t="n">
        <v>0.016252024996542</v>
      </c>
      <c r="BL37" s="33" t="n">
        <v>0.000647751373286762</v>
      </c>
      <c r="BM37" s="33" t="n">
        <v>0.0141040014874411</v>
      </c>
      <c r="BN37" s="33" t="n">
        <v>0.00385179625490045</v>
      </c>
      <c r="BO37" s="33" t="n">
        <v>0.00287938607848677</v>
      </c>
      <c r="BP37" s="33" t="n">
        <v>0.00573682641496103</v>
      </c>
      <c r="BQ37" s="33" t="n">
        <v>0.0046211426517458</v>
      </c>
      <c r="BR37" s="33" t="n">
        <v>0.00223563300952104</v>
      </c>
      <c r="BS37" s="33" t="n">
        <v>0.0166865060139241</v>
      </c>
      <c r="BT37" s="33" t="n">
        <v>0</v>
      </c>
    </row>
    <row r="38" customFormat="false" ht="11.25" hidden="false" customHeight="true" outlineLevel="0" collapsed="false">
      <c r="B38" s="24" t="s">
        <v>127</v>
      </c>
      <c r="C38" s="25" t="s">
        <v>128</v>
      </c>
      <c r="D38" s="24" t="n">
        <v>32</v>
      </c>
      <c r="E38" s="34" t="n">
        <v>0.00656462684207366</v>
      </c>
      <c r="F38" s="34" t="n">
        <v>0.00287861047140851</v>
      </c>
      <c r="G38" s="34" t="n">
        <v>0.000401702196232173</v>
      </c>
      <c r="H38" s="34" t="n">
        <v>0.00211902290634965</v>
      </c>
      <c r="I38" s="34" t="n">
        <v>0.0540578499715812</v>
      </c>
      <c r="J38" s="34" t="n">
        <v>0.0477989835710605</v>
      </c>
      <c r="K38" s="34" t="n">
        <v>0.00995559129094102</v>
      </c>
      <c r="L38" s="34" t="n">
        <v>0.0154234549159721</v>
      </c>
      <c r="M38" s="34" t="n">
        <v>0.002015224921627</v>
      </c>
      <c r="N38" s="34" t="n">
        <v>0.0114898812426991</v>
      </c>
      <c r="O38" s="34" t="n">
        <v>0.00358667861669349</v>
      </c>
      <c r="P38" s="34" t="n">
        <v>0.000340907402272049</v>
      </c>
      <c r="Q38" s="34" t="n">
        <v>0.00143104879794274</v>
      </c>
      <c r="R38" s="34" t="n">
        <v>0.00136042162853293</v>
      </c>
      <c r="S38" s="34" t="n">
        <v>0.00110628923701069</v>
      </c>
      <c r="T38" s="34" t="n">
        <v>0.00240508447694953</v>
      </c>
      <c r="U38" s="34" t="n">
        <v>0.00791833565689181</v>
      </c>
      <c r="V38" s="34" t="n">
        <v>0.00138514522850994</v>
      </c>
      <c r="W38" s="34" t="n">
        <v>0.0351400212891074</v>
      </c>
      <c r="X38" s="34" t="n">
        <v>0.00171152895041349</v>
      </c>
      <c r="Y38" s="34" t="n">
        <v>0.00709579781788224</v>
      </c>
      <c r="Z38" s="34" t="n">
        <v>0.00383698305932905</v>
      </c>
      <c r="AA38" s="34" t="n">
        <v>0.00162575688635711</v>
      </c>
      <c r="AB38" s="34" t="n">
        <v>0.00266979900991928</v>
      </c>
      <c r="AC38" s="34" t="n">
        <v>0.00530350276957197</v>
      </c>
      <c r="AD38" s="34" t="n">
        <v>0.00638518424142973</v>
      </c>
      <c r="AE38" s="34" t="n">
        <v>0.0262477949440288</v>
      </c>
      <c r="AF38" s="34" t="n">
        <v>0.00951637873343137</v>
      </c>
      <c r="AG38" s="34" t="n">
        <v>0.0102356966954723</v>
      </c>
      <c r="AH38" s="34" t="n">
        <v>0.00333028410926617</v>
      </c>
      <c r="AI38" s="34" t="n">
        <v>0.0106058345561521</v>
      </c>
      <c r="AJ38" s="34" t="n">
        <v>1.14378262746198</v>
      </c>
      <c r="AK38" s="34" t="n">
        <v>0.0152654915333026</v>
      </c>
      <c r="AL38" s="34" t="n">
        <v>0.00582688891629738</v>
      </c>
      <c r="AM38" s="34" t="n">
        <v>0.00401348641981181</v>
      </c>
      <c r="AN38" s="34" t="n">
        <v>0.00363751788319318</v>
      </c>
      <c r="AO38" s="34" t="n">
        <v>0.0706536056240567</v>
      </c>
      <c r="AP38" s="34" t="n">
        <v>0.00994946288731115</v>
      </c>
      <c r="AQ38" s="34" t="n">
        <v>0.0035342454444918</v>
      </c>
      <c r="AR38" s="34" t="n">
        <v>0.0455545861980249</v>
      </c>
      <c r="AS38" s="34" t="n">
        <v>0.00572408131651276</v>
      </c>
      <c r="AT38" s="34" t="n">
        <v>0.0259064080226533</v>
      </c>
      <c r="AU38" s="34" t="n">
        <v>0.0139739502097819</v>
      </c>
      <c r="AV38" s="34" t="n">
        <v>0.00362704889440513</v>
      </c>
      <c r="AW38" s="34" t="n">
        <v>0.00101909345458226</v>
      </c>
      <c r="AX38" s="34" t="n">
        <v>0.00627826775106521</v>
      </c>
      <c r="AY38" s="34" t="n">
        <v>0.000295348094061237</v>
      </c>
      <c r="AZ38" s="34" t="n">
        <v>0.00366800861862914</v>
      </c>
      <c r="BA38" s="34" t="n">
        <v>0.000777815477928542</v>
      </c>
      <c r="BB38" s="34" t="n">
        <v>0.000844475380363254</v>
      </c>
      <c r="BC38" s="34" t="n">
        <v>0.00460683699209399</v>
      </c>
      <c r="BD38" s="34" t="n">
        <v>0.00348442368142719</v>
      </c>
      <c r="BE38" s="34" t="n">
        <v>0.00388451115718645</v>
      </c>
      <c r="BF38" s="34" t="n">
        <v>0.00139307812906838</v>
      </c>
      <c r="BG38" s="34" t="n">
        <v>0.00280061945055471</v>
      </c>
      <c r="BH38" s="34" t="n">
        <v>0.00104810827314536</v>
      </c>
      <c r="BI38" s="34" t="n">
        <v>0.00181960348008704</v>
      </c>
      <c r="BJ38" s="34" t="n">
        <v>0.00174210839308961</v>
      </c>
      <c r="BK38" s="34" t="n">
        <v>0.012328963231245</v>
      </c>
      <c r="BL38" s="34" t="n">
        <v>0.000473587348943782</v>
      </c>
      <c r="BM38" s="34" t="n">
        <v>0.00761872092064255</v>
      </c>
      <c r="BN38" s="34" t="n">
        <v>0.00179413629616537</v>
      </c>
      <c r="BO38" s="34" t="n">
        <v>0.000972400440681592</v>
      </c>
      <c r="BP38" s="34" t="n">
        <v>0.00476587905184149</v>
      </c>
      <c r="BQ38" s="34" t="n">
        <v>0.00270812747693187</v>
      </c>
      <c r="BR38" s="34" t="n">
        <v>0.000860379316388834</v>
      </c>
      <c r="BS38" s="34" t="n">
        <v>0.00276237471134603</v>
      </c>
      <c r="BT38" s="34" t="n">
        <v>0</v>
      </c>
    </row>
    <row r="39" customFormat="false" ht="11.25" hidden="false" customHeight="true" outlineLevel="0" collapsed="false">
      <c r="B39" s="19" t="s">
        <v>129</v>
      </c>
      <c r="C39" s="20" t="s">
        <v>130</v>
      </c>
      <c r="D39" s="19" t="n">
        <v>33</v>
      </c>
      <c r="E39" s="33" t="n">
        <v>0.000811804796663954</v>
      </c>
      <c r="F39" s="33" t="n">
        <v>0.000288274995117623</v>
      </c>
      <c r="G39" s="33" t="n">
        <v>4.77233599272892E-005</v>
      </c>
      <c r="H39" s="33" t="n">
        <v>8.55496676052672E-005</v>
      </c>
      <c r="I39" s="33" t="n">
        <v>0.000945509371622039</v>
      </c>
      <c r="J39" s="33" t="n">
        <v>0.00092422916781163</v>
      </c>
      <c r="K39" s="33" t="n">
        <v>0.000154988858344731</v>
      </c>
      <c r="L39" s="33" t="n">
        <v>0.00180506797164311</v>
      </c>
      <c r="M39" s="33" t="n">
        <v>0.000642459971086812</v>
      </c>
      <c r="N39" s="33" t="n">
        <v>0.00156446499767047</v>
      </c>
      <c r="O39" s="33" t="n">
        <v>0.000352643959314085</v>
      </c>
      <c r="P39" s="33" t="n">
        <v>3.9897441728215E-005</v>
      </c>
      <c r="Q39" s="33" t="n">
        <v>0.000186189079557084</v>
      </c>
      <c r="R39" s="33" t="n">
        <v>0.000148329371812928</v>
      </c>
      <c r="S39" s="33" t="n">
        <v>0.000126355826366582</v>
      </c>
      <c r="T39" s="33" t="n">
        <v>0.000145597939706151</v>
      </c>
      <c r="U39" s="33" t="n">
        <v>0.000543551095849736</v>
      </c>
      <c r="V39" s="33" t="n">
        <v>4.91067010417306E-005</v>
      </c>
      <c r="W39" s="33" t="n">
        <v>0.00104218233842135</v>
      </c>
      <c r="X39" s="33" t="n">
        <v>0.000171672115838407</v>
      </c>
      <c r="Y39" s="33" t="n">
        <v>0.000628669557201668</v>
      </c>
      <c r="Z39" s="33" t="n">
        <v>0.000545528945999037</v>
      </c>
      <c r="AA39" s="33" t="n">
        <v>0.000187776376883623</v>
      </c>
      <c r="AB39" s="33" t="n">
        <v>0.000347762144336727</v>
      </c>
      <c r="AC39" s="33" t="n">
        <v>0.000592637907726882</v>
      </c>
      <c r="AD39" s="33" t="n">
        <v>0.000464931609533766</v>
      </c>
      <c r="AE39" s="33" t="n">
        <v>0.000806247152307082</v>
      </c>
      <c r="AF39" s="33" t="n">
        <v>0.000306101923963855</v>
      </c>
      <c r="AG39" s="33" t="n">
        <v>0.000494893348757541</v>
      </c>
      <c r="AH39" s="33" t="n">
        <v>0.00056341276638155</v>
      </c>
      <c r="AI39" s="33" t="n">
        <v>0.00161554626762247</v>
      </c>
      <c r="AJ39" s="33" t="n">
        <v>0.00238199098843453</v>
      </c>
      <c r="AK39" s="33" t="n">
        <v>1.03924005738222</v>
      </c>
      <c r="AL39" s="33" t="n">
        <v>0.00205192461066905</v>
      </c>
      <c r="AM39" s="33" t="n">
        <v>0.0004267155927884</v>
      </c>
      <c r="AN39" s="33" t="n">
        <v>0.000287835511078197</v>
      </c>
      <c r="AO39" s="33" t="n">
        <v>0.00105555270142831</v>
      </c>
      <c r="AP39" s="33" t="n">
        <v>0.00146144804259681</v>
      </c>
      <c r="AQ39" s="33" t="n">
        <v>0.000312556910326524</v>
      </c>
      <c r="AR39" s="33" t="n">
        <v>0.00260056527426579</v>
      </c>
      <c r="AS39" s="33" t="n">
        <v>0.00450108472427878</v>
      </c>
      <c r="AT39" s="33" t="n">
        <v>0.00395000024974192</v>
      </c>
      <c r="AU39" s="33" t="n">
        <v>0.00927699957585246</v>
      </c>
      <c r="AV39" s="33" t="n">
        <v>8.01406080505072E-005</v>
      </c>
      <c r="AW39" s="33" t="n">
        <v>4.22345030283446E-005</v>
      </c>
      <c r="AX39" s="33" t="n">
        <v>0.000475830343453448</v>
      </c>
      <c r="AY39" s="33" t="n">
        <v>3.17083580959982E-005</v>
      </c>
      <c r="AZ39" s="33" t="n">
        <v>0.000394953366099648</v>
      </c>
      <c r="BA39" s="33" t="n">
        <v>4.91640069593862E-005</v>
      </c>
      <c r="BB39" s="33" t="n">
        <v>9.02330164867993E-005</v>
      </c>
      <c r="BC39" s="33" t="n">
        <v>0.000434859256522239</v>
      </c>
      <c r="BD39" s="33" t="n">
        <v>0.000207905747178249</v>
      </c>
      <c r="BE39" s="33" t="n">
        <v>0.000337613142780527</v>
      </c>
      <c r="BF39" s="33" t="n">
        <v>0.000161049490081206</v>
      </c>
      <c r="BG39" s="33" t="n">
        <v>0.00028430701804357</v>
      </c>
      <c r="BH39" s="33" t="n">
        <v>0.0003032243541425</v>
      </c>
      <c r="BI39" s="33" t="n">
        <v>0.000160336825706727</v>
      </c>
      <c r="BJ39" s="33" t="n">
        <v>0.000260286073529817</v>
      </c>
      <c r="BK39" s="33" t="n">
        <v>0.00042230219614101</v>
      </c>
      <c r="BL39" s="33" t="n">
        <v>5.48585811556076E-005</v>
      </c>
      <c r="BM39" s="33" t="n">
        <v>0.000975060621557202</v>
      </c>
      <c r="BN39" s="33" t="n">
        <v>0.000233174563696087</v>
      </c>
      <c r="BO39" s="33" t="n">
        <v>0.000133486732623068</v>
      </c>
      <c r="BP39" s="33" t="n">
        <v>0.000481656663640216</v>
      </c>
      <c r="BQ39" s="33" t="n">
        <v>0.000298962902344758</v>
      </c>
      <c r="BR39" s="33" t="n">
        <v>7.07098051146755E-005</v>
      </c>
      <c r="BS39" s="33" t="n">
        <v>0.000318337827804154</v>
      </c>
      <c r="BT39" s="33" t="n">
        <v>0</v>
      </c>
    </row>
    <row r="40" customFormat="false" ht="11.25" hidden="false" customHeight="true" outlineLevel="0" collapsed="false">
      <c r="B40" s="24" t="s">
        <v>131</v>
      </c>
      <c r="C40" s="25" t="s">
        <v>132</v>
      </c>
      <c r="D40" s="24" t="n">
        <v>34</v>
      </c>
      <c r="E40" s="34" t="n">
        <v>0.0146940818889702</v>
      </c>
      <c r="F40" s="34" t="n">
        <v>0.00501844547603594</v>
      </c>
      <c r="G40" s="34" t="n">
        <v>0.000961092608838818</v>
      </c>
      <c r="H40" s="34" t="n">
        <v>0.00141526225992516</v>
      </c>
      <c r="I40" s="34" t="n">
        <v>0.0134416138939758</v>
      </c>
      <c r="J40" s="34" t="n">
        <v>0.013250652962852</v>
      </c>
      <c r="K40" s="34" t="n">
        <v>0.00224602852140728</v>
      </c>
      <c r="L40" s="34" t="n">
        <v>0.0352672588449476</v>
      </c>
      <c r="M40" s="34" t="n">
        <v>0.00440659801086153</v>
      </c>
      <c r="N40" s="34" t="n">
        <v>0.0301689802075374</v>
      </c>
      <c r="O40" s="34" t="n">
        <v>0.00687630705446356</v>
      </c>
      <c r="P40" s="34" t="n">
        <v>0.000695118570009121</v>
      </c>
      <c r="Q40" s="34" t="n">
        <v>0.00279677956427716</v>
      </c>
      <c r="R40" s="34" t="n">
        <v>0.00249642493888537</v>
      </c>
      <c r="S40" s="34" t="n">
        <v>0.00225093892004794</v>
      </c>
      <c r="T40" s="34" t="n">
        <v>0.00261930849121917</v>
      </c>
      <c r="U40" s="34" t="n">
        <v>0.00975948561380024</v>
      </c>
      <c r="V40" s="34" t="n">
        <v>0.000729124771079803</v>
      </c>
      <c r="W40" s="34" t="n">
        <v>0.0164909881073883</v>
      </c>
      <c r="X40" s="34" t="n">
        <v>0.00315851566793291</v>
      </c>
      <c r="Y40" s="34" t="n">
        <v>0.0114440914967142</v>
      </c>
      <c r="Z40" s="34" t="n">
        <v>0.0070315967367934</v>
      </c>
      <c r="AA40" s="34" t="n">
        <v>0.0033731616857898</v>
      </c>
      <c r="AB40" s="34" t="n">
        <v>0.00616774674292827</v>
      </c>
      <c r="AC40" s="34" t="n">
        <v>0.00963137502606881</v>
      </c>
      <c r="AD40" s="34" t="n">
        <v>0.00799543569736403</v>
      </c>
      <c r="AE40" s="34" t="n">
        <v>0.0134814661706467</v>
      </c>
      <c r="AF40" s="34" t="n">
        <v>0.00439756392444864</v>
      </c>
      <c r="AG40" s="34" t="n">
        <v>0.0103913945603728</v>
      </c>
      <c r="AH40" s="34" t="n">
        <v>0.00679723748186621</v>
      </c>
      <c r="AI40" s="34" t="n">
        <v>0.00855270744241858</v>
      </c>
      <c r="AJ40" s="34" t="n">
        <v>0.0260583148270686</v>
      </c>
      <c r="AK40" s="34" t="n">
        <v>0.479641917900565</v>
      </c>
      <c r="AL40" s="34" t="n">
        <v>1.14177525941258</v>
      </c>
      <c r="AM40" s="34" t="n">
        <v>0.00307746661590371</v>
      </c>
      <c r="AN40" s="34" t="n">
        <v>0.00463491547791117</v>
      </c>
      <c r="AO40" s="34" t="n">
        <v>0.0072689182604325</v>
      </c>
      <c r="AP40" s="34" t="n">
        <v>0.0105967416979711</v>
      </c>
      <c r="AQ40" s="34" t="n">
        <v>0.00448871684282864</v>
      </c>
      <c r="AR40" s="34" t="n">
        <v>0.0256722114395425</v>
      </c>
      <c r="AS40" s="34" t="n">
        <v>0.219615759804005</v>
      </c>
      <c r="AT40" s="34" t="n">
        <v>0.0745926161562716</v>
      </c>
      <c r="AU40" s="34" t="n">
        <v>0.225819173689285</v>
      </c>
      <c r="AV40" s="34" t="n">
        <v>0.00107388214387639</v>
      </c>
      <c r="AW40" s="34" t="n">
        <v>0.000760472335216934</v>
      </c>
      <c r="AX40" s="34" t="n">
        <v>0.00865258956121222</v>
      </c>
      <c r="AY40" s="34" t="n">
        <v>0.000404574098214636</v>
      </c>
      <c r="AZ40" s="34" t="n">
        <v>0.00726841043193563</v>
      </c>
      <c r="BA40" s="34" t="n">
        <v>0.000879811000286045</v>
      </c>
      <c r="BB40" s="34" t="n">
        <v>0.00149617874071337</v>
      </c>
      <c r="BC40" s="34" t="n">
        <v>0.00576718335277679</v>
      </c>
      <c r="BD40" s="34" t="n">
        <v>0.00290846954784305</v>
      </c>
      <c r="BE40" s="34" t="n">
        <v>0.00510925697794904</v>
      </c>
      <c r="BF40" s="34" t="n">
        <v>0.00157155553279974</v>
      </c>
      <c r="BG40" s="34" t="n">
        <v>0.00329208005290303</v>
      </c>
      <c r="BH40" s="34" t="n">
        <v>0.00249664287124899</v>
      </c>
      <c r="BI40" s="34" t="n">
        <v>0.00255877100490676</v>
      </c>
      <c r="BJ40" s="34" t="n">
        <v>0.00651382332996989</v>
      </c>
      <c r="BK40" s="34" t="n">
        <v>0.0043935776615174</v>
      </c>
      <c r="BL40" s="34" t="n">
        <v>0.000947057232238229</v>
      </c>
      <c r="BM40" s="34" t="n">
        <v>0.0227434202090096</v>
      </c>
      <c r="BN40" s="34" t="n">
        <v>0.00638328473960671</v>
      </c>
      <c r="BO40" s="34" t="n">
        <v>0.00223746900707846</v>
      </c>
      <c r="BP40" s="34" t="n">
        <v>0.0103107491150753</v>
      </c>
      <c r="BQ40" s="34" t="n">
        <v>0.00487584886924759</v>
      </c>
      <c r="BR40" s="34" t="n">
        <v>0.000901455026654886</v>
      </c>
      <c r="BS40" s="34" t="n">
        <v>0.00415927356796269</v>
      </c>
      <c r="BT40" s="34" t="n">
        <v>0</v>
      </c>
    </row>
    <row r="41" customFormat="false" ht="11.25" hidden="false" customHeight="true" outlineLevel="0" collapsed="false">
      <c r="B41" s="19" t="s">
        <v>133</v>
      </c>
      <c r="C41" s="20" t="s">
        <v>134</v>
      </c>
      <c r="D41" s="19" t="n">
        <v>35</v>
      </c>
      <c r="E41" s="33" t="n">
        <v>0.00239169461828652</v>
      </c>
      <c r="F41" s="33" t="n">
        <v>0.000933206108075344</v>
      </c>
      <c r="G41" s="33" t="n">
        <v>0.00015971777646724</v>
      </c>
      <c r="H41" s="33" t="n">
        <v>0.000548154427191892</v>
      </c>
      <c r="I41" s="33" t="n">
        <v>0.00472617879491774</v>
      </c>
      <c r="J41" s="33" t="n">
        <v>0.00276598360474159</v>
      </c>
      <c r="K41" s="33" t="n">
        <v>0.000746611265531419</v>
      </c>
      <c r="L41" s="33" t="n">
        <v>0.00663936944741599</v>
      </c>
      <c r="M41" s="33" t="n">
        <v>0.000892580199125672</v>
      </c>
      <c r="N41" s="33" t="n">
        <v>0.00500952786346407</v>
      </c>
      <c r="O41" s="33" t="n">
        <v>0.00149801337939933</v>
      </c>
      <c r="P41" s="33" t="n">
        <v>0.000152945818068954</v>
      </c>
      <c r="Q41" s="33" t="n">
        <v>0.000582760033026071</v>
      </c>
      <c r="R41" s="33" t="n">
        <v>0.000769129340277274</v>
      </c>
      <c r="S41" s="33" t="n">
        <v>0.000495097515425683</v>
      </c>
      <c r="T41" s="33" t="n">
        <v>0.000806774427372943</v>
      </c>
      <c r="U41" s="33" t="n">
        <v>0.00337939840949808</v>
      </c>
      <c r="V41" s="33" t="n">
        <v>0.000598201120024168</v>
      </c>
      <c r="W41" s="33" t="n">
        <v>0.00451526095965896</v>
      </c>
      <c r="X41" s="33" t="n">
        <v>0.000718394019620004</v>
      </c>
      <c r="Y41" s="33" t="n">
        <v>0.00267178456986584</v>
      </c>
      <c r="Z41" s="33" t="n">
        <v>0.00159117170659163</v>
      </c>
      <c r="AA41" s="33" t="n">
        <v>0.000715283354755605</v>
      </c>
      <c r="AB41" s="33" t="n">
        <v>0.00137929577334494</v>
      </c>
      <c r="AC41" s="33" t="n">
        <v>0.00196938501832774</v>
      </c>
      <c r="AD41" s="33" t="n">
        <v>0.00249900506522226</v>
      </c>
      <c r="AE41" s="33" t="n">
        <v>0.0066584436410619</v>
      </c>
      <c r="AF41" s="33" t="n">
        <v>0.00223640974028589</v>
      </c>
      <c r="AG41" s="33" t="n">
        <v>0.00359345374715774</v>
      </c>
      <c r="AH41" s="33" t="n">
        <v>0.000864687356897887</v>
      </c>
      <c r="AI41" s="33" t="n">
        <v>0.00234489568554406</v>
      </c>
      <c r="AJ41" s="33" t="n">
        <v>0.00563465160011599</v>
      </c>
      <c r="AK41" s="33" t="n">
        <v>0.00288397090307308</v>
      </c>
      <c r="AL41" s="33" t="n">
        <v>0.00190690907573203</v>
      </c>
      <c r="AM41" s="33" t="n">
        <v>1.14401013609099</v>
      </c>
      <c r="AN41" s="33" t="n">
        <v>0.00145992940524089</v>
      </c>
      <c r="AO41" s="33" t="n">
        <v>0.03169895594171</v>
      </c>
      <c r="AP41" s="33" t="n">
        <v>0.00260960078252799</v>
      </c>
      <c r="AQ41" s="33" t="n">
        <v>0.00104074871774049</v>
      </c>
      <c r="AR41" s="33" t="n">
        <v>0.00784857951292896</v>
      </c>
      <c r="AS41" s="33" t="n">
        <v>0.00338446862007414</v>
      </c>
      <c r="AT41" s="33" t="n">
        <v>0.0108955903580415</v>
      </c>
      <c r="AU41" s="33" t="n">
        <v>0.0165718696500925</v>
      </c>
      <c r="AV41" s="33" t="n">
        <v>0.0010275281117897</v>
      </c>
      <c r="AW41" s="33" t="n">
        <v>0.000335028364380593</v>
      </c>
      <c r="AX41" s="33" t="n">
        <v>0.00232369510914333</v>
      </c>
      <c r="AY41" s="33" t="n">
        <v>9.22188857884603E-005</v>
      </c>
      <c r="AZ41" s="33" t="n">
        <v>0.00148477016397082</v>
      </c>
      <c r="BA41" s="33" t="n">
        <v>0.000346603873368051</v>
      </c>
      <c r="BB41" s="33" t="n">
        <v>0.000343681237575972</v>
      </c>
      <c r="BC41" s="33" t="n">
        <v>0.0014832331897498</v>
      </c>
      <c r="BD41" s="33" t="n">
        <v>0.00140734923199628</v>
      </c>
      <c r="BE41" s="33" t="n">
        <v>0.00133196843945846</v>
      </c>
      <c r="BF41" s="33" t="n">
        <v>0.000463165159607143</v>
      </c>
      <c r="BG41" s="33" t="n">
        <v>0.00112982431944115</v>
      </c>
      <c r="BH41" s="33" t="n">
        <v>0.000823164025438598</v>
      </c>
      <c r="BI41" s="33" t="n">
        <v>0.000768997122542629</v>
      </c>
      <c r="BJ41" s="33" t="n">
        <v>0.000804260365203598</v>
      </c>
      <c r="BK41" s="33" t="n">
        <v>0.0015066706741507</v>
      </c>
      <c r="BL41" s="33" t="n">
        <v>0.000193119341158995</v>
      </c>
      <c r="BM41" s="33" t="n">
        <v>0.0056715004930854</v>
      </c>
      <c r="BN41" s="33" t="n">
        <v>0.0006126879578553</v>
      </c>
      <c r="BO41" s="33" t="n">
        <v>0.000394700529481325</v>
      </c>
      <c r="BP41" s="33" t="n">
        <v>0.00159227034916323</v>
      </c>
      <c r="BQ41" s="33" t="n">
        <v>0.00199478684946752</v>
      </c>
      <c r="BR41" s="33" t="n">
        <v>0.000383647277153833</v>
      </c>
      <c r="BS41" s="33" t="n">
        <v>0.00243009150346165</v>
      </c>
      <c r="BT41" s="33" t="n">
        <v>0</v>
      </c>
    </row>
    <row r="42" customFormat="false" ht="11.25" hidden="false" customHeight="true" outlineLevel="0" collapsed="false">
      <c r="B42" s="24" t="s">
        <v>135</v>
      </c>
      <c r="C42" s="25" t="s">
        <v>136</v>
      </c>
      <c r="D42" s="24" t="n">
        <v>36</v>
      </c>
      <c r="E42" s="34" t="n">
        <v>0.00339771399062553</v>
      </c>
      <c r="F42" s="34" t="n">
        <v>0.00142017973738962</v>
      </c>
      <c r="G42" s="34" t="n">
        <v>0.000215472711503277</v>
      </c>
      <c r="H42" s="34" t="n">
        <v>0.000349844469991946</v>
      </c>
      <c r="I42" s="34" t="n">
        <v>0.00383687700947423</v>
      </c>
      <c r="J42" s="34" t="n">
        <v>0.00216714895824795</v>
      </c>
      <c r="K42" s="34" t="n">
        <v>0.000438980661366809</v>
      </c>
      <c r="L42" s="34" t="n">
        <v>0.00806751276535447</v>
      </c>
      <c r="M42" s="34" t="n">
        <v>0.000779813557262662</v>
      </c>
      <c r="N42" s="34" t="n">
        <v>0.00701365766092617</v>
      </c>
      <c r="O42" s="34" t="n">
        <v>0.00224196194981621</v>
      </c>
      <c r="P42" s="34" t="n">
        <v>0.000189637107802445</v>
      </c>
      <c r="Q42" s="34" t="n">
        <v>0.00174597033636093</v>
      </c>
      <c r="R42" s="34" t="n">
        <v>0.0119567122521345</v>
      </c>
      <c r="S42" s="34" t="n">
        <v>0.00248467776046003</v>
      </c>
      <c r="T42" s="34" t="n">
        <v>0.000958181226617576</v>
      </c>
      <c r="U42" s="34" t="n">
        <v>0.00254684476790999</v>
      </c>
      <c r="V42" s="34" t="n">
        <v>0.000312755613219936</v>
      </c>
      <c r="W42" s="34" t="n">
        <v>0.00381175965937524</v>
      </c>
      <c r="X42" s="34" t="n">
        <v>0.000671012369938057</v>
      </c>
      <c r="Y42" s="34" t="n">
        <v>0.00367012776214941</v>
      </c>
      <c r="Z42" s="34" t="n">
        <v>0.00265820116269372</v>
      </c>
      <c r="AA42" s="34" t="n">
        <v>0.00112609312105306</v>
      </c>
      <c r="AB42" s="34" t="n">
        <v>0.00188130766974742</v>
      </c>
      <c r="AC42" s="34" t="n">
        <v>0.00459903464065322</v>
      </c>
      <c r="AD42" s="34" t="n">
        <v>0.0031158604889071</v>
      </c>
      <c r="AE42" s="34" t="n">
        <v>0.00277421416978791</v>
      </c>
      <c r="AF42" s="34" t="n">
        <v>0.00117177610161167</v>
      </c>
      <c r="AG42" s="34" t="n">
        <v>0.00289095536678521</v>
      </c>
      <c r="AH42" s="34" t="n">
        <v>0.0020242599849054</v>
      </c>
      <c r="AI42" s="34" t="n">
        <v>0.00244956484444789</v>
      </c>
      <c r="AJ42" s="34" t="n">
        <v>0.00857854328848769</v>
      </c>
      <c r="AK42" s="34" t="n">
        <v>0.00770855683127816</v>
      </c>
      <c r="AL42" s="34" t="n">
        <v>0.00657871695849559</v>
      </c>
      <c r="AM42" s="34" t="n">
        <v>0.000919943482592166</v>
      </c>
      <c r="AN42" s="34" t="n">
        <v>1.02819370802035</v>
      </c>
      <c r="AO42" s="34" t="n">
        <v>0.00301426389070736</v>
      </c>
      <c r="AP42" s="34" t="n">
        <v>0.00254999209255424</v>
      </c>
      <c r="AQ42" s="34" t="n">
        <v>0.00118685866915323</v>
      </c>
      <c r="AR42" s="34" t="n">
        <v>0.0175306954496536</v>
      </c>
      <c r="AS42" s="34" t="n">
        <v>0.00295945153601976</v>
      </c>
      <c r="AT42" s="34" t="n">
        <v>0.0146906696346979</v>
      </c>
      <c r="AU42" s="34" t="n">
        <v>0.00532928303749364</v>
      </c>
      <c r="AV42" s="34" t="n">
        <v>0.00132374274162371</v>
      </c>
      <c r="AW42" s="34" t="n">
        <v>0.000275670167209857</v>
      </c>
      <c r="AX42" s="34" t="n">
        <v>0.00276587543030864</v>
      </c>
      <c r="AY42" s="34" t="n">
        <v>0.000213016873233095</v>
      </c>
      <c r="AZ42" s="34" t="n">
        <v>0.00212379087317215</v>
      </c>
      <c r="BA42" s="34" t="n">
        <v>0.000257914094935796</v>
      </c>
      <c r="BB42" s="34" t="n">
        <v>0.000884735052125515</v>
      </c>
      <c r="BC42" s="34" t="n">
        <v>0.00212329886201495</v>
      </c>
      <c r="BD42" s="34" t="n">
        <v>0.00190435951061061</v>
      </c>
      <c r="BE42" s="34" t="n">
        <v>0.00374739762928904</v>
      </c>
      <c r="BF42" s="34" t="n">
        <v>0.00193662392324028</v>
      </c>
      <c r="BG42" s="34" t="n">
        <v>0.00332608876797301</v>
      </c>
      <c r="BH42" s="34" t="n">
        <v>0.003565991371427</v>
      </c>
      <c r="BI42" s="34" t="n">
        <v>0.00382432644497428</v>
      </c>
      <c r="BJ42" s="34" t="n">
        <v>0.00467409127367282</v>
      </c>
      <c r="BK42" s="34" t="n">
        <v>0.00283121217207826</v>
      </c>
      <c r="BL42" s="34" t="n">
        <v>0.000335381636919475</v>
      </c>
      <c r="BM42" s="34" t="n">
        <v>0.0111768981597658</v>
      </c>
      <c r="BN42" s="34" t="n">
        <v>0.00889015755873041</v>
      </c>
      <c r="BO42" s="34" t="n">
        <v>0.000912357080727416</v>
      </c>
      <c r="BP42" s="34" t="n">
        <v>0.0358638951028512</v>
      </c>
      <c r="BQ42" s="34" t="n">
        <v>0.12621607337001</v>
      </c>
      <c r="BR42" s="34" t="n">
        <v>0.00144706390519717</v>
      </c>
      <c r="BS42" s="34" t="n">
        <v>0.00223040827691483</v>
      </c>
      <c r="BT42" s="34" t="n">
        <v>0</v>
      </c>
    </row>
    <row r="43" customFormat="false" ht="11.25" hidden="false" customHeight="true" outlineLevel="0" collapsed="false">
      <c r="B43" s="19" t="s">
        <v>137</v>
      </c>
      <c r="C43" s="20" t="s">
        <v>138</v>
      </c>
      <c r="D43" s="19" t="n">
        <v>37</v>
      </c>
      <c r="E43" s="33" t="n">
        <v>0.0316533603734018</v>
      </c>
      <c r="F43" s="33" t="n">
        <v>0.0119275792004838</v>
      </c>
      <c r="G43" s="33" t="n">
        <v>0.00240461181046857</v>
      </c>
      <c r="H43" s="33" t="n">
        <v>0.012054317874873</v>
      </c>
      <c r="I43" s="33" t="n">
        <v>0.077270304062451</v>
      </c>
      <c r="J43" s="33" t="n">
        <v>0.0365428024679327</v>
      </c>
      <c r="K43" s="33" t="n">
        <v>0.012967592561955</v>
      </c>
      <c r="L43" s="33" t="n">
        <v>0.0748482149663054</v>
      </c>
      <c r="M43" s="33" t="n">
        <v>0.0147901228829594</v>
      </c>
      <c r="N43" s="33" t="n">
        <v>0.054118806771594</v>
      </c>
      <c r="O43" s="33" t="n">
        <v>0.0171980915454972</v>
      </c>
      <c r="P43" s="33" t="n">
        <v>0.00175983398149425</v>
      </c>
      <c r="Q43" s="33" t="n">
        <v>0.00749448799706996</v>
      </c>
      <c r="R43" s="33" t="n">
        <v>0.00797237793991362</v>
      </c>
      <c r="S43" s="33" t="n">
        <v>0.00568941695666127</v>
      </c>
      <c r="T43" s="33" t="n">
        <v>0.0145579016143965</v>
      </c>
      <c r="U43" s="33" t="n">
        <v>0.0660641704326816</v>
      </c>
      <c r="V43" s="33" t="n">
        <v>0.014982117119822</v>
      </c>
      <c r="W43" s="33" t="n">
        <v>0.0731352740194315</v>
      </c>
      <c r="X43" s="33" t="n">
        <v>0.0116198739778839</v>
      </c>
      <c r="Y43" s="33" t="n">
        <v>0.0427320631583609</v>
      </c>
      <c r="Z43" s="33" t="n">
        <v>0.0224846642324687</v>
      </c>
      <c r="AA43" s="33" t="n">
        <v>0.008733679866643</v>
      </c>
      <c r="AB43" s="33" t="n">
        <v>0.0172377915319435</v>
      </c>
      <c r="AC43" s="33" t="n">
        <v>0.0248401765161951</v>
      </c>
      <c r="AD43" s="33" t="n">
        <v>0.049561704580532</v>
      </c>
      <c r="AE43" s="33" t="n">
        <v>0.143341376427933</v>
      </c>
      <c r="AF43" s="33" t="n">
        <v>0.0478918535590549</v>
      </c>
      <c r="AG43" s="33" t="n">
        <v>0.0472951102520292</v>
      </c>
      <c r="AH43" s="33" t="n">
        <v>0.00844193901300562</v>
      </c>
      <c r="AI43" s="33" t="n">
        <v>0.0266929771117497</v>
      </c>
      <c r="AJ43" s="33" t="n">
        <v>0.0510686343752794</v>
      </c>
      <c r="AK43" s="33" t="n">
        <v>0.0282587105520424</v>
      </c>
      <c r="AL43" s="33" t="n">
        <v>0.0254329749870841</v>
      </c>
      <c r="AM43" s="33" t="n">
        <v>0.00788579682771518</v>
      </c>
      <c r="AN43" s="33" t="n">
        <v>0.0216942238365527</v>
      </c>
      <c r="AO43" s="33" t="n">
        <v>1.02042835018657</v>
      </c>
      <c r="AP43" s="33" t="n">
        <v>0.0397996707639253</v>
      </c>
      <c r="AQ43" s="33" t="n">
        <v>0.0219143327102953</v>
      </c>
      <c r="AR43" s="33" t="n">
        <v>0.105905313160015</v>
      </c>
      <c r="AS43" s="33" t="n">
        <v>0.0200147579752578</v>
      </c>
      <c r="AT43" s="33" t="n">
        <v>0.140266531259992</v>
      </c>
      <c r="AU43" s="33" t="n">
        <v>0.0494441675833053</v>
      </c>
      <c r="AV43" s="33" t="n">
        <v>0.0262264046597391</v>
      </c>
      <c r="AW43" s="33" t="n">
        <v>0.00786697150929304</v>
      </c>
      <c r="AX43" s="33" t="n">
        <v>0.0481867281880334</v>
      </c>
      <c r="AY43" s="33" t="n">
        <v>0.00115388654746349</v>
      </c>
      <c r="AZ43" s="33" t="n">
        <v>0.0180336729606057</v>
      </c>
      <c r="BA43" s="33" t="n">
        <v>0.00712030686187056</v>
      </c>
      <c r="BB43" s="33" t="n">
        <v>0.00514790181773064</v>
      </c>
      <c r="BC43" s="33" t="n">
        <v>0.0191355109382834</v>
      </c>
      <c r="BD43" s="33" t="n">
        <v>0.0284825256928472</v>
      </c>
      <c r="BE43" s="33" t="n">
        <v>0.0219760518469375</v>
      </c>
      <c r="BF43" s="33" t="n">
        <v>0.0074648690142613</v>
      </c>
      <c r="BG43" s="33" t="n">
        <v>0.0206030190990686</v>
      </c>
      <c r="BH43" s="33" t="n">
        <v>0.00519852008515248</v>
      </c>
      <c r="BI43" s="33" t="n">
        <v>0.0130544846393362</v>
      </c>
      <c r="BJ43" s="33" t="n">
        <v>0.0173706447385851</v>
      </c>
      <c r="BK43" s="33" t="n">
        <v>0.0257746686865212</v>
      </c>
      <c r="BL43" s="33" t="n">
        <v>0.00397330979920656</v>
      </c>
      <c r="BM43" s="33" t="n">
        <v>0.0373691422996033</v>
      </c>
      <c r="BN43" s="33" t="n">
        <v>0.00824362955744729</v>
      </c>
      <c r="BO43" s="33" t="n">
        <v>0.0047430942034339</v>
      </c>
      <c r="BP43" s="33" t="n">
        <v>0.0242453443432244</v>
      </c>
      <c r="BQ43" s="33" t="n">
        <v>0.0172188391559012</v>
      </c>
      <c r="BR43" s="33" t="n">
        <v>0.00789257762490154</v>
      </c>
      <c r="BS43" s="33" t="n">
        <v>0.0166503532111958</v>
      </c>
      <c r="BT43" s="33" t="n">
        <v>0</v>
      </c>
    </row>
    <row r="44" customFormat="false" ht="11.25" hidden="false" customHeight="true" outlineLevel="0" collapsed="false">
      <c r="B44" s="24" t="s">
        <v>139</v>
      </c>
      <c r="C44" s="25" t="s">
        <v>140</v>
      </c>
      <c r="D44" s="24" t="n">
        <v>38</v>
      </c>
      <c r="E44" s="34" t="n">
        <v>0.0577421925626202</v>
      </c>
      <c r="F44" s="34" t="n">
        <v>0.0307254367443825</v>
      </c>
      <c r="G44" s="34" t="n">
        <v>0.00258088945749371</v>
      </c>
      <c r="H44" s="34" t="n">
        <v>0.00357342204663392</v>
      </c>
      <c r="I44" s="34" t="n">
        <v>0.00997490414699128</v>
      </c>
      <c r="J44" s="34" t="n">
        <v>0.00952101879171782</v>
      </c>
      <c r="K44" s="34" t="n">
        <v>0.00292286679667936</v>
      </c>
      <c r="L44" s="34" t="n">
        <v>0.0655668038987069</v>
      </c>
      <c r="M44" s="34" t="n">
        <v>0.00608677306817748</v>
      </c>
      <c r="N44" s="34" t="n">
        <v>0.0531409684337651</v>
      </c>
      <c r="O44" s="34" t="n">
        <v>0.00875325612179333</v>
      </c>
      <c r="P44" s="34" t="n">
        <v>0.00165320326586882</v>
      </c>
      <c r="Q44" s="34" t="n">
        <v>0.0107077722447462</v>
      </c>
      <c r="R44" s="34" t="n">
        <v>0.00601392222702601</v>
      </c>
      <c r="S44" s="34" t="n">
        <v>0.00418280227869593</v>
      </c>
      <c r="T44" s="34" t="n">
        <v>0.00698962126990593</v>
      </c>
      <c r="U44" s="34" t="n">
        <v>0.0214023340134061</v>
      </c>
      <c r="V44" s="34" t="n">
        <v>0.0011799771308544</v>
      </c>
      <c r="W44" s="34" t="n">
        <v>0.014982638317697</v>
      </c>
      <c r="X44" s="34" t="n">
        <v>0.00679253600850671</v>
      </c>
      <c r="Y44" s="34" t="n">
        <v>0.0327286003577805</v>
      </c>
      <c r="Z44" s="34" t="n">
        <v>0.0125229276231949</v>
      </c>
      <c r="AA44" s="34" t="n">
        <v>0.00460728476432162</v>
      </c>
      <c r="AB44" s="34" t="n">
        <v>0.00767171337150813</v>
      </c>
      <c r="AC44" s="34" t="n">
        <v>0.0213726601141394</v>
      </c>
      <c r="AD44" s="34" t="n">
        <v>0.0223552590898957</v>
      </c>
      <c r="AE44" s="34" t="n">
        <v>0.0246163406381096</v>
      </c>
      <c r="AF44" s="34" t="n">
        <v>0.0192310466040147</v>
      </c>
      <c r="AG44" s="34" t="n">
        <v>0.0173854443559365</v>
      </c>
      <c r="AH44" s="34" t="n">
        <v>0.00527221950602786</v>
      </c>
      <c r="AI44" s="34" t="n">
        <v>0.0120343598799981</v>
      </c>
      <c r="AJ44" s="34" t="n">
        <v>0.017318029632532</v>
      </c>
      <c r="AK44" s="34" t="n">
        <v>0.0119709848894937</v>
      </c>
      <c r="AL44" s="34" t="n">
        <v>0.0101482710232558</v>
      </c>
      <c r="AM44" s="34" t="n">
        <v>0.00245977943437638</v>
      </c>
      <c r="AN44" s="34" t="n">
        <v>0.00796563908093499</v>
      </c>
      <c r="AO44" s="34" t="n">
        <v>0.00438901586320997</v>
      </c>
      <c r="AP44" s="34" t="n">
        <v>1.45480685530431</v>
      </c>
      <c r="AQ44" s="34" t="n">
        <v>0.0206439272672683</v>
      </c>
      <c r="AR44" s="34" t="n">
        <v>0.0341402906525793</v>
      </c>
      <c r="AS44" s="34" t="n">
        <v>0.0120448898661681</v>
      </c>
      <c r="AT44" s="34" t="n">
        <v>0.144696183455062</v>
      </c>
      <c r="AU44" s="34" t="n">
        <v>0.0191642849997285</v>
      </c>
      <c r="AV44" s="34" t="n">
        <v>0.00101835770383042</v>
      </c>
      <c r="AW44" s="34" t="n">
        <v>0.000905127602915445</v>
      </c>
      <c r="AX44" s="34" t="n">
        <v>0.00959717984987905</v>
      </c>
      <c r="AY44" s="34" t="n">
        <v>0.00648360926374509</v>
      </c>
      <c r="AZ44" s="34" t="n">
        <v>0.0187060120617898</v>
      </c>
      <c r="BA44" s="34" t="n">
        <v>0.00165967495766294</v>
      </c>
      <c r="BB44" s="34" t="n">
        <v>0.00427664074472973</v>
      </c>
      <c r="BC44" s="34" t="n">
        <v>0.0215266034265452</v>
      </c>
      <c r="BD44" s="34" t="n">
        <v>0.00930433513773593</v>
      </c>
      <c r="BE44" s="34" t="n">
        <v>0.0231377139320321</v>
      </c>
      <c r="BF44" s="34" t="n">
        <v>0.00708265903739671</v>
      </c>
      <c r="BG44" s="34" t="n">
        <v>0.0122371114382948</v>
      </c>
      <c r="BH44" s="34" t="n">
        <v>0.00279128042827855</v>
      </c>
      <c r="BI44" s="34" t="n">
        <v>0.00720973411563833</v>
      </c>
      <c r="BJ44" s="34" t="n">
        <v>0.00225459413151433</v>
      </c>
      <c r="BK44" s="34" t="n">
        <v>0.0414839197475102</v>
      </c>
      <c r="BL44" s="34" t="n">
        <v>0.00115591776156062</v>
      </c>
      <c r="BM44" s="34" t="n">
        <v>0.0382885371223639</v>
      </c>
      <c r="BN44" s="34" t="n">
        <v>0.011091016081652</v>
      </c>
      <c r="BO44" s="34" t="n">
        <v>0.0147946898912587</v>
      </c>
      <c r="BP44" s="34" t="n">
        <v>0.0126580131383586</v>
      </c>
      <c r="BQ44" s="34" t="n">
        <v>0.0144355715578204</v>
      </c>
      <c r="BR44" s="34" t="n">
        <v>0.00615848933532723</v>
      </c>
      <c r="BS44" s="34" t="n">
        <v>0.0203649313615387</v>
      </c>
      <c r="BT44" s="34" t="n">
        <v>0</v>
      </c>
    </row>
    <row r="45" customFormat="false" ht="11.25" hidden="false" customHeight="true" outlineLevel="0" collapsed="false">
      <c r="B45" s="19" t="s">
        <v>141</v>
      </c>
      <c r="C45" s="20" t="s">
        <v>142</v>
      </c>
      <c r="D45" s="19" t="n">
        <v>39</v>
      </c>
      <c r="E45" s="33" t="n">
        <v>0.015331554431066</v>
      </c>
      <c r="F45" s="33" t="n">
        <v>0.00524253357116624</v>
      </c>
      <c r="G45" s="33" t="n">
        <v>0.000481973257710352</v>
      </c>
      <c r="H45" s="33" t="n">
        <v>0.00139252073629713</v>
      </c>
      <c r="I45" s="33" t="n">
        <v>0.0149864145716888</v>
      </c>
      <c r="J45" s="33" t="n">
        <v>0.00932361174553112</v>
      </c>
      <c r="K45" s="33" t="n">
        <v>0.00213890859625764</v>
      </c>
      <c r="L45" s="33" t="n">
        <v>0.0344474534584761</v>
      </c>
      <c r="M45" s="33" t="n">
        <v>0.00377338985988565</v>
      </c>
      <c r="N45" s="33" t="n">
        <v>0.0295309176532992</v>
      </c>
      <c r="O45" s="33" t="n">
        <v>0.0129709915747972</v>
      </c>
      <c r="P45" s="33" t="n">
        <v>0.000855026301631878</v>
      </c>
      <c r="Q45" s="33" t="n">
        <v>0.00384804030787326</v>
      </c>
      <c r="R45" s="33" t="n">
        <v>0.00316784093174775</v>
      </c>
      <c r="S45" s="33" t="n">
        <v>0.00264215977433803</v>
      </c>
      <c r="T45" s="33" t="n">
        <v>0.00588700353009303</v>
      </c>
      <c r="U45" s="33" t="n">
        <v>0.0150741925369989</v>
      </c>
      <c r="V45" s="33" t="n">
        <v>0.000814571623061776</v>
      </c>
      <c r="W45" s="33" t="n">
        <v>0.022358112496962</v>
      </c>
      <c r="X45" s="33" t="n">
        <v>0.00361817167265336</v>
      </c>
      <c r="Y45" s="33" t="n">
        <v>0.0209159723597882</v>
      </c>
      <c r="Z45" s="33" t="n">
        <v>0.0156547392783764</v>
      </c>
      <c r="AA45" s="33" t="n">
        <v>0.00504277567738892</v>
      </c>
      <c r="AB45" s="33" t="n">
        <v>0.00638983685342165</v>
      </c>
      <c r="AC45" s="33" t="n">
        <v>0.0169690980992383</v>
      </c>
      <c r="AD45" s="33" t="n">
        <v>0.0179358170203371</v>
      </c>
      <c r="AE45" s="33" t="n">
        <v>0.0753241309649348</v>
      </c>
      <c r="AF45" s="33" t="n">
        <v>0.0373784986797377</v>
      </c>
      <c r="AG45" s="33" t="n">
        <v>0.0228141563850052</v>
      </c>
      <c r="AH45" s="33" t="n">
        <v>0.00441404735239924</v>
      </c>
      <c r="AI45" s="33" t="n">
        <v>0.0130084136661564</v>
      </c>
      <c r="AJ45" s="33" t="n">
        <v>0.0185955666562537</v>
      </c>
      <c r="AK45" s="33" t="n">
        <v>0.0148098299304803</v>
      </c>
      <c r="AL45" s="33" t="n">
        <v>0.0134817727421342</v>
      </c>
      <c r="AM45" s="33" t="n">
        <v>0.0033275827366806</v>
      </c>
      <c r="AN45" s="33" t="n">
        <v>0.00742376855493604</v>
      </c>
      <c r="AO45" s="33" t="n">
        <v>0.00481926166049062</v>
      </c>
      <c r="AP45" s="33" t="n">
        <v>0.00882873417138884</v>
      </c>
      <c r="AQ45" s="33" t="n">
        <v>1.01664269386505</v>
      </c>
      <c r="AR45" s="33" t="n">
        <v>0.0394483702650233</v>
      </c>
      <c r="AS45" s="33" t="n">
        <v>0.0113604781865965</v>
      </c>
      <c r="AT45" s="33" t="n">
        <v>0.103909346047074</v>
      </c>
      <c r="AU45" s="33" t="n">
        <v>0.0199717251912169</v>
      </c>
      <c r="AV45" s="33" t="n">
        <v>0.00104090307753001</v>
      </c>
      <c r="AW45" s="33" t="n">
        <v>0.00109505803275398</v>
      </c>
      <c r="AX45" s="33" t="n">
        <v>0.0146029412353732</v>
      </c>
      <c r="AY45" s="33" t="n">
        <v>0.00571626782406844</v>
      </c>
      <c r="AZ45" s="33" t="n">
        <v>0.0222290030515678</v>
      </c>
      <c r="BA45" s="33" t="n">
        <v>0.00123844601938442</v>
      </c>
      <c r="BB45" s="33" t="n">
        <v>0.00277020864895153</v>
      </c>
      <c r="BC45" s="33" t="n">
        <v>0.0137371178511344</v>
      </c>
      <c r="BD45" s="33" t="n">
        <v>0.00801741111424557</v>
      </c>
      <c r="BE45" s="33" t="n">
        <v>0.0221126509525293</v>
      </c>
      <c r="BF45" s="33" t="n">
        <v>0.00849247896547779</v>
      </c>
      <c r="BG45" s="33" t="n">
        <v>0.0148203007187083</v>
      </c>
      <c r="BH45" s="33" t="n">
        <v>0.00252287272213349</v>
      </c>
      <c r="BI45" s="33" t="n">
        <v>0.00497274119814763</v>
      </c>
      <c r="BJ45" s="33" t="n">
        <v>0.00216811100236477</v>
      </c>
      <c r="BK45" s="33" t="n">
        <v>0.0758654357143337</v>
      </c>
      <c r="BL45" s="33" t="n">
        <v>0.0010708821529328</v>
      </c>
      <c r="BM45" s="33" t="n">
        <v>0.128754137271445</v>
      </c>
      <c r="BN45" s="33" t="n">
        <v>0.0220126917764847</v>
      </c>
      <c r="BO45" s="33" t="n">
        <v>0.00679537940488503</v>
      </c>
      <c r="BP45" s="33" t="n">
        <v>0.0284071714666514</v>
      </c>
      <c r="BQ45" s="33" t="n">
        <v>0.0326278820949595</v>
      </c>
      <c r="BR45" s="33" t="n">
        <v>0.00266487766076773</v>
      </c>
      <c r="BS45" s="33" t="n">
        <v>0.0330112713155919</v>
      </c>
      <c r="BT45" s="33" t="n">
        <v>0</v>
      </c>
    </row>
    <row r="46" customFormat="false" ht="11.25" hidden="false" customHeight="true" outlineLevel="0" collapsed="false">
      <c r="B46" s="24" t="s">
        <v>143</v>
      </c>
      <c r="C46" s="25" t="s">
        <v>144</v>
      </c>
      <c r="D46" s="24" t="n">
        <v>40</v>
      </c>
      <c r="E46" s="34" t="n">
        <v>0.00132183438289785</v>
      </c>
      <c r="F46" s="34" t="n">
        <v>0.000802742538749292</v>
      </c>
      <c r="G46" s="34" t="n">
        <v>7.6213031263717E-005</v>
      </c>
      <c r="H46" s="34" t="n">
        <v>0.00010719301839331</v>
      </c>
      <c r="I46" s="34" t="n">
        <v>0.00452398470518117</v>
      </c>
      <c r="J46" s="34" t="n">
        <v>0.00763766478482466</v>
      </c>
      <c r="K46" s="34" t="n">
        <v>0.00092872857035742</v>
      </c>
      <c r="L46" s="34" t="n">
        <v>0.00327130149557474</v>
      </c>
      <c r="M46" s="34" t="n">
        <v>0.000376099295496175</v>
      </c>
      <c r="N46" s="34" t="n">
        <v>0.00246648967099612</v>
      </c>
      <c r="O46" s="34" t="n">
        <v>0.000624983937982839</v>
      </c>
      <c r="P46" s="34" t="n">
        <v>8.45123066236895E-005</v>
      </c>
      <c r="Q46" s="34" t="n">
        <v>0.000321443779856085</v>
      </c>
      <c r="R46" s="34" t="n">
        <v>0.000291746532806439</v>
      </c>
      <c r="S46" s="34" t="n">
        <v>0.000219493297824066</v>
      </c>
      <c r="T46" s="34" t="n">
        <v>0.000224022103850526</v>
      </c>
      <c r="U46" s="34" t="n">
        <v>0.00106900477486196</v>
      </c>
      <c r="V46" s="34" t="n">
        <v>0.000114571928715831</v>
      </c>
      <c r="W46" s="34" t="n">
        <v>0.00343957893682161</v>
      </c>
      <c r="X46" s="34" t="n">
        <v>0.000359460287416269</v>
      </c>
      <c r="Y46" s="34" t="n">
        <v>0.00124791318342102</v>
      </c>
      <c r="Z46" s="34" t="n">
        <v>0.000795020317453595</v>
      </c>
      <c r="AA46" s="34" t="n">
        <v>0.000291715672733805</v>
      </c>
      <c r="AB46" s="34" t="n">
        <v>0.000558043288047443</v>
      </c>
      <c r="AC46" s="34" t="n">
        <v>0.000867487209002744</v>
      </c>
      <c r="AD46" s="34" t="n">
        <v>0.000793310400150904</v>
      </c>
      <c r="AE46" s="34" t="n">
        <v>0.00370965730579461</v>
      </c>
      <c r="AF46" s="34" t="n">
        <v>0.00592559397205206</v>
      </c>
      <c r="AG46" s="34" t="n">
        <v>0.00163530534668262</v>
      </c>
      <c r="AH46" s="34" t="n">
        <v>0.000626997827374991</v>
      </c>
      <c r="AI46" s="34" t="n">
        <v>0.00139725965940358</v>
      </c>
      <c r="AJ46" s="34" t="n">
        <v>0.00166056907370386</v>
      </c>
      <c r="AK46" s="34" t="n">
        <v>0.00157217742355342</v>
      </c>
      <c r="AL46" s="34" t="n">
        <v>0.000994202881231962</v>
      </c>
      <c r="AM46" s="34" t="n">
        <v>0.000613636307517415</v>
      </c>
      <c r="AN46" s="34" t="n">
        <v>0.000630988627019385</v>
      </c>
      <c r="AO46" s="34" t="n">
        <v>0.000454975077181952</v>
      </c>
      <c r="AP46" s="34" t="n">
        <v>0.00109433419609683</v>
      </c>
      <c r="AQ46" s="34" t="n">
        <v>0.00853705439044795</v>
      </c>
      <c r="AR46" s="34" t="n">
        <v>1.10849147314187</v>
      </c>
      <c r="AS46" s="34" t="n">
        <v>0.00160890346411615</v>
      </c>
      <c r="AT46" s="34" t="n">
        <v>0.00890056913265624</v>
      </c>
      <c r="AU46" s="34" t="n">
        <v>0.00264525232906574</v>
      </c>
      <c r="AV46" s="34" t="n">
        <v>0.000221951168370366</v>
      </c>
      <c r="AW46" s="34" t="n">
        <v>0.000227326285378955</v>
      </c>
      <c r="AX46" s="34" t="n">
        <v>0.00372645504536726</v>
      </c>
      <c r="AY46" s="34" t="n">
        <v>0.000511188512695904</v>
      </c>
      <c r="AZ46" s="34" t="n">
        <v>0.00174748069131157</v>
      </c>
      <c r="BA46" s="34" t="n">
        <v>0.000129600625513521</v>
      </c>
      <c r="BB46" s="34" t="n">
        <v>0.000638417978856044</v>
      </c>
      <c r="BC46" s="34" t="n">
        <v>0.00811285047285415</v>
      </c>
      <c r="BD46" s="34" t="n">
        <v>0.00283294987486622</v>
      </c>
      <c r="BE46" s="34" t="n">
        <v>0.00447483165659129</v>
      </c>
      <c r="BF46" s="34" t="n">
        <v>0.00393889163448943</v>
      </c>
      <c r="BG46" s="34" t="n">
        <v>0.00155476377011241</v>
      </c>
      <c r="BH46" s="34" t="n">
        <v>0.0016328328657222</v>
      </c>
      <c r="BI46" s="34" t="n">
        <v>0.000991372741601443</v>
      </c>
      <c r="BJ46" s="34" t="n">
        <v>0.000614844626005542</v>
      </c>
      <c r="BK46" s="34" t="n">
        <v>0.0063688696266603</v>
      </c>
      <c r="BL46" s="34" t="n">
        <v>0.00012663176396291</v>
      </c>
      <c r="BM46" s="34" t="n">
        <v>0.0290892802214136</v>
      </c>
      <c r="BN46" s="34" t="n">
        <v>0.00352851638687862</v>
      </c>
      <c r="BO46" s="34" t="n">
        <v>0.00143183750216522</v>
      </c>
      <c r="BP46" s="34" t="n">
        <v>0.00884119704217512</v>
      </c>
      <c r="BQ46" s="34" t="n">
        <v>0.000924964402743983</v>
      </c>
      <c r="BR46" s="34" t="n">
        <v>0.000463083625501712</v>
      </c>
      <c r="BS46" s="34" t="n">
        <v>0.00177858764815605</v>
      </c>
      <c r="BT46" s="34" t="n">
        <v>0</v>
      </c>
    </row>
    <row r="47" customFormat="false" ht="11.25" hidden="false" customHeight="true" outlineLevel="0" collapsed="false">
      <c r="B47" s="19" t="s">
        <v>145</v>
      </c>
      <c r="C47" s="20" t="s">
        <v>146</v>
      </c>
      <c r="D47" s="19" t="n">
        <v>41</v>
      </c>
      <c r="E47" s="33" t="n">
        <v>0.0134120693835249</v>
      </c>
      <c r="F47" s="33" t="n">
        <v>0.00458791431068351</v>
      </c>
      <c r="G47" s="33" t="n">
        <v>0.000876555125586402</v>
      </c>
      <c r="H47" s="33" t="n">
        <v>0.00167212536871284</v>
      </c>
      <c r="I47" s="33" t="n">
        <v>0.0120254193242851</v>
      </c>
      <c r="J47" s="33" t="n">
        <v>0.0280739382830671</v>
      </c>
      <c r="K47" s="33" t="n">
        <v>0.00306648417289694</v>
      </c>
      <c r="L47" s="33" t="n">
        <v>0.0328253466874736</v>
      </c>
      <c r="M47" s="33" t="n">
        <v>0.00343855290554052</v>
      </c>
      <c r="N47" s="33" t="n">
        <v>0.0256562041518298</v>
      </c>
      <c r="O47" s="33" t="n">
        <v>0.00513627407995286</v>
      </c>
      <c r="P47" s="33" t="n">
        <v>0.000709757719772386</v>
      </c>
      <c r="Q47" s="33" t="n">
        <v>0.00254225977837103</v>
      </c>
      <c r="R47" s="33" t="n">
        <v>0.00242721951672766</v>
      </c>
      <c r="S47" s="33" t="n">
        <v>0.00221210805470802</v>
      </c>
      <c r="T47" s="33" t="n">
        <v>0.0021338893295877</v>
      </c>
      <c r="U47" s="33" t="n">
        <v>0.00912388188897699</v>
      </c>
      <c r="V47" s="33" t="n">
        <v>0.000576704783077034</v>
      </c>
      <c r="W47" s="33" t="n">
        <v>0.0137686912606766</v>
      </c>
      <c r="X47" s="33" t="n">
        <v>0.00286735717953518</v>
      </c>
      <c r="Y47" s="33" t="n">
        <v>0.00901476448184026</v>
      </c>
      <c r="Z47" s="33" t="n">
        <v>0.00638856861980797</v>
      </c>
      <c r="AA47" s="33" t="n">
        <v>0.00241507497794189</v>
      </c>
      <c r="AB47" s="33" t="n">
        <v>0.00597028434367325</v>
      </c>
      <c r="AC47" s="33" t="n">
        <v>0.0105361556943079</v>
      </c>
      <c r="AD47" s="33" t="n">
        <v>0.0111160429077611</v>
      </c>
      <c r="AE47" s="33" t="n">
        <v>0.0160780484685745</v>
      </c>
      <c r="AF47" s="33" t="n">
        <v>0.00537786692389649</v>
      </c>
      <c r="AG47" s="33" t="n">
        <v>0.00861905226012362</v>
      </c>
      <c r="AH47" s="33" t="n">
        <v>0.0105418336598891</v>
      </c>
      <c r="AI47" s="33" t="n">
        <v>0.00617203742602828</v>
      </c>
      <c r="AJ47" s="33" t="n">
        <v>0.0490158101413357</v>
      </c>
      <c r="AK47" s="33" t="n">
        <v>0.0133607001608322</v>
      </c>
      <c r="AL47" s="33" t="n">
        <v>0.00455208350975112</v>
      </c>
      <c r="AM47" s="33" t="n">
        <v>0.00133119200910356</v>
      </c>
      <c r="AN47" s="33" t="n">
        <v>0.00441770410194772</v>
      </c>
      <c r="AO47" s="33" t="n">
        <v>0.00517895196136496</v>
      </c>
      <c r="AP47" s="33" t="n">
        <v>0.0106009326678613</v>
      </c>
      <c r="AQ47" s="33" t="n">
        <v>0.0133699074174183</v>
      </c>
      <c r="AR47" s="33" t="n">
        <v>0.0241870661986687</v>
      </c>
      <c r="AS47" s="33" t="n">
        <v>1.0198967138501</v>
      </c>
      <c r="AT47" s="33" t="n">
        <v>0.0993043654453754</v>
      </c>
      <c r="AU47" s="33" t="n">
        <v>0.120429982691744</v>
      </c>
      <c r="AV47" s="33" t="n">
        <v>0.00112366506711088</v>
      </c>
      <c r="AW47" s="33" t="n">
        <v>0.000948749272567245</v>
      </c>
      <c r="AX47" s="33" t="n">
        <v>0.0112192081075912</v>
      </c>
      <c r="AY47" s="33" t="n">
        <v>0.000362718659979772</v>
      </c>
      <c r="AZ47" s="33" t="n">
        <v>0.00687303336464141</v>
      </c>
      <c r="BA47" s="33" t="n">
        <v>0.000954717347114419</v>
      </c>
      <c r="BB47" s="33" t="n">
        <v>0.00218967524861757</v>
      </c>
      <c r="BC47" s="33" t="n">
        <v>0.00721114772659053</v>
      </c>
      <c r="BD47" s="33" t="n">
        <v>0.00325008919575182</v>
      </c>
      <c r="BE47" s="33" t="n">
        <v>0.00583653111077756</v>
      </c>
      <c r="BF47" s="33" t="n">
        <v>0.0015977677753729</v>
      </c>
      <c r="BG47" s="33" t="n">
        <v>0.00285163984741675</v>
      </c>
      <c r="BH47" s="33" t="n">
        <v>0.00243729664322443</v>
      </c>
      <c r="BI47" s="33" t="n">
        <v>0.00331636378261153</v>
      </c>
      <c r="BJ47" s="33" t="n">
        <v>0.0135562365276968</v>
      </c>
      <c r="BK47" s="33" t="n">
        <v>0.00518759642624508</v>
      </c>
      <c r="BL47" s="33" t="n">
        <v>0.00280814853438509</v>
      </c>
      <c r="BM47" s="33" t="n">
        <v>0.0283063502059998</v>
      </c>
      <c r="BN47" s="33" t="n">
        <v>0.00662580154715801</v>
      </c>
      <c r="BO47" s="33" t="n">
        <v>0.00187337536815597</v>
      </c>
      <c r="BP47" s="33" t="n">
        <v>0.0203020423007158</v>
      </c>
      <c r="BQ47" s="33" t="n">
        <v>0.0115721013777517</v>
      </c>
      <c r="BR47" s="33" t="n">
        <v>0.00110370732695185</v>
      </c>
      <c r="BS47" s="33" t="n">
        <v>0.00373780896184321</v>
      </c>
      <c r="BT47" s="33" t="n">
        <v>0</v>
      </c>
    </row>
    <row r="48" customFormat="false" ht="11.25" hidden="false" customHeight="true" outlineLevel="0" collapsed="false">
      <c r="B48" s="24" t="s">
        <v>147</v>
      </c>
      <c r="C48" s="25" t="s">
        <v>148</v>
      </c>
      <c r="D48" s="24" t="n">
        <v>42</v>
      </c>
      <c r="E48" s="34" t="n">
        <v>0.0326150606035929</v>
      </c>
      <c r="F48" s="34" t="n">
        <v>0.0171768382983069</v>
      </c>
      <c r="G48" s="34" t="n">
        <v>0.00111140121722203</v>
      </c>
      <c r="H48" s="34" t="n">
        <v>0.00238468634707535</v>
      </c>
      <c r="I48" s="34" t="n">
        <v>0.01710302092092</v>
      </c>
      <c r="J48" s="34" t="n">
        <v>0.010555149273609</v>
      </c>
      <c r="K48" s="34" t="n">
        <v>0.0030467156799305</v>
      </c>
      <c r="L48" s="34" t="n">
        <v>0.241595416290312</v>
      </c>
      <c r="M48" s="34" t="n">
        <v>0.0119760354292893</v>
      </c>
      <c r="N48" s="34" t="n">
        <v>0.147477970822807</v>
      </c>
      <c r="O48" s="34" t="n">
        <v>0.0143178865063416</v>
      </c>
      <c r="P48" s="34" t="n">
        <v>0.00524510857011741</v>
      </c>
      <c r="Q48" s="34" t="n">
        <v>0.016967438913405</v>
      </c>
      <c r="R48" s="34" t="n">
        <v>0.0193498682136103</v>
      </c>
      <c r="S48" s="34" t="n">
        <v>0.0180378081693577</v>
      </c>
      <c r="T48" s="34" t="n">
        <v>0.0116091076294474</v>
      </c>
      <c r="U48" s="34" t="n">
        <v>0.0622697907479252</v>
      </c>
      <c r="V48" s="34" t="n">
        <v>0.00263823133431946</v>
      </c>
      <c r="W48" s="34" t="n">
        <v>0.0414504320440901</v>
      </c>
      <c r="X48" s="34" t="n">
        <v>0.0152090494963185</v>
      </c>
      <c r="Y48" s="34" t="n">
        <v>0.0393200709430077</v>
      </c>
      <c r="Z48" s="34" t="n">
        <v>0.0416439488672034</v>
      </c>
      <c r="AA48" s="34" t="n">
        <v>0.0095522910502673</v>
      </c>
      <c r="AB48" s="34" t="n">
        <v>0.0361818126742697</v>
      </c>
      <c r="AC48" s="34" t="n">
        <v>0.0490868959794659</v>
      </c>
      <c r="AD48" s="34" t="n">
        <v>0.0348726884836884</v>
      </c>
      <c r="AE48" s="34" t="n">
        <v>0.0455853804500509</v>
      </c>
      <c r="AF48" s="34" t="n">
        <v>0.0172600875438013</v>
      </c>
      <c r="AG48" s="34" t="n">
        <v>0.0477700330804593</v>
      </c>
      <c r="AH48" s="34" t="n">
        <v>0.022763903662488</v>
      </c>
      <c r="AI48" s="34" t="n">
        <v>0.0365030416176924</v>
      </c>
      <c r="AJ48" s="34" t="n">
        <v>0.0758939733063589</v>
      </c>
      <c r="AK48" s="34" t="n">
        <v>0.0171658150630968</v>
      </c>
      <c r="AL48" s="34" t="n">
        <v>0.0105469523825979</v>
      </c>
      <c r="AM48" s="34" t="n">
        <v>0.00563050069813063</v>
      </c>
      <c r="AN48" s="34" t="n">
        <v>0.0231186021640236</v>
      </c>
      <c r="AO48" s="34" t="n">
        <v>0.010131946149518</v>
      </c>
      <c r="AP48" s="34" t="n">
        <v>0.0108664949763752</v>
      </c>
      <c r="AQ48" s="34" t="n">
        <v>0.00377695128962385</v>
      </c>
      <c r="AR48" s="34" t="n">
        <v>0.0602496685608591</v>
      </c>
      <c r="AS48" s="34" t="n">
        <v>0.00679342834133725</v>
      </c>
      <c r="AT48" s="34" t="n">
        <v>1.16552369829102</v>
      </c>
      <c r="AU48" s="34" t="n">
        <v>0.0192665875369482</v>
      </c>
      <c r="AV48" s="34" t="n">
        <v>0.00117827062019564</v>
      </c>
      <c r="AW48" s="34" t="n">
        <v>0.00112533119616062</v>
      </c>
      <c r="AX48" s="34" t="n">
        <v>0.00440579887874015</v>
      </c>
      <c r="AY48" s="34" t="n">
        <v>0.00108929137231982</v>
      </c>
      <c r="AZ48" s="34" t="n">
        <v>0.0258490711752195</v>
      </c>
      <c r="BA48" s="34" t="n">
        <v>0.00665477357888876</v>
      </c>
      <c r="BB48" s="34" t="n">
        <v>0.0108490243872391</v>
      </c>
      <c r="BC48" s="34" t="n">
        <v>0.058662311149413</v>
      </c>
      <c r="BD48" s="34" t="n">
        <v>0.0150720695804346</v>
      </c>
      <c r="BE48" s="34" t="n">
        <v>0.0145332527282948</v>
      </c>
      <c r="BF48" s="34" t="n">
        <v>0.00417048560752939</v>
      </c>
      <c r="BG48" s="34" t="n">
        <v>0.0141633008859347</v>
      </c>
      <c r="BH48" s="34" t="n">
        <v>0.00278809556078447</v>
      </c>
      <c r="BI48" s="34" t="n">
        <v>0.0163334037959035</v>
      </c>
      <c r="BJ48" s="34" t="n">
        <v>0.00191793241951998</v>
      </c>
      <c r="BK48" s="34" t="n">
        <v>0.0162206933520884</v>
      </c>
      <c r="BL48" s="34" t="n">
        <v>0.00175598468096399</v>
      </c>
      <c r="BM48" s="34" t="n">
        <v>0.0171874695407288</v>
      </c>
      <c r="BN48" s="34" t="n">
        <v>0.00648813543649962</v>
      </c>
      <c r="BO48" s="34" t="n">
        <v>0.00406384123895111</v>
      </c>
      <c r="BP48" s="34" t="n">
        <v>0.0111223621274842</v>
      </c>
      <c r="BQ48" s="34" t="n">
        <v>0.0135774037199431</v>
      </c>
      <c r="BR48" s="34" t="n">
        <v>0.00156721242039548</v>
      </c>
      <c r="BS48" s="34" t="n">
        <v>0.00774534447218964</v>
      </c>
      <c r="BT48" s="34" t="n">
        <v>0</v>
      </c>
    </row>
    <row r="49" customFormat="false" ht="11.25" hidden="false" customHeight="true" outlineLevel="0" collapsed="false">
      <c r="B49" s="19" t="s">
        <v>149</v>
      </c>
      <c r="C49" s="20" t="s">
        <v>150</v>
      </c>
      <c r="D49" s="19" t="n">
        <v>43</v>
      </c>
      <c r="E49" s="33" t="n">
        <v>0.0638239172581937</v>
      </c>
      <c r="F49" s="33" t="n">
        <v>0.0202125089714499</v>
      </c>
      <c r="G49" s="33" t="n">
        <v>0.00431680445812799</v>
      </c>
      <c r="H49" s="33" t="n">
        <v>0.00529561844791901</v>
      </c>
      <c r="I49" s="33" t="n">
        <v>0.0387656733420127</v>
      </c>
      <c r="J49" s="33" t="n">
        <v>0.0246279780437861</v>
      </c>
      <c r="K49" s="33" t="n">
        <v>0.0059687711559622</v>
      </c>
      <c r="L49" s="33" t="n">
        <v>0.151699884949863</v>
      </c>
      <c r="M49" s="33" t="n">
        <v>0.0192338048743232</v>
      </c>
      <c r="N49" s="33" t="n">
        <v>0.133045466843931</v>
      </c>
      <c r="O49" s="33" t="n">
        <v>0.0264191564135533</v>
      </c>
      <c r="P49" s="33" t="n">
        <v>0.00287240920929007</v>
      </c>
      <c r="Q49" s="33" t="n">
        <v>0.0117718293168546</v>
      </c>
      <c r="R49" s="33" t="n">
        <v>0.0103452603948406</v>
      </c>
      <c r="S49" s="33" t="n">
        <v>0.00929336135401783</v>
      </c>
      <c r="T49" s="33" t="n">
        <v>0.0110532877695763</v>
      </c>
      <c r="U49" s="33" t="n">
        <v>0.0411044685439052</v>
      </c>
      <c r="V49" s="33" t="n">
        <v>0.00240406483371734</v>
      </c>
      <c r="W49" s="33" t="n">
        <v>0.0621953229843354</v>
      </c>
      <c r="X49" s="33" t="n">
        <v>0.0137799589896342</v>
      </c>
      <c r="Y49" s="33" t="n">
        <v>0.0511098183580406</v>
      </c>
      <c r="Z49" s="33" t="n">
        <v>0.0291429795381087</v>
      </c>
      <c r="AA49" s="33" t="n">
        <v>0.0142761306011948</v>
      </c>
      <c r="AB49" s="33" t="n">
        <v>0.0265890048690986</v>
      </c>
      <c r="AC49" s="33" t="n">
        <v>0.0343401680924043</v>
      </c>
      <c r="AD49" s="33" t="n">
        <v>0.0270322276490922</v>
      </c>
      <c r="AE49" s="33" t="n">
        <v>0.0446196069436803</v>
      </c>
      <c r="AF49" s="33" t="n">
        <v>0.0127404128500543</v>
      </c>
      <c r="AG49" s="33" t="n">
        <v>0.0336530236481893</v>
      </c>
      <c r="AH49" s="33" t="n">
        <v>0.0140336877653533</v>
      </c>
      <c r="AI49" s="33" t="n">
        <v>0.0212005711035708</v>
      </c>
      <c r="AJ49" s="33" t="n">
        <v>0.0356124939592166</v>
      </c>
      <c r="AK49" s="33" t="n">
        <v>0.031631860116906</v>
      </c>
      <c r="AL49" s="33" t="n">
        <v>0.0162977186570109</v>
      </c>
      <c r="AM49" s="33" t="n">
        <v>0.00517169165302816</v>
      </c>
      <c r="AN49" s="33" t="n">
        <v>0.0167088333330831</v>
      </c>
      <c r="AO49" s="33" t="n">
        <v>0.00664218742959969</v>
      </c>
      <c r="AP49" s="33" t="n">
        <v>0.0321677312859631</v>
      </c>
      <c r="AQ49" s="33" t="n">
        <v>0.00525012877626718</v>
      </c>
      <c r="AR49" s="33" t="n">
        <v>0.0548431639902003</v>
      </c>
      <c r="AS49" s="33" t="n">
        <v>0.0122498923615689</v>
      </c>
      <c r="AT49" s="33" t="n">
        <v>0.281755340280399</v>
      </c>
      <c r="AU49" s="33" t="n">
        <v>1.22527785734535</v>
      </c>
      <c r="AV49" s="33" t="n">
        <v>0.00321223468162805</v>
      </c>
      <c r="AW49" s="33" t="n">
        <v>0.00227921584055977</v>
      </c>
      <c r="AX49" s="33" t="n">
        <v>0.0324439719293511</v>
      </c>
      <c r="AY49" s="33" t="n">
        <v>0.00116355558400221</v>
      </c>
      <c r="AZ49" s="33" t="n">
        <v>0.0265200633232706</v>
      </c>
      <c r="BA49" s="33" t="n">
        <v>0.00339360227245965</v>
      </c>
      <c r="BB49" s="33" t="n">
        <v>0.00477562837364386</v>
      </c>
      <c r="BC49" s="33" t="n">
        <v>0.0187811179191976</v>
      </c>
      <c r="BD49" s="33" t="n">
        <v>0.00864238377898903</v>
      </c>
      <c r="BE49" s="33" t="n">
        <v>0.0166397903948504</v>
      </c>
      <c r="BF49" s="33" t="n">
        <v>0.00388771916259424</v>
      </c>
      <c r="BG49" s="33" t="n">
        <v>0.0107148716655197</v>
      </c>
      <c r="BH49" s="33" t="n">
        <v>0.00572944950124513</v>
      </c>
      <c r="BI49" s="33" t="n">
        <v>0.00833474512686403</v>
      </c>
      <c r="BJ49" s="33" t="n">
        <v>0.00385260582433105</v>
      </c>
      <c r="BK49" s="33" t="n">
        <v>0.0106527015732333</v>
      </c>
      <c r="BL49" s="33" t="n">
        <v>0.00134431120479659</v>
      </c>
      <c r="BM49" s="33" t="n">
        <v>0.0240875344076973</v>
      </c>
      <c r="BN49" s="33" t="n">
        <v>0.00866026199782488</v>
      </c>
      <c r="BO49" s="33" t="n">
        <v>0.0078756109994941</v>
      </c>
      <c r="BP49" s="33" t="n">
        <v>0.0130161089301268</v>
      </c>
      <c r="BQ49" s="33" t="n">
        <v>0.00970025670336365</v>
      </c>
      <c r="BR49" s="33" t="n">
        <v>0.00192393869618845</v>
      </c>
      <c r="BS49" s="33" t="n">
        <v>0.0151641403593182</v>
      </c>
      <c r="BT49" s="33" t="n">
        <v>0</v>
      </c>
    </row>
    <row r="50" customFormat="false" ht="11.25" hidden="false" customHeight="true" outlineLevel="0" collapsed="false">
      <c r="B50" s="24" t="s">
        <v>151</v>
      </c>
      <c r="C50" s="25" t="s">
        <v>152</v>
      </c>
      <c r="D50" s="24" t="n">
        <v>44</v>
      </c>
      <c r="E50" s="34" t="n">
        <v>0.03701629653242</v>
      </c>
      <c r="F50" s="34" t="n">
        <v>0.0125640438532781</v>
      </c>
      <c r="G50" s="34" t="n">
        <v>0.00120470345555869</v>
      </c>
      <c r="H50" s="34" t="n">
        <v>0.00158801085024818</v>
      </c>
      <c r="I50" s="34" t="n">
        <v>0.293805639696756</v>
      </c>
      <c r="J50" s="34" t="n">
        <v>0.00875690813883171</v>
      </c>
      <c r="K50" s="34" t="n">
        <v>0.00281017316782915</v>
      </c>
      <c r="L50" s="34" t="n">
        <v>0.140834593623565</v>
      </c>
      <c r="M50" s="34" t="n">
        <v>0.0111585093946173</v>
      </c>
      <c r="N50" s="34" t="n">
        <v>0.0707877337296974</v>
      </c>
      <c r="O50" s="34" t="n">
        <v>0.00668943810033653</v>
      </c>
      <c r="P50" s="34" t="n">
        <v>0.00172398865138628</v>
      </c>
      <c r="Q50" s="34" t="n">
        <v>0.00612916855111394</v>
      </c>
      <c r="R50" s="34" t="n">
        <v>0.0046723105010431</v>
      </c>
      <c r="S50" s="34" t="n">
        <v>0.00418671954221924</v>
      </c>
      <c r="T50" s="34" t="n">
        <v>0.0153877311264011</v>
      </c>
      <c r="U50" s="34" t="n">
        <v>0.109566443618944</v>
      </c>
      <c r="V50" s="34" t="n">
        <v>0.00226732956784068</v>
      </c>
      <c r="W50" s="34" t="n">
        <v>0.185632775922297</v>
      </c>
      <c r="X50" s="34" t="n">
        <v>0.00616074867106079</v>
      </c>
      <c r="Y50" s="34" t="n">
        <v>0.0702657767432673</v>
      </c>
      <c r="Z50" s="34" t="n">
        <v>0.013683168543383</v>
      </c>
      <c r="AA50" s="34" t="n">
        <v>0.00911591155313268</v>
      </c>
      <c r="AB50" s="34" t="n">
        <v>0.00762971975339478</v>
      </c>
      <c r="AC50" s="34" t="n">
        <v>0.0209231233183975</v>
      </c>
      <c r="AD50" s="34" t="n">
        <v>0.0178204561446246</v>
      </c>
      <c r="AE50" s="34" t="n">
        <v>0.0311811122144118</v>
      </c>
      <c r="AF50" s="34" t="n">
        <v>0.00728575333381626</v>
      </c>
      <c r="AG50" s="34" t="n">
        <v>0.0161655152392605</v>
      </c>
      <c r="AH50" s="34" t="n">
        <v>0.0067819123036332</v>
      </c>
      <c r="AI50" s="34" t="n">
        <v>0.0112991847884287</v>
      </c>
      <c r="AJ50" s="34" t="n">
        <v>0.0283861282556713</v>
      </c>
      <c r="AK50" s="34" t="n">
        <v>0.0182344420900932</v>
      </c>
      <c r="AL50" s="34" t="n">
        <v>0.0103708871144747</v>
      </c>
      <c r="AM50" s="34" t="n">
        <v>0.00625655431523761</v>
      </c>
      <c r="AN50" s="34" t="n">
        <v>0.00867113115544635</v>
      </c>
      <c r="AO50" s="34" t="n">
        <v>0.0044548420143502</v>
      </c>
      <c r="AP50" s="34" t="n">
        <v>0.023843053650869</v>
      </c>
      <c r="AQ50" s="34" t="n">
        <v>0.00427076779239646</v>
      </c>
      <c r="AR50" s="34" t="n">
        <v>0.0348275937259358</v>
      </c>
      <c r="AS50" s="34" t="n">
        <v>0.00583363595673718</v>
      </c>
      <c r="AT50" s="34" t="n">
        <v>0.121446831014345</v>
      </c>
      <c r="AU50" s="34" t="n">
        <v>0.0880926093782194</v>
      </c>
      <c r="AV50" s="34" t="n">
        <v>1.06423580668392</v>
      </c>
      <c r="AW50" s="34" t="n">
        <v>0.00205773671741726</v>
      </c>
      <c r="AX50" s="34" t="n">
        <v>0.00853412047013398</v>
      </c>
      <c r="AY50" s="34" t="n">
        <v>0.000882499964013032</v>
      </c>
      <c r="AZ50" s="34" t="n">
        <v>0.0163830203768167</v>
      </c>
      <c r="BA50" s="34" t="n">
        <v>0.00167847741105506</v>
      </c>
      <c r="BB50" s="34" t="n">
        <v>0.00205818432750485</v>
      </c>
      <c r="BC50" s="34" t="n">
        <v>0.00927294451277495</v>
      </c>
      <c r="BD50" s="34" t="n">
        <v>0.00537870912167886</v>
      </c>
      <c r="BE50" s="34" t="n">
        <v>0.00887318070455663</v>
      </c>
      <c r="BF50" s="34" t="n">
        <v>0.0027626253847761</v>
      </c>
      <c r="BG50" s="34" t="n">
        <v>0.00619737579536937</v>
      </c>
      <c r="BH50" s="34" t="n">
        <v>0.00197567794861447</v>
      </c>
      <c r="BI50" s="34" t="n">
        <v>0.00429869819014925</v>
      </c>
      <c r="BJ50" s="34" t="n">
        <v>0.00184761121619781</v>
      </c>
      <c r="BK50" s="34" t="n">
        <v>0.0161508818245598</v>
      </c>
      <c r="BL50" s="34" t="n">
        <v>0.000717491417148171</v>
      </c>
      <c r="BM50" s="34" t="n">
        <v>0.0148004202309278</v>
      </c>
      <c r="BN50" s="34" t="n">
        <v>0.00422637788384573</v>
      </c>
      <c r="BO50" s="34" t="n">
        <v>0.00343441116297682</v>
      </c>
      <c r="BP50" s="34" t="n">
        <v>0.00573114778849772</v>
      </c>
      <c r="BQ50" s="34" t="n">
        <v>0.00602193147693747</v>
      </c>
      <c r="BR50" s="34" t="n">
        <v>0.00142157773108566</v>
      </c>
      <c r="BS50" s="34" t="n">
        <v>0.00611740332906708</v>
      </c>
      <c r="BT50" s="34" t="n">
        <v>0</v>
      </c>
    </row>
    <row r="51" customFormat="false" ht="11.25" hidden="false" customHeight="true" outlineLevel="0" collapsed="false">
      <c r="B51" s="19" t="s">
        <v>153</v>
      </c>
      <c r="C51" s="20" t="s">
        <v>154</v>
      </c>
      <c r="D51" s="19" t="n">
        <v>45</v>
      </c>
      <c r="E51" s="33" t="n">
        <v>0.0160217356326832</v>
      </c>
      <c r="F51" s="33" t="n">
        <v>0.00572286019960819</v>
      </c>
      <c r="G51" s="33" t="n">
        <v>0.000695608618576439</v>
      </c>
      <c r="H51" s="33" t="n">
        <v>0.00105636978907134</v>
      </c>
      <c r="I51" s="33" t="n">
        <v>0.0971561119230323</v>
      </c>
      <c r="J51" s="33" t="n">
        <v>0.00603126935718413</v>
      </c>
      <c r="K51" s="33" t="n">
        <v>0.00204836571975233</v>
      </c>
      <c r="L51" s="33" t="n">
        <v>0.0424416525151763</v>
      </c>
      <c r="M51" s="33" t="n">
        <v>0.00356230177070748</v>
      </c>
      <c r="N51" s="33" t="n">
        <v>0.0317649584284388</v>
      </c>
      <c r="O51" s="33" t="n">
        <v>0.00604127049832737</v>
      </c>
      <c r="P51" s="33" t="n">
        <v>0.00138607292751576</v>
      </c>
      <c r="Q51" s="33" t="n">
        <v>0.003667617147216</v>
      </c>
      <c r="R51" s="33" t="n">
        <v>0.00363269081987629</v>
      </c>
      <c r="S51" s="33" t="n">
        <v>0.00322385715185561</v>
      </c>
      <c r="T51" s="33" t="n">
        <v>0.00324291929860742</v>
      </c>
      <c r="U51" s="33" t="n">
        <v>0.0126762209406931</v>
      </c>
      <c r="V51" s="33" t="n">
        <v>0.000849437568546143</v>
      </c>
      <c r="W51" s="33" t="n">
        <v>0.0647806790315585</v>
      </c>
      <c r="X51" s="33" t="n">
        <v>0.00350373389385274</v>
      </c>
      <c r="Y51" s="33" t="n">
        <v>0.0184231321899121</v>
      </c>
      <c r="Z51" s="33" t="n">
        <v>0.0151865773491543</v>
      </c>
      <c r="AA51" s="33" t="n">
        <v>0.00323425136077482</v>
      </c>
      <c r="AB51" s="33" t="n">
        <v>0.0085481849121808</v>
      </c>
      <c r="AC51" s="33" t="n">
        <v>0.0100548496908174</v>
      </c>
      <c r="AD51" s="33" t="n">
        <v>0.0090695074146628</v>
      </c>
      <c r="AE51" s="33" t="n">
        <v>0.0114674984173382</v>
      </c>
      <c r="AF51" s="33" t="n">
        <v>0.00477115812994094</v>
      </c>
      <c r="AG51" s="33" t="n">
        <v>0.00939235714074076</v>
      </c>
      <c r="AH51" s="33" t="n">
        <v>0.00905093178721706</v>
      </c>
      <c r="AI51" s="33" t="n">
        <v>0.00978836297858887</v>
      </c>
      <c r="AJ51" s="33" t="n">
        <v>0.0149767071245521</v>
      </c>
      <c r="AK51" s="33" t="n">
        <v>0.0104338350499315</v>
      </c>
      <c r="AL51" s="33" t="n">
        <v>0.00508708182753318</v>
      </c>
      <c r="AM51" s="33" t="n">
        <v>0.00188247031119886</v>
      </c>
      <c r="AN51" s="33" t="n">
        <v>0.00495219689491014</v>
      </c>
      <c r="AO51" s="33" t="n">
        <v>0.00365745834964655</v>
      </c>
      <c r="AP51" s="33" t="n">
        <v>0.0234021805971723</v>
      </c>
      <c r="AQ51" s="33" t="n">
        <v>0.00358146577296189</v>
      </c>
      <c r="AR51" s="33" t="n">
        <v>0.0381678891283086</v>
      </c>
      <c r="AS51" s="33" t="n">
        <v>0.00722686345179516</v>
      </c>
      <c r="AT51" s="33" t="n">
        <v>0.114711382635982</v>
      </c>
      <c r="AU51" s="33" t="n">
        <v>0.0257636901959264</v>
      </c>
      <c r="AV51" s="33" t="n">
        <v>0.00348171484661596</v>
      </c>
      <c r="AW51" s="33" t="n">
        <v>1.00156751707659</v>
      </c>
      <c r="AX51" s="33" t="n">
        <v>0.0200195946722312</v>
      </c>
      <c r="AY51" s="33" t="n">
        <v>0.00141357611992243</v>
      </c>
      <c r="AZ51" s="33" t="n">
        <v>0.00807202576009185</v>
      </c>
      <c r="BA51" s="33" t="n">
        <v>0.00130129880673888</v>
      </c>
      <c r="BB51" s="33" t="n">
        <v>0.00479121252677664</v>
      </c>
      <c r="BC51" s="33" t="n">
        <v>0.0149484427674731</v>
      </c>
      <c r="BD51" s="33" t="n">
        <v>0.0213980699435055</v>
      </c>
      <c r="BE51" s="33" t="n">
        <v>0.0515387680775821</v>
      </c>
      <c r="BF51" s="33" t="n">
        <v>0.00461781756761816</v>
      </c>
      <c r="BG51" s="33" t="n">
        <v>0.0229910803700208</v>
      </c>
      <c r="BH51" s="33" t="n">
        <v>0.00706941368425022</v>
      </c>
      <c r="BI51" s="33" t="n">
        <v>0.0179478662421794</v>
      </c>
      <c r="BJ51" s="33" t="n">
        <v>0.00307958037024962</v>
      </c>
      <c r="BK51" s="33" t="n">
        <v>0.0128831079669101</v>
      </c>
      <c r="BL51" s="33" t="n">
        <v>0.00130845802463468</v>
      </c>
      <c r="BM51" s="33" t="n">
        <v>0.0436195567993019</v>
      </c>
      <c r="BN51" s="33" t="n">
        <v>0.0093681429844376</v>
      </c>
      <c r="BO51" s="33" t="n">
        <v>0.0402407131679818</v>
      </c>
      <c r="BP51" s="33" t="n">
        <v>0.0209173283575864</v>
      </c>
      <c r="BQ51" s="33" t="n">
        <v>0.00662423283491336</v>
      </c>
      <c r="BR51" s="33" t="n">
        <v>0.00275693364548689</v>
      </c>
      <c r="BS51" s="33" t="n">
        <v>0.149046003423822</v>
      </c>
      <c r="BT51" s="33" t="n">
        <v>0</v>
      </c>
    </row>
    <row r="52" customFormat="false" ht="11.25" hidden="false" customHeight="true" outlineLevel="0" collapsed="false">
      <c r="B52" s="24" t="s">
        <v>155</v>
      </c>
      <c r="C52" s="25" t="s">
        <v>156</v>
      </c>
      <c r="D52" s="24" t="n">
        <v>46</v>
      </c>
      <c r="E52" s="34" t="n">
        <v>0.0402030957814409</v>
      </c>
      <c r="F52" s="34" t="n">
        <v>0.0111350216954209</v>
      </c>
      <c r="G52" s="34" t="n">
        <v>0.0035087212984754</v>
      </c>
      <c r="H52" s="34" t="n">
        <v>0.00181705573448106</v>
      </c>
      <c r="I52" s="34" t="n">
        <v>0.0569230786829504</v>
      </c>
      <c r="J52" s="34" t="n">
        <v>0.0353967934712408</v>
      </c>
      <c r="K52" s="34" t="n">
        <v>0.00683750372226871</v>
      </c>
      <c r="L52" s="34" t="n">
        <v>0.100421428877909</v>
      </c>
      <c r="M52" s="34" t="n">
        <v>0.0250140009372119</v>
      </c>
      <c r="N52" s="34" t="n">
        <v>0.0837496273495295</v>
      </c>
      <c r="O52" s="34" t="n">
        <v>0.0276729921058777</v>
      </c>
      <c r="P52" s="34" t="n">
        <v>0.00191794448574413</v>
      </c>
      <c r="Q52" s="34" t="n">
        <v>0.0068539619070812</v>
      </c>
      <c r="R52" s="34" t="n">
        <v>0.0060902235572172</v>
      </c>
      <c r="S52" s="34" t="n">
        <v>0.00553670165078482</v>
      </c>
      <c r="T52" s="34" t="n">
        <v>0.00694642953832548</v>
      </c>
      <c r="U52" s="34" t="n">
        <v>0.0353853935816209</v>
      </c>
      <c r="V52" s="34" t="n">
        <v>0.00223228226481112</v>
      </c>
      <c r="W52" s="34" t="n">
        <v>0.0597881147689113</v>
      </c>
      <c r="X52" s="34" t="n">
        <v>0.0136839553353934</v>
      </c>
      <c r="Y52" s="34" t="n">
        <v>0.0292821869231732</v>
      </c>
      <c r="Z52" s="34" t="n">
        <v>0.0223068057287638</v>
      </c>
      <c r="AA52" s="34" t="n">
        <v>0.00902017262690666</v>
      </c>
      <c r="AB52" s="34" t="n">
        <v>0.0152997811845286</v>
      </c>
      <c r="AC52" s="34" t="n">
        <v>0.0177761692569671</v>
      </c>
      <c r="AD52" s="34" t="n">
        <v>0.0142538637113495</v>
      </c>
      <c r="AE52" s="34" t="n">
        <v>0.0482629944243622</v>
      </c>
      <c r="AF52" s="34" t="n">
        <v>0.00975262209263178</v>
      </c>
      <c r="AG52" s="34" t="n">
        <v>0.0276804681633665</v>
      </c>
      <c r="AH52" s="34" t="n">
        <v>0.0126100328939357</v>
      </c>
      <c r="AI52" s="34" t="n">
        <v>0.0198991423488936</v>
      </c>
      <c r="AJ52" s="34" t="n">
        <v>0.0249317036732881</v>
      </c>
      <c r="AK52" s="34" t="n">
        <v>0.037054174322585</v>
      </c>
      <c r="AL52" s="34" t="n">
        <v>0.0129881111868714</v>
      </c>
      <c r="AM52" s="34" t="n">
        <v>0.00449935501262564</v>
      </c>
      <c r="AN52" s="34" t="n">
        <v>0.0109943117447138</v>
      </c>
      <c r="AO52" s="34" t="n">
        <v>0.0062828372871505</v>
      </c>
      <c r="AP52" s="34" t="n">
        <v>0.0174573693196352</v>
      </c>
      <c r="AQ52" s="34" t="n">
        <v>0.00302341998791834</v>
      </c>
      <c r="AR52" s="34" t="n">
        <v>0.0392359094243941</v>
      </c>
      <c r="AS52" s="34" t="n">
        <v>0.0109687678449196</v>
      </c>
      <c r="AT52" s="34" t="n">
        <v>0.209919864074304</v>
      </c>
      <c r="AU52" s="34" t="n">
        <v>0.102806936367651</v>
      </c>
      <c r="AV52" s="34" t="n">
        <v>0.0281821637793702</v>
      </c>
      <c r="AW52" s="34" t="n">
        <v>0.0265725459580764</v>
      </c>
      <c r="AX52" s="34" t="n">
        <v>1.0478785065414</v>
      </c>
      <c r="AY52" s="34" t="n">
        <v>0.00112841764009024</v>
      </c>
      <c r="AZ52" s="34" t="n">
        <v>0.0201431612711702</v>
      </c>
      <c r="BA52" s="34" t="n">
        <v>0.00208616879117058</v>
      </c>
      <c r="BB52" s="34" t="n">
        <v>0.00341655082034998</v>
      </c>
      <c r="BC52" s="34" t="n">
        <v>0.0175347038517189</v>
      </c>
      <c r="BD52" s="34" t="n">
        <v>0.00730892798447448</v>
      </c>
      <c r="BE52" s="34" t="n">
        <v>0.0390978162811876</v>
      </c>
      <c r="BF52" s="34" t="n">
        <v>0.00504727695518469</v>
      </c>
      <c r="BG52" s="34" t="n">
        <v>0.0112669419924608</v>
      </c>
      <c r="BH52" s="34" t="n">
        <v>0.00368675256110411</v>
      </c>
      <c r="BI52" s="34" t="n">
        <v>0.00806114449773262</v>
      </c>
      <c r="BJ52" s="34" t="n">
        <v>0.00339547875211927</v>
      </c>
      <c r="BK52" s="34" t="n">
        <v>0.0131416433176622</v>
      </c>
      <c r="BL52" s="34" t="n">
        <v>0.00140082509575776</v>
      </c>
      <c r="BM52" s="34" t="n">
        <v>0.0400403255196734</v>
      </c>
      <c r="BN52" s="34" t="n">
        <v>0.00638636113969797</v>
      </c>
      <c r="BO52" s="34" t="n">
        <v>0.00743112326660364</v>
      </c>
      <c r="BP52" s="34" t="n">
        <v>0.0105771578458545</v>
      </c>
      <c r="BQ52" s="34" t="n">
        <v>0.00931678308212178</v>
      </c>
      <c r="BR52" s="34" t="n">
        <v>0.00161595521886146</v>
      </c>
      <c r="BS52" s="34" t="n">
        <v>0.0208466784341763</v>
      </c>
      <c r="BT52" s="34" t="n">
        <v>0</v>
      </c>
    </row>
    <row r="53" customFormat="false" ht="11.25" hidden="false" customHeight="true" outlineLevel="0" collapsed="false">
      <c r="B53" s="19" t="s">
        <v>157</v>
      </c>
      <c r="C53" s="20" t="s">
        <v>158</v>
      </c>
      <c r="D53" s="19" t="n">
        <v>47</v>
      </c>
      <c r="E53" s="33" t="n">
        <v>0.0130270903848453</v>
      </c>
      <c r="F53" s="33" t="n">
        <v>0.0054086081174371</v>
      </c>
      <c r="G53" s="33" t="n">
        <v>0.000655782039215348</v>
      </c>
      <c r="H53" s="33" t="n">
        <v>0.00117502006336484</v>
      </c>
      <c r="I53" s="33" t="n">
        <v>0.021643452141553</v>
      </c>
      <c r="J53" s="33" t="n">
        <v>0.00892629419712224</v>
      </c>
      <c r="K53" s="33" t="n">
        <v>0.00178642571595466</v>
      </c>
      <c r="L53" s="33" t="n">
        <v>0.0513566488581345</v>
      </c>
      <c r="M53" s="33" t="n">
        <v>0.00422858032018756</v>
      </c>
      <c r="N53" s="33" t="n">
        <v>0.0373925281862918</v>
      </c>
      <c r="O53" s="33" t="n">
        <v>0.00686080633147712</v>
      </c>
      <c r="P53" s="33" t="n">
        <v>0.00192351708914654</v>
      </c>
      <c r="Q53" s="33" t="n">
        <v>0.0039647734935213</v>
      </c>
      <c r="R53" s="33" t="n">
        <v>0.00405991776527796</v>
      </c>
      <c r="S53" s="33" t="n">
        <v>0.00347786890905263</v>
      </c>
      <c r="T53" s="33" t="n">
        <v>0.00263347056471137</v>
      </c>
      <c r="U53" s="33" t="n">
        <v>0.0140041697035083</v>
      </c>
      <c r="V53" s="33" t="n">
        <v>0.000945446193087715</v>
      </c>
      <c r="W53" s="33" t="n">
        <v>0.0211823464466397</v>
      </c>
      <c r="X53" s="33" t="n">
        <v>0.00393374016704207</v>
      </c>
      <c r="Y53" s="33" t="n">
        <v>0.0149737468457842</v>
      </c>
      <c r="Z53" s="33" t="n">
        <v>0.0139712204501399</v>
      </c>
      <c r="AA53" s="33" t="n">
        <v>0.00410772106370565</v>
      </c>
      <c r="AB53" s="33" t="n">
        <v>0.0131748822980903</v>
      </c>
      <c r="AC53" s="33" t="n">
        <v>0.0126665326530323</v>
      </c>
      <c r="AD53" s="33" t="n">
        <v>0.00965149707834081</v>
      </c>
      <c r="AE53" s="33" t="n">
        <v>0.0168902582489312</v>
      </c>
      <c r="AF53" s="33" t="n">
        <v>0.00609537774216024</v>
      </c>
      <c r="AG53" s="33" t="n">
        <v>0.0157301507478164</v>
      </c>
      <c r="AH53" s="33" t="n">
        <v>0.00943843274756137</v>
      </c>
      <c r="AI53" s="33" t="n">
        <v>0.0115701588548194</v>
      </c>
      <c r="AJ53" s="33" t="n">
        <v>0.0232921853939646</v>
      </c>
      <c r="AK53" s="33" t="n">
        <v>0.0112371860237539</v>
      </c>
      <c r="AL53" s="33" t="n">
        <v>0.00668270328516158</v>
      </c>
      <c r="AM53" s="33" t="n">
        <v>0.00285091212612928</v>
      </c>
      <c r="AN53" s="33" t="n">
        <v>0.00807626915509569</v>
      </c>
      <c r="AO53" s="33" t="n">
        <v>0.00515095795335857</v>
      </c>
      <c r="AP53" s="33" t="n">
        <v>0.0156297330440379</v>
      </c>
      <c r="AQ53" s="33" t="n">
        <v>0.00270562996449155</v>
      </c>
      <c r="AR53" s="33" t="n">
        <v>0.051154169771826</v>
      </c>
      <c r="AS53" s="33" t="n">
        <v>0.0134135929180745</v>
      </c>
      <c r="AT53" s="33" t="n">
        <v>0.140549188133187</v>
      </c>
      <c r="AU53" s="33" t="n">
        <v>0.0194361323541678</v>
      </c>
      <c r="AV53" s="33" t="n">
        <v>0.00107240030222151</v>
      </c>
      <c r="AW53" s="33" t="n">
        <v>0.00206014806756683</v>
      </c>
      <c r="AX53" s="33" t="n">
        <v>0.0116800470827047</v>
      </c>
      <c r="AY53" s="33" t="n">
        <v>1.00063690248146</v>
      </c>
      <c r="AZ53" s="33" t="n">
        <v>0.00861251122276279</v>
      </c>
      <c r="BA53" s="33" t="n">
        <v>0.0025926819005261</v>
      </c>
      <c r="BB53" s="33" t="n">
        <v>0.00612060958806822</v>
      </c>
      <c r="BC53" s="33" t="n">
        <v>0.0165522699825289</v>
      </c>
      <c r="BD53" s="33" t="n">
        <v>0.0253745697192176</v>
      </c>
      <c r="BE53" s="33" t="n">
        <v>0.0398659239671226</v>
      </c>
      <c r="BF53" s="33" t="n">
        <v>0.00472039803509237</v>
      </c>
      <c r="BG53" s="33" t="n">
        <v>0.015731521733986</v>
      </c>
      <c r="BH53" s="33" t="n">
        <v>0.0096278246525797</v>
      </c>
      <c r="BI53" s="33" t="n">
        <v>0.0134148617174734</v>
      </c>
      <c r="BJ53" s="33" t="n">
        <v>0.00569348889363127</v>
      </c>
      <c r="BK53" s="33" t="n">
        <v>0.0116509250545452</v>
      </c>
      <c r="BL53" s="33" t="n">
        <v>0.00202601206934455</v>
      </c>
      <c r="BM53" s="33" t="n">
        <v>0.0861037605448044</v>
      </c>
      <c r="BN53" s="33" t="n">
        <v>0.0105537882041136</v>
      </c>
      <c r="BO53" s="33" t="n">
        <v>0.0135448210275953</v>
      </c>
      <c r="BP53" s="33" t="n">
        <v>0.0240557900268315</v>
      </c>
      <c r="BQ53" s="33" t="n">
        <v>0.0081112063982973</v>
      </c>
      <c r="BR53" s="33" t="n">
        <v>0.00468511442443224</v>
      </c>
      <c r="BS53" s="33" t="n">
        <v>0.197968297973305</v>
      </c>
      <c r="BT53" s="33" t="n">
        <v>0</v>
      </c>
    </row>
    <row r="54" customFormat="false" ht="11.25" hidden="false" customHeight="true" outlineLevel="0" collapsed="false">
      <c r="B54" s="24" t="s">
        <v>159</v>
      </c>
      <c r="C54" s="25" t="s">
        <v>160</v>
      </c>
      <c r="D54" s="24" t="n">
        <v>48</v>
      </c>
      <c r="E54" s="34" t="n">
        <v>0.00168955743886303</v>
      </c>
      <c r="F54" s="34" t="n">
        <v>0.000652635486361545</v>
      </c>
      <c r="G54" s="34" t="n">
        <v>7.97491392609335E-005</v>
      </c>
      <c r="H54" s="34" t="n">
        <v>0.000148916509072365</v>
      </c>
      <c r="I54" s="34" t="n">
        <v>0.0025839000141156</v>
      </c>
      <c r="J54" s="34" t="n">
        <v>0.000784459158216292</v>
      </c>
      <c r="K54" s="34" t="n">
        <v>0.000207020155742117</v>
      </c>
      <c r="L54" s="34" t="n">
        <v>0.0038778278091063</v>
      </c>
      <c r="M54" s="34" t="n">
        <v>0.000426647689109766</v>
      </c>
      <c r="N54" s="34" t="n">
        <v>0.00366843176805815</v>
      </c>
      <c r="O54" s="34" t="n">
        <v>0.000833372845566584</v>
      </c>
      <c r="P54" s="34" t="n">
        <v>0.000130707043310563</v>
      </c>
      <c r="Q54" s="34" t="n">
        <v>0.000386807090642074</v>
      </c>
      <c r="R54" s="34" t="n">
        <v>0.000378061794671545</v>
      </c>
      <c r="S54" s="34" t="n">
        <v>0.000295085793207044</v>
      </c>
      <c r="T54" s="34" t="n">
        <v>0.000260629242605094</v>
      </c>
      <c r="U54" s="34" t="n">
        <v>0.00119565976105763</v>
      </c>
      <c r="V54" s="34" t="n">
        <v>0.000135573089141584</v>
      </c>
      <c r="W54" s="34" t="n">
        <v>0.00256629482111477</v>
      </c>
      <c r="X54" s="34" t="n">
        <v>0.00040008195965103</v>
      </c>
      <c r="Y54" s="34" t="n">
        <v>0.00187008966412681</v>
      </c>
      <c r="Z54" s="34" t="n">
        <v>0.00171341240160063</v>
      </c>
      <c r="AA54" s="34" t="n">
        <v>0.000422129822801794</v>
      </c>
      <c r="AB54" s="34" t="n">
        <v>0.00226153389709929</v>
      </c>
      <c r="AC54" s="34" t="n">
        <v>0.0011281317532234</v>
      </c>
      <c r="AD54" s="34" t="n">
        <v>0.000826630405770259</v>
      </c>
      <c r="AE54" s="34" t="n">
        <v>0.00129097318302693</v>
      </c>
      <c r="AF54" s="34" t="n">
        <v>0.000858748014645183</v>
      </c>
      <c r="AG54" s="34" t="n">
        <v>0.00117023479730579</v>
      </c>
      <c r="AH54" s="34" t="n">
        <v>0.000681288247735706</v>
      </c>
      <c r="AI54" s="34" t="n">
        <v>0.000808654673250552</v>
      </c>
      <c r="AJ54" s="34" t="n">
        <v>0.001868830006993</v>
      </c>
      <c r="AK54" s="34" t="n">
        <v>0.00242829621111153</v>
      </c>
      <c r="AL54" s="34" t="n">
        <v>0.000560776725328595</v>
      </c>
      <c r="AM54" s="34" t="n">
        <v>0.000190815634726296</v>
      </c>
      <c r="AN54" s="34" t="n">
        <v>0.000503693356361729</v>
      </c>
      <c r="AO54" s="34" t="n">
        <v>0.000586377146751244</v>
      </c>
      <c r="AP54" s="34" t="n">
        <v>0.00270769943752024</v>
      </c>
      <c r="AQ54" s="34" t="n">
        <v>0.000363022444578955</v>
      </c>
      <c r="AR54" s="34" t="n">
        <v>0.00231777637468912</v>
      </c>
      <c r="AS54" s="34" t="n">
        <v>0.00141966771761709</v>
      </c>
      <c r="AT54" s="34" t="n">
        <v>0.0115546992492151</v>
      </c>
      <c r="AU54" s="34" t="n">
        <v>0.0019742586431504</v>
      </c>
      <c r="AV54" s="34" t="n">
        <v>0.000152889978342822</v>
      </c>
      <c r="AW54" s="34" t="n">
        <v>0.00156772133826565</v>
      </c>
      <c r="AX54" s="34" t="n">
        <v>0.00117347836397034</v>
      </c>
      <c r="AY54" s="34" t="n">
        <v>0.000797784254872218</v>
      </c>
      <c r="AZ54" s="34" t="n">
        <v>1.0010552632944</v>
      </c>
      <c r="BA54" s="34" t="n">
        <v>0.000160145000800354</v>
      </c>
      <c r="BB54" s="34" t="n">
        <v>0.00313180427386807</v>
      </c>
      <c r="BC54" s="34" t="n">
        <v>0.00294131346656252</v>
      </c>
      <c r="BD54" s="34" t="n">
        <v>0.00156230001321061</v>
      </c>
      <c r="BE54" s="34" t="n">
        <v>0.0138490362493566</v>
      </c>
      <c r="BF54" s="34" t="n">
        <v>0.00113833322816228</v>
      </c>
      <c r="BG54" s="34" t="n">
        <v>0.00756585003578686</v>
      </c>
      <c r="BH54" s="34" t="n">
        <v>0.000414030193786266</v>
      </c>
      <c r="BI54" s="34" t="n">
        <v>0.00400746382451844</v>
      </c>
      <c r="BJ54" s="34" t="n">
        <v>0.000333456632546432</v>
      </c>
      <c r="BK54" s="34" t="n">
        <v>0.00620563424238857</v>
      </c>
      <c r="BL54" s="34" t="n">
        <v>0.000183336874418227</v>
      </c>
      <c r="BM54" s="34" t="n">
        <v>0.0423709433672857</v>
      </c>
      <c r="BN54" s="34" t="n">
        <v>0.00786874518020658</v>
      </c>
      <c r="BO54" s="34" t="n">
        <v>0.00198218308373657</v>
      </c>
      <c r="BP54" s="34" t="n">
        <v>0.0250456261800576</v>
      </c>
      <c r="BQ54" s="34" t="n">
        <v>0.0170031175117256</v>
      </c>
      <c r="BR54" s="34" t="n">
        <v>0.000464493791231934</v>
      </c>
      <c r="BS54" s="34" t="n">
        <v>0.0438635803408849</v>
      </c>
      <c r="BT54" s="34" t="n">
        <v>0</v>
      </c>
    </row>
    <row r="55" customFormat="false" ht="11.25" hidden="false" customHeight="true" outlineLevel="0" collapsed="false">
      <c r="B55" s="19" t="s">
        <v>161</v>
      </c>
      <c r="C55" s="20" t="s">
        <v>162</v>
      </c>
      <c r="D55" s="19" t="n">
        <v>49</v>
      </c>
      <c r="E55" s="33" t="n">
        <v>0.0108635683786929</v>
      </c>
      <c r="F55" s="33" t="n">
        <v>0.00457516287109622</v>
      </c>
      <c r="G55" s="33" t="n">
        <v>0.000523251418426462</v>
      </c>
      <c r="H55" s="33" t="n">
        <v>0.000682171082004031</v>
      </c>
      <c r="I55" s="33" t="n">
        <v>0.00705501246596521</v>
      </c>
      <c r="J55" s="33" t="n">
        <v>0.00317893969149799</v>
      </c>
      <c r="K55" s="33" t="n">
        <v>0.000731699971794322</v>
      </c>
      <c r="L55" s="33" t="n">
        <v>0.0317029178086071</v>
      </c>
      <c r="M55" s="33" t="n">
        <v>0.00275530179789614</v>
      </c>
      <c r="N55" s="33" t="n">
        <v>0.0252288486156175</v>
      </c>
      <c r="O55" s="33" t="n">
        <v>0.012144314441509</v>
      </c>
      <c r="P55" s="33" t="n">
        <v>0.00111587759078689</v>
      </c>
      <c r="Q55" s="33" t="n">
        <v>0.00254343521753397</v>
      </c>
      <c r="R55" s="33" t="n">
        <v>0.00280506973162703</v>
      </c>
      <c r="S55" s="33" t="n">
        <v>0.00284738023886621</v>
      </c>
      <c r="T55" s="33" t="n">
        <v>0.00164468648370855</v>
      </c>
      <c r="U55" s="33" t="n">
        <v>0.00886942779874036</v>
      </c>
      <c r="V55" s="33" t="n">
        <v>0.00180790242910721</v>
      </c>
      <c r="W55" s="33" t="n">
        <v>0.0104763512633221</v>
      </c>
      <c r="X55" s="33" t="n">
        <v>0.00263540951016782</v>
      </c>
      <c r="Y55" s="33" t="n">
        <v>0.017825169157062</v>
      </c>
      <c r="Z55" s="33" t="n">
        <v>0.00744951455331046</v>
      </c>
      <c r="AA55" s="33" t="n">
        <v>0.00410950279070916</v>
      </c>
      <c r="AB55" s="33" t="n">
        <v>0.00777196381470804</v>
      </c>
      <c r="AC55" s="33" t="n">
        <v>0.00815853697210631</v>
      </c>
      <c r="AD55" s="33" t="n">
        <v>0.00532127671469781</v>
      </c>
      <c r="AE55" s="33" t="n">
        <v>0.0070450469488186</v>
      </c>
      <c r="AF55" s="33" t="n">
        <v>0.0028794634154379</v>
      </c>
      <c r="AG55" s="33" t="n">
        <v>0.00677341339450019</v>
      </c>
      <c r="AH55" s="33" t="n">
        <v>0.00575446232775344</v>
      </c>
      <c r="AI55" s="33" t="n">
        <v>0.00566418691729187</v>
      </c>
      <c r="AJ55" s="33" t="n">
        <v>0.00952740821300982</v>
      </c>
      <c r="AK55" s="33" t="n">
        <v>0.00915448974104213</v>
      </c>
      <c r="AL55" s="33" t="n">
        <v>0.00284601177078993</v>
      </c>
      <c r="AM55" s="33" t="n">
        <v>0.00126948152950901</v>
      </c>
      <c r="AN55" s="33" t="n">
        <v>0.00365377743506432</v>
      </c>
      <c r="AO55" s="33" t="n">
        <v>0.00266319441709113</v>
      </c>
      <c r="AP55" s="33" t="n">
        <v>0.0162289640064144</v>
      </c>
      <c r="AQ55" s="33" t="n">
        <v>0.00226905419194067</v>
      </c>
      <c r="AR55" s="33" t="n">
        <v>0.0145664196887968</v>
      </c>
      <c r="AS55" s="33" t="n">
        <v>0.00655517247720247</v>
      </c>
      <c r="AT55" s="33" t="n">
        <v>0.0884072198821367</v>
      </c>
      <c r="AU55" s="33" t="n">
        <v>0.0105416427751625</v>
      </c>
      <c r="AV55" s="33" t="n">
        <v>0.00076118127249734</v>
      </c>
      <c r="AW55" s="33" t="n">
        <v>0.000795463993299829</v>
      </c>
      <c r="AX55" s="33" t="n">
        <v>0.00568125081212768</v>
      </c>
      <c r="AY55" s="33" t="n">
        <v>0.00278841017774896</v>
      </c>
      <c r="AZ55" s="33" t="n">
        <v>0.00843241236674059</v>
      </c>
      <c r="BA55" s="33" t="n">
        <v>1.00373605600223</v>
      </c>
      <c r="BB55" s="33" t="n">
        <v>0.00463675491001</v>
      </c>
      <c r="BC55" s="33" t="n">
        <v>0.0182068572578983</v>
      </c>
      <c r="BD55" s="33" t="n">
        <v>0.00876910645801642</v>
      </c>
      <c r="BE55" s="33" t="n">
        <v>0.0966803725870243</v>
      </c>
      <c r="BF55" s="33" t="n">
        <v>0.00849900247457911</v>
      </c>
      <c r="BG55" s="33" t="n">
        <v>0.0294694589753214</v>
      </c>
      <c r="BH55" s="33" t="n">
        <v>0.0091321536961272</v>
      </c>
      <c r="BI55" s="33" t="n">
        <v>0.147383107669563</v>
      </c>
      <c r="BJ55" s="33" t="n">
        <v>0.00380640254829266</v>
      </c>
      <c r="BK55" s="33" t="n">
        <v>0.0107971003945506</v>
      </c>
      <c r="BL55" s="33" t="n">
        <v>0.0011010331263558</v>
      </c>
      <c r="BM55" s="33" t="n">
        <v>0.0696956832970082</v>
      </c>
      <c r="BN55" s="33" t="n">
        <v>0.144674047941223</v>
      </c>
      <c r="BO55" s="33" t="n">
        <v>0.088035851953767</v>
      </c>
      <c r="BP55" s="33" t="n">
        <v>0.00859250373762338</v>
      </c>
      <c r="BQ55" s="33" t="n">
        <v>0.0112885485477909</v>
      </c>
      <c r="BR55" s="33" t="n">
        <v>0.00340079978839964</v>
      </c>
      <c r="BS55" s="33" t="n">
        <v>0.0156243447187213</v>
      </c>
      <c r="BT55" s="33" t="n">
        <v>0</v>
      </c>
    </row>
    <row r="56" customFormat="false" ht="11.25" hidden="false" customHeight="true" outlineLevel="0" collapsed="false">
      <c r="B56" s="24" t="s">
        <v>163</v>
      </c>
      <c r="C56" s="25" t="s">
        <v>164</v>
      </c>
      <c r="D56" s="24" t="n">
        <v>50</v>
      </c>
      <c r="E56" s="34" t="n">
        <v>0.0182547080027789</v>
      </c>
      <c r="F56" s="34" t="n">
        <v>0.0134892439739823</v>
      </c>
      <c r="G56" s="34" t="n">
        <v>0.00172177721439922</v>
      </c>
      <c r="H56" s="34" t="n">
        <v>0.00171252979995329</v>
      </c>
      <c r="I56" s="34" t="n">
        <v>0.0191433024605136</v>
      </c>
      <c r="J56" s="34" t="n">
        <v>0.00725875988979913</v>
      </c>
      <c r="K56" s="34" t="n">
        <v>0.00161929875777605</v>
      </c>
      <c r="L56" s="34" t="n">
        <v>0.0975168121848762</v>
      </c>
      <c r="M56" s="34" t="n">
        <v>0.00719561662261362</v>
      </c>
      <c r="N56" s="34" t="n">
        <v>0.0811763329050724</v>
      </c>
      <c r="O56" s="34" t="n">
        <v>0.0578361274227757</v>
      </c>
      <c r="P56" s="34" t="n">
        <v>0.00384108755609889</v>
      </c>
      <c r="Q56" s="34" t="n">
        <v>0.00603792464212127</v>
      </c>
      <c r="R56" s="34" t="n">
        <v>0.00874932067129465</v>
      </c>
      <c r="S56" s="34" t="n">
        <v>0.00992093612343375</v>
      </c>
      <c r="T56" s="34" t="n">
        <v>0.00420096547374439</v>
      </c>
      <c r="U56" s="34" t="n">
        <v>0.0240162759485344</v>
      </c>
      <c r="V56" s="34" t="n">
        <v>0.00166331116437471</v>
      </c>
      <c r="W56" s="34" t="n">
        <v>0.02711483013814</v>
      </c>
      <c r="X56" s="34" t="n">
        <v>0.00669417955583163</v>
      </c>
      <c r="Y56" s="34" t="n">
        <v>0.0167693192352329</v>
      </c>
      <c r="Z56" s="34" t="n">
        <v>0.0194097481318092</v>
      </c>
      <c r="AA56" s="34" t="n">
        <v>0.0157065513244237</v>
      </c>
      <c r="AB56" s="34" t="n">
        <v>0.0291270275004262</v>
      </c>
      <c r="AC56" s="34" t="n">
        <v>0.0197822455307604</v>
      </c>
      <c r="AD56" s="34" t="n">
        <v>0.0141800950823836</v>
      </c>
      <c r="AE56" s="34" t="n">
        <v>0.017744386188497</v>
      </c>
      <c r="AF56" s="34" t="n">
        <v>0.00649981530026557</v>
      </c>
      <c r="AG56" s="34" t="n">
        <v>0.0195017328953532</v>
      </c>
      <c r="AH56" s="34" t="n">
        <v>0.0208420304877135</v>
      </c>
      <c r="AI56" s="34" t="n">
        <v>0.0171070285782736</v>
      </c>
      <c r="AJ56" s="34" t="n">
        <v>0.0267561568811383</v>
      </c>
      <c r="AK56" s="34" t="n">
        <v>0.0379133197265554</v>
      </c>
      <c r="AL56" s="34" t="n">
        <v>0.00759066120320271</v>
      </c>
      <c r="AM56" s="34" t="n">
        <v>0.00418410206619493</v>
      </c>
      <c r="AN56" s="34" t="n">
        <v>0.0110236675487604</v>
      </c>
      <c r="AO56" s="34" t="n">
        <v>0.00578216541534345</v>
      </c>
      <c r="AP56" s="34" t="n">
        <v>0.0403944112310325</v>
      </c>
      <c r="AQ56" s="34" t="n">
        <v>0.00566177083027462</v>
      </c>
      <c r="AR56" s="34" t="n">
        <v>0.0431655082203393</v>
      </c>
      <c r="AS56" s="34" t="n">
        <v>0.0262688485960829</v>
      </c>
      <c r="AT56" s="34" t="n">
        <v>0.246233123415066</v>
      </c>
      <c r="AU56" s="34" t="n">
        <v>0.0282789973644786</v>
      </c>
      <c r="AV56" s="34" t="n">
        <v>0.00199737415709894</v>
      </c>
      <c r="AW56" s="34" t="n">
        <v>0.00241160222812722</v>
      </c>
      <c r="AX56" s="34" t="n">
        <v>0.0188576325355245</v>
      </c>
      <c r="AY56" s="34" t="n">
        <v>0.00313496553837526</v>
      </c>
      <c r="AZ56" s="34" t="n">
        <v>0.0318134456187274</v>
      </c>
      <c r="BA56" s="34" t="n">
        <v>0.00684256840789387</v>
      </c>
      <c r="BB56" s="34" t="n">
        <v>1.15520965425962</v>
      </c>
      <c r="BC56" s="34" t="n">
        <v>0.184486538870667</v>
      </c>
      <c r="BD56" s="34" t="n">
        <v>0.0327763439701289</v>
      </c>
      <c r="BE56" s="34" t="n">
        <v>0.111527601480772</v>
      </c>
      <c r="BF56" s="34" t="n">
        <v>0.0142007051177422</v>
      </c>
      <c r="BG56" s="34" t="n">
        <v>0.0492253134773018</v>
      </c>
      <c r="BH56" s="34" t="n">
        <v>0.00713748110716663</v>
      </c>
      <c r="BI56" s="34" t="n">
        <v>0.843361857418009</v>
      </c>
      <c r="BJ56" s="34" t="n">
        <v>0.0112422144659383</v>
      </c>
      <c r="BK56" s="34" t="n">
        <v>0.0263776250536722</v>
      </c>
      <c r="BL56" s="34" t="n">
        <v>0.00340664922824022</v>
      </c>
      <c r="BM56" s="34" t="n">
        <v>0.0559909032214608</v>
      </c>
      <c r="BN56" s="34" t="n">
        <v>0.0116284292720821</v>
      </c>
      <c r="BO56" s="34" t="n">
        <v>0.0279121756133331</v>
      </c>
      <c r="BP56" s="34" t="n">
        <v>0.0196694027889212</v>
      </c>
      <c r="BQ56" s="34" t="n">
        <v>0.0121431100622597</v>
      </c>
      <c r="BR56" s="34" t="n">
        <v>0.0169121031986893</v>
      </c>
      <c r="BS56" s="34" t="n">
        <v>0.0250998043532858</v>
      </c>
      <c r="BT56" s="34" t="n">
        <v>0</v>
      </c>
    </row>
    <row r="57" customFormat="false" ht="11.25" hidden="false" customHeight="true" outlineLevel="0" collapsed="false">
      <c r="B57" s="19" t="s">
        <v>165</v>
      </c>
      <c r="C57" s="20" t="s">
        <v>166</v>
      </c>
      <c r="D57" s="19" t="n">
        <v>51</v>
      </c>
      <c r="E57" s="33" t="n">
        <v>0.00764790691695663</v>
      </c>
      <c r="F57" s="33" t="n">
        <v>0.00352467006330338</v>
      </c>
      <c r="G57" s="33" t="n">
        <v>0.000395929359777183</v>
      </c>
      <c r="H57" s="33" t="n">
        <v>0.000729195259382652</v>
      </c>
      <c r="I57" s="33" t="n">
        <v>0.00950713484178827</v>
      </c>
      <c r="J57" s="33" t="n">
        <v>0.00384764788165768</v>
      </c>
      <c r="K57" s="33" t="n">
        <v>0.000870268456960379</v>
      </c>
      <c r="L57" s="33" t="n">
        <v>0.0309352193481005</v>
      </c>
      <c r="M57" s="33" t="n">
        <v>0.00328598997014855</v>
      </c>
      <c r="N57" s="33" t="n">
        <v>0.0270635324619991</v>
      </c>
      <c r="O57" s="33" t="n">
        <v>0.00671303162581861</v>
      </c>
      <c r="P57" s="33" t="n">
        <v>0.000788693465374036</v>
      </c>
      <c r="Q57" s="33" t="n">
        <v>0.00328821401117104</v>
      </c>
      <c r="R57" s="33" t="n">
        <v>0.00523565750409407</v>
      </c>
      <c r="S57" s="33" t="n">
        <v>0.00263360050832779</v>
      </c>
      <c r="T57" s="33" t="n">
        <v>0.00215766634679676</v>
      </c>
      <c r="U57" s="33" t="n">
        <v>0.00976986088077676</v>
      </c>
      <c r="V57" s="33" t="n">
        <v>0.00185611237157179</v>
      </c>
      <c r="W57" s="33" t="n">
        <v>0.0126835981906366</v>
      </c>
      <c r="X57" s="33" t="n">
        <v>0.00290457249496611</v>
      </c>
      <c r="Y57" s="33" t="n">
        <v>0.00831558449354424</v>
      </c>
      <c r="Z57" s="33" t="n">
        <v>0.00731818939543002</v>
      </c>
      <c r="AA57" s="33" t="n">
        <v>0.00227722478014774</v>
      </c>
      <c r="AB57" s="33" t="n">
        <v>0.00605219291120701</v>
      </c>
      <c r="AC57" s="33" t="n">
        <v>0.0078671751574152</v>
      </c>
      <c r="AD57" s="33" t="n">
        <v>0.00710218886189829</v>
      </c>
      <c r="AE57" s="33" t="n">
        <v>0.00744590215060126</v>
      </c>
      <c r="AF57" s="33" t="n">
        <v>0.00303017161119222</v>
      </c>
      <c r="AG57" s="33" t="n">
        <v>0.00819197591434293</v>
      </c>
      <c r="AH57" s="33" t="n">
        <v>0.00824489384204195</v>
      </c>
      <c r="AI57" s="33" t="n">
        <v>0.00737535620815783</v>
      </c>
      <c r="AJ57" s="33" t="n">
        <v>0.0112379913392475</v>
      </c>
      <c r="AK57" s="33" t="n">
        <v>0.0134027652296488</v>
      </c>
      <c r="AL57" s="33" t="n">
        <v>0.00923153143727567</v>
      </c>
      <c r="AM57" s="33" t="n">
        <v>0.00165426261993309</v>
      </c>
      <c r="AN57" s="33" t="n">
        <v>0.00567007256675202</v>
      </c>
      <c r="AO57" s="33" t="n">
        <v>0.00254708709480418</v>
      </c>
      <c r="AP57" s="33" t="n">
        <v>0.00779619871903371</v>
      </c>
      <c r="AQ57" s="33" t="n">
        <v>0.00258967937622776</v>
      </c>
      <c r="AR57" s="33" t="n">
        <v>0.0195361090101743</v>
      </c>
      <c r="AS57" s="33" t="n">
        <v>0.0101605265454828</v>
      </c>
      <c r="AT57" s="33" t="n">
        <v>0.0768507383630816</v>
      </c>
      <c r="AU57" s="33" t="n">
        <v>0.0161611927984414</v>
      </c>
      <c r="AV57" s="33" t="n">
        <v>0.000842842971005617</v>
      </c>
      <c r="AW57" s="33" t="n">
        <v>0.000860582321425373</v>
      </c>
      <c r="AX57" s="33" t="n">
        <v>0.00818839641719664</v>
      </c>
      <c r="AY57" s="33" t="n">
        <v>0.00141310820462975</v>
      </c>
      <c r="AZ57" s="33" t="n">
        <v>0.00942170431801299</v>
      </c>
      <c r="BA57" s="33" t="n">
        <v>0.00136166321649528</v>
      </c>
      <c r="BB57" s="33" t="n">
        <v>0.00356801968623973</v>
      </c>
      <c r="BC57" s="33" t="n">
        <v>1.10480562745577</v>
      </c>
      <c r="BD57" s="33" t="n">
        <v>0.0169839994058041</v>
      </c>
      <c r="BE57" s="33" t="n">
        <v>0.0589262557016683</v>
      </c>
      <c r="BF57" s="33" t="n">
        <v>0.00681949220180325</v>
      </c>
      <c r="BG57" s="33" t="n">
        <v>0.0210532655806184</v>
      </c>
      <c r="BH57" s="33" t="n">
        <v>0.00354725057661611</v>
      </c>
      <c r="BI57" s="33" t="n">
        <v>0.0207216764920396</v>
      </c>
      <c r="BJ57" s="33" t="n">
        <v>0.00186406362831686</v>
      </c>
      <c r="BK57" s="33" t="n">
        <v>0.0151769614289879</v>
      </c>
      <c r="BL57" s="33" t="n">
        <v>0.00232425586293515</v>
      </c>
      <c r="BM57" s="33" t="n">
        <v>0.0371659179851142</v>
      </c>
      <c r="BN57" s="33" t="n">
        <v>0.00805362883222278</v>
      </c>
      <c r="BO57" s="33" t="n">
        <v>0.0103746613609909</v>
      </c>
      <c r="BP57" s="33" t="n">
        <v>0.00665061273593989</v>
      </c>
      <c r="BQ57" s="33" t="n">
        <v>0.010522501513013</v>
      </c>
      <c r="BR57" s="33" t="n">
        <v>0.00235173923621059</v>
      </c>
      <c r="BS57" s="33" t="n">
        <v>0.0142649057760058</v>
      </c>
      <c r="BT57" s="33" t="n">
        <v>0</v>
      </c>
    </row>
    <row r="58" customFormat="false" ht="11.25" hidden="false" customHeight="true" outlineLevel="0" collapsed="false">
      <c r="B58" s="24" t="s">
        <v>167</v>
      </c>
      <c r="C58" s="25" t="s">
        <v>168</v>
      </c>
      <c r="D58" s="24" t="n">
        <v>52</v>
      </c>
      <c r="E58" s="34" t="n">
        <v>0.0113077066311263</v>
      </c>
      <c r="F58" s="34" t="n">
        <v>0.00524839861552961</v>
      </c>
      <c r="G58" s="34" t="n">
        <v>0.000571407661266797</v>
      </c>
      <c r="H58" s="34" t="n">
        <v>0.000842399621840297</v>
      </c>
      <c r="I58" s="34" t="n">
        <v>0.0087044487941549</v>
      </c>
      <c r="J58" s="34" t="n">
        <v>0.00636921380375958</v>
      </c>
      <c r="K58" s="34" t="n">
        <v>0.00119991272691033</v>
      </c>
      <c r="L58" s="34" t="n">
        <v>0.0425356624664134</v>
      </c>
      <c r="M58" s="34" t="n">
        <v>0.00337027715369761</v>
      </c>
      <c r="N58" s="34" t="n">
        <v>0.0349311871779593</v>
      </c>
      <c r="O58" s="34" t="n">
        <v>0.00888036273639133</v>
      </c>
      <c r="P58" s="34" t="n">
        <v>0.00138700514505425</v>
      </c>
      <c r="Q58" s="34" t="n">
        <v>0.00321712815099151</v>
      </c>
      <c r="R58" s="34" t="n">
        <v>0.00352965192410099</v>
      </c>
      <c r="S58" s="34" t="n">
        <v>0.00311076763477001</v>
      </c>
      <c r="T58" s="34" t="n">
        <v>0.00218436489572151</v>
      </c>
      <c r="U58" s="34" t="n">
        <v>0.0121226061868338</v>
      </c>
      <c r="V58" s="34" t="n">
        <v>0.000661801589494142</v>
      </c>
      <c r="W58" s="34" t="n">
        <v>0.0130353908578564</v>
      </c>
      <c r="X58" s="34" t="n">
        <v>0.00323691047383296</v>
      </c>
      <c r="Y58" s="34" t="n">
        <v>0.0121417709012885</v>
      </c>
      <c r="Z58" s="34" t="n">
        <v>0.0101508890587829</v>
      </c>
      <c r="AA58" s="34" t="n">
        <v>0.00363575866247669</v>
      </c>
      <c r="AB58" s="34" t="n">
        <v>0.010421444818196</v>
      </c>
      <c r="AC58" s="34" t="n">
        <v>0.00984117295162468</v>
      </c>
      <c r="AD58" s="34" t="n">
        <v>0.00715389798930414</v>
      </c>
      <c r="AE58" s="34" t="n">
        <v>0.0109193330040622</v>
      </c>
      <c r="AF58" s="34" t="n">
        <v>0.00399696928862131</v>
      </c>
      <c r="AG58" s="34" t="n">
        <v>0.00938918755415366</v>
      </c>
      <c r="AH58" s="34" t="n">
        <v>0.00688598015839097</v>
      </c>
      <c r="AI58" s="34" t="n">
        <v>0.00913418775222931</v>
      </c>
      <c r="AJ58" s="34" t="n">
        <v>0.0134843180293481</v>
      </c>
      <c r="AK58" s="34" t="n">
        <v>0.012626027568733</v>
      </c>
      <c r="AL58" s="34" t="n">
        <v>0.00418769774305439</v>
      </c>
      <c r="AM58" s="34" t="n">
        <v>0.00176633497164419</v>
      </c>
      <c r="AN58" s="34" t="n">
        <v>0.00518641011344463</v>
      </c>
      <c r="AO58" s="34" t="n">
        <v>0.00317647235603835</v>
      </c>
      <c r="AP58" s="34" t="n">
        <v>0.0198693092463879</v>
      </c>
      <c r="AQ58" s="34" t="n">
        <v>0.00527900422116668</v>
      </c>
      <c r="AR58" s="34" t="n">
        <v>0.0200282522579745</v>
      </c>
      <c r="AS58" s="34" t="n">
        <v>0.00802002886226646</v>
      </c>
      <c r="AT58" s="34" t="n">
        <v>0.120382954893807</v>
      </c>
      <c r="AU58" s="34" t="n">
        <v>0.018855147431079</v>
      </c>
      <c r="AV58" s="34" t="n">
        <v>0.000975625537037627</v>
      </c>
      <c r="AW58" s="34" t="n">
        <v>0.00396973863118642</v>
      </c>
      <c r="AX58" s="34" t="n">
        <v>0.0144817945568663</v>
      </c>
      <c r="AY58" s="34" t="n">
        <v>0.0010079337626179</v>
      </c>
      <c r="AZ58" s="34" t="n">
        <v>0.00882854545989517</v>
      </c>
      <c r="BA58" s="34" t="n">
        <v>0.00378102110634322</v>
      </c>
      <c r="BB58" s="34" t="n">
        <v>0.0102714955024021</v>
      </c>
      <c r="BC58" s="34" t="n">
        <v>0.0306183813065893</v>
      </c>
      <c r="BD58" s="34" t="n">
        <v>1.08804766521585</v>
      </c>
      <c r="BE58" s="34" t="n">
        <v>0.133970916460627</v>
      </c>
      <c r="BF58" s="34" t="n">
        <v>0.00891239581916872</v>
      </c>
      <c r="BG58" s="34" t="n">
        <v>0.0279508742152867</v>
      </c>
      <c r="BH58" s="34" t="n">
        <v>0.00246533741193362</v>
      </c>
      <c r="BI58" s="34" t="n">
        <v>0.0751828667686398</v>
      </c>
      <c r="BJ58" s="34" t="n">
        <v>0.00457104291399195</v>
      </c>
      <c r="BK58" s="34" t="n">
        <v>0.0139178759572241</v>
      </c>
      <c r="BL58" s="34" t="n">
        <v>0.00240245071189475</v>
      </c>
      <c r="BM58" s="34" t="n">
        <v>0.104153073253499</v>
      </c>
      <c r="BN58" s="34" t="n">
        <v>0.011878603753531</v>
      </c>
      <c r="BO58" s="34" t="n">
        <v>0.00737034665594936</v>
      </c>
      <c r="BP58" s="34" t="n">
        <v>0.0176345340083141</v>
      </c>
      <c r="BQ58" s="34" t="n">
        <v>0.00570955781576603</v>
      </c>
      <c r="BR58" s="34" t="n">
        <v>0.00291841988311534</v>
      </c>
      <c r="BS58" s="34" t="n">
        <v>0.0181564675740838</v>
      </c>
      <c r="BT58" s="34" t="n">
        <v>0</v>
      </c>
    </row>
    <row r="59" customFormat="false" ht="11.25" hidden="false" customHeight="true" outlineLevel="0" collapsed="false">
      <c r="B59" s="19" t="s">
        <v>169</v>
      </c>
      <c r="C59" s="20" t="s">
        <v>170</v>
      </c>
      <c r="D59" s="19" t="n">
        <v>53</v>
      </c>
      <c r="E59" s="33" t="n">
        <v>0.0241976585042788</v>
      </c>
      <c r="F59" s="33" t="n">
        <v>0.00916091856292542</v>
      </c>
      <c r="G59" s="33" t="n">
        <v>0.00142340447892235</v>
      </c>
      <c r="H59" s="33" t="n">
        <v>0.00195934741709126</v>
      </c>
      <c r="I59" s="33" t="n">
        <v>0.0148865633714502</v>
      </c>
      <c r="J59" s="33" t="n">
        <v>0.00589825826222703</v>
      </c>
      <c r="K59" s="33" t="n">
        <v>0.00184696846800263</v>
      </c>
      <c r="L59" s="33" t="n">
        <v>0.0424369201747655</v>
      </c>
      <c r="M59" s="33" t="n">
        <v>0.00685941405393399</v>
      </c>
      <c r="N59" s="33" t="n">
        <v>0.0343733708186026</v>
      </c>
      <c r="O59" s="33" t="n">
        <v>0.00679040374508057</v>
      </c>
      <c r="P59" s="33" t="n">
        <v>0.00139572715448385</v>
      </c>
      <c r="Q59" s="33" t="n">
        <v>0.00408574656542197</v>
      </c>
      <c r="R59" s="33" t="n">
        <v>0.00406236099426255</v>
      </c>
      <c r="S59" s="33" t="n">
        <v>0.00321991108761361</v>
      </c>
      <c r="T59" s="33" t="n">
        <v>0.00284004745479505</v>
      </c>
      <c r="U59" s="33" t="n">
        <v>0.012867450818158</v>
      </c>
      <c r="V59" s="33" t="n">
        <v>0.00110397609982057</v>
      </c>
      <c r="W59" s="33" t="n">
        <v>0.0237485907680305</v>
      </c>
      <c r="X59" s="33" t="n">
        <v>0.00573365381659598</v>
      </c>
      <c r="Y59" s="33" t="n">
        <v>0.016315748733015</v>
      </c>
      <c r="Z59" s="33" t="n">
        <v>0.00924539868636046</v>
      </c>
      <c r="AA59" s="33" t="n">
        <v>0.00409491057616626</v>
      </c>
      <c r="AB59" s="33" t="n">
        <v>0.00656832631138594</v>
      </c>
      <c r="AC59" s="33" t="n">
        <v>0.0108418475415291</v>
      </c>
      <c r="AD59" s="33" t="n">
        <v>0.00934428552393288</v>
      </c>
      <c r="AE59" s="33" t="n">
        <v>0.0125681398466661</v>
      </c>
      <c r="AF59" s="33" t="n">
        <v>0.00616890074873636</v>
      </c>
      <c r="AG59" s="33" t="n">
        <v>0.00990837587826497</v>
      </c>
      <c r="AH59" s="33" t="n">
        <v>0.00703742772952045</v>
      </c>
      <c r="AI59" s="33" t="n">
        <v>0.00787588716777479</v>
      </c>
      <c r="AJ59" s="33" t="n">
        <v>0.0133251966591116</v>
      </c>
      <c r="AK59" s="33" t="n">
        <v>0.0107120955626559</v>
      </c>
      <c r="AL59" s="33" t="n">
        <v>0.00528500515163597</v>
      </c>
      <c r="AM59" s="33" t="n">
        <v>0.00226045989753341</v>
      </c>
      <c r="AN59" s="33" t="n">
        <v>0.00529586910756969</v>
      </c>
      <c r="AO59" s="33" t="n">
        <v>0.00341054640260757</v>
      </c>
      <c r="AP59" s="33" t="n">
        <v>0.0252037794135262</v>
      </c>
      <c r="AQ59" s="33" t="n">
        <v>0.00433205445870452</v>
      </c>
      <c r="AR59" s="33" t="n">
        <v>0.0315970758752437</v>
      </c>
      <c r="AS59" s="33" t="n">
        <v>0.00772357883433276</v>
      </c>
      <c r="AT59" s="33" t="n">
        <v>0.0883362237518061</v>
      </c>
      <c r="AU59" s="33" t="n">
        <v>0.0290749198362143</v>
      </c>
      <c r="AV59" s="33" t="n">
        <v>0.00199187332004133</v>
      </c>
      <c r="AW59" s="33" t="n">
        <v>0.00212281969220896</v>
      </c>
      <c r="AX59" s="33" t="n">
        <v>0.00923058434771716</v>
      </c>
      <c r="AY59" s="33" t="n">
        <v>0.0013095741171574</v>
      </c>
      <c r="AZ59" s="33" t="n">
        <v>0.011377562650296</v>
      </c>
      <c r="BA59" s="33" t="n">
        <v>0.00145202733221444</v>
      </c>
      <c r="BB59" s="33" t="n">
        <v>0.00341043939233152</v>
      </c>
      <c r="BC59" s="33" t="n">
        <v>0.0220114347815185</v>
      </c>
      <c r="BD59" s="33" t="n">
        <v>0.00932756000359314</v>
      </c>
      <c r="BE59" s="33" t="n">
        <v>1.16676345148001</v>
      </c>
      <c r="BF59" s="33" t="n">
        <v>0.0418167712890015</v>
      </c>
      <c r="BG59" s="33" t="n">
        <v>0.0121175108930201</v>
      </c>
      <c r="BH59" s="33" t="n">
        <v>0.00357822246931111</v>
      </c>
      <c r="BI59" s="33" t="n">
        <v>0.00642017531550985</v>
      </c>
      <c r="BJ59" s="33" t="n">
        <v>0.00371742169270311</v>
      </c>
      <c r="BK59" s="33" t="n">
        <v>0.013748805727129</v>
      </c>
      <c r="BL59" s="33" t="n">
        <v>0.00212527349514505</v>
      </c>
      <c r="BM59" s="33" t="n">
        <v>0.0939613815893447</v>
      </c>
      <c r="BN59" s="33" t="n">
        <v>0.00403283196742046</v>
      </c>
      <c r="BO59" s="33" t="n">
        <v>0.00547207624498083</v>
      </c>
      <c r="BP59" s="33" t="n">
        <v>0.00484670637113468</v>
      </c>
      <c r="BQ59" s="33" t="n">
        <v>0.0132923376186977</v>
      </c>
      <c r="BR59" s="33" t="n">
        <v>0.00235144458359798</v>
      </c>
      <c r="BS59" s="33" t="n">
        <v>0.0082233186766031</v>
      </c>
      <c r="BT59" s="33" t="n">
        <v>0</v>
      </c>
    </row>
    <row r="60" customFormat="false" ht="11.25" hidden="false" customHeight="true" outlineLevel="0" collapsed="false">
      <c r="B60" s="24" t="s">
        <v>171</v>
      </c>
      <c r="C60" s="25" t="s">
        <v>172</v>
      </c>
      <c r="D60" s="24" t="n">
        <v>54</v>
      </c>
      <c r="E60" s="34" t="n">
        <v>0.00337220175957154</v>
      </c>
      <c r="F60" s="34" t="n">
        <v>0.00157838835751306</v>
      </c>
      <c r="G60" s="34" t="n">
        <v>0.00015438697234135</v>
      </c>
      <c r="H60" s="34" t="n">
        <v>0.000300370426905128</v>
      </c>
      <c r="I60" s="34" t="n">
        <v>0.00327757511124147</v>
      </c>
      <c r="J60" s="34" t="n">
        <v>0.00159680792011136</v>
      </c>
      <c r="K60" s="34" t="n">
        <v>0.000387492388008659</v>
      </c>
      <c r="L60" s="34" t="n">
        <v>0.0182265563378255</v>
      </c>
      <c r="M60" s="34" t="n">
        <v>0.00138717843969347</v>
      </c>
      <c r="N60" s="34" t="n">
        <v>0.0120120173202161</v>
      </c>
      <c r="O60" s="34" t="n">
        <v>0.00181378354755395</v>
      </c>
      <c r="P60" s="34" t="n">
        <v>0.000444117664913237</v>
      </c>
      <c r="Q60" s="34" t="n">
        <v>0.00176354570657174</v>
      </c>
      <c r="R60" s="34" t="n">
        <v>0.00202428500238207</v>
      </c>
      <c r="S60" s="34" t="n">
        <v>0.00137693116696332</v>
      </c>
      <c r="T60" s="34" t="n">
        <v>0.000944612055272576</v>
      </c>
      <c r="U60" s="34" t="n">
        <v>0.00485959983971502</v>
      </c>
      <c r="V60" s="34" t="n">
        <v>0.000295804608835431</v>
      </c>
      <c r="W60" s="34" t="n">
        <v>0.00523573479811381</v>
      </c>
      <c r="X60" s="34" t="n">
        <v>0.00147783686046622</v>
      </c>
      <c r="Y60" s="34" t="n">
        <v>0.0037651062323284</v>
      </c>
      <c r="Z60" s="34" t="n">
        <v>0.00346330468250361</v>
      </c>
      <c r="AA60" s="34" t="n">
        <v>0.00123216348362479</v>
      </c>
      <c r="AB60" s="34" t="n">
        <v>0.00321022973392507</v>
      </c>
      <c r="AC60" s="34" t="n">
        <v>0.004314876082367</v>
      </c>
      <c r="AD60" s="34" t="n">
        <v>0.00302051398156985</v>
      </c>
      <c r="AE60" s="34" t="n">
        <v>0.0042376323547445</v>
      </c>
      <c r="AF60" s="34" t="n">
        <v>0.00147664055180827</v>
      </c>
      <c r="AG60" s="34" t="n">
        <v>0.00405765777011285</v>
      </c>
      <c r="AH60" s="34" t="n">
        <v>0.00217916778325148</v>
      </c>
      <c r="AI60" s="34" t="n">
        <v>0.00295354110572736</v>
      </c>
      <c r="AJ60" s="34" t="n">
        <v>0.00596311866362674</v>
      </c>
      <c r="AK60" s="34" t="n">
        <v>0.00241372924903567</v>
      </c>
      <c r="AL60" s="34" t="n">
        <v>0.00144546526439357</v>
      </c>
      <c r="AM60" s="34" t="n">
        <v>0.00056860960142742</v>
      </c>
      <c r="AN60" s="34" t="n">
        <v>0.00211183516129239</v>
      </c>
      <c r="AO60" s="34" t="n">
        <v>0.000997616501712846</v>
      </c>
      <c r="AP60" s="34" t="n">
        <v>0.00343720291042113</v>
      </c>
      <c r="AQ60" s="34" t="n">
        <v>0.00113805949446362</v>
      </c>
      <c r="AR60" s="34" t="n">
        <v>0.00759423516343976</v>
      </c>
      <c r="AS60" s="34" t="n">
        <v>0.00604645146639735</v>
      </c>
      <c r="AT60" s="34" t="n">
        <v>0.0718951594345682</v>
      </c>
      <c r="AU60" s="34" t="n">
        <v>0.00601366127043809</v>
      </c>
      <c r="AV60" s="34" t="n">
        <v>0.000464545712699953</v>
      </c>
      <c r="AW60" s="34" t="n">
        <v>0.000432084506626385</v>
      </c>
      <c r="AX60" s="34" t="n">
        <v>0.00568520089828242</v>
      </c>
      <c r="AY60" s="34" t="n">
        <v>0.00130338821171426</v>
      </c>
      <c r="AZ60" s="34" t="n">
        <v>0.00921161441855781</v>
      </c>
      <c r="BA60" s="34" t="n">
        <v>0.000721453553639847</v>
      </c>
      <c r="BB60" s="34" t="n">
        <v>0.00188797022974045</v>
      </c>
      <c r="BC60" s="34" t="n">
        <v>0.0077976178271178</v>
      </c>
      <c r="BD60" s="34" t="n">
        <v>0.00512033283717497</v>
      </c>
      <c r="BE60" s="34" t="n">
        <v>0.0118865524939883</v>
      </c>
      <c r="BF60" s="34" t="n">
        <v>1.00388361077702</v>
      </c>
      <c r="BG60" s="34" t="n">
        <v>0.00983689178094512</v>
      </c>
      <c r="BH60" s="34" t="n">
        <v>0.00179973599390415</v>
      </c>
      <c r="BI60" s="34" t="n">
        <v>0.00419108771873439</v>
      </c>
      <c r="BJ60" s="34" t="n">
        <v>0.00203517406353187</v>
      </c>
      <c r="BK60" s="34" t="n">
        <v>0.00674407888790313</v>
      </c>
      <c r="BL60" s="34" t="n">
        <v>0.000686978795624998</v>
      </c>
      <c r="BM60" s="34" t="n">
        <v>0.00802184812419452</v>
      </c>
      <c r="BN60" s="34" t="n">
        <v>0.00185936530679856</v>
      </c>
      <c r="BO60" s="34" t="n">
        <v>0.00783448591702631</v>
      </c>
      <c r="BP60" s="34" t="n">
        <v>0.002482699975281</v>
      </c>
      <c r="BQ60" s="34" t="n">
        <v>0.00580213090591642</v>
      </c>
      <c r="BR60" s="34" t="n">
        <v>0.00521747525456084</v>
      </c>
      <c r="BS60" s="34" t="n">
        <v>0.00720766806486954</v>
      </c>
      <c r="BT60" s="34" t="n">
        <v>0</v>
      </c>
    </row>
    <row r="61" customFormat="false" ht="11.25" hidden="false" customHeight="true" outlineLevel="0" collapsed="false">
      <c r="B61" s="19" t="s">
        <v>173</v>
      </c>
      <c r="C61" s="20" t="s">
        <v>174</v>
      </c>
      <c r="D61" s="19" t="n">
        <v>55</v>
      </c>
      <c r="E61" s="33" t="n">
        <v>0.0338902628353625</v>
      </c>
      <c r="F61" s="33" t="n">
        <v>0.0128225968656897</v>
      </c>
      <c r="G61" s="33" t="n">
        <v>0.00127488972673192</v>
      </c>
      <c r="H61" s="33" t="n">
        <v>0.00405085074649589</v>
      </c>
      <c r="I61" s="33" t="n">
        <v>0.0568372014914684</v>
      </c>
      <c r="J61" s="33" t="n">
        <v>0.0236608283055741</v>
      </c>
      <c r="K61" s="33" t="n">
        <v>0.00404017508710752</v>
      </c>
      <c r="L61" s="33" t="n">
        <v>0.0957069974033421</v>
      </c>
      <c r="M61" s="33" t="n">
        <v>0.0100046339875574</v>
      </c>
      <c r="N61" s="33" t="n">
        <v>0.0901845848778063</v>
      </c>
      <c r="O61" s="33" t="n">
        <v>0.0219724153129677</v>
      </c>
      <c r="P61" s="33" t="n">
        <v>0.00492227387194622</v>
      </c>
      <c r="Q61" s="33" t="n">
        <v>0.00768862102479886</v>
      </c>
      <c r="R61" s="33" t="n">
        <v>0.00744141084214877</v>
      </c>
      <c r="S61" s="33" t="n">
        <v>0.00585347943702273</v>
      </c>
      <c r="T61" s="33" t="n">
        <v>0.00558726970929255</v>
      </c>
      <c r="U61" s="33" t="n">
        <v>0.0307820321891448</v>
      </c>
      <c r="V61" s="33" t="n">
        <v>0.00174132508483579</v>
      </c>
      <c r="W61" s="33" t="n">
        <v>0.0842213573597686</v>
      </c>
      <c r="X61" s="33" t="n">
        <v>0.0100842895297652</v>
      </c>
      <c r="Y61" s="33" t="n">
        <v>0.0402909357639455</v>
      </c>
      <c r="Z61" s="33" t="n">
        <v>0.0390408916453581</v>
      </c>
      <c r="AA61" s="33" t="n">
        <v>0.0144845263644015</v>
      </c>
      <c r="AB61" s="33" t="n">
        <v>0.0314233317739334</v>
      </c>
      <c r="AC61" s="33" t="n">
        <v>0.0266967871210562</v>
      </c>
      <c r="AD61" s="33" t="n">
        <v>0.0240302437653624</v>
      </c>
      <c r="AE61" s="33" t="n">
        <v>0.027778431083575</v>
      </c>
      <c r="AF61" s="33" t="n">
        <v>0.0118922853595003</v>
      </c>
      <c r="AG61" s="33" t="n">
        <v>0.0211190348538228</v>
      </c>
      <c r="AH61" s="33" t="n">
        <v>0.0217515870600738</v>
      </c>
      <c r="AI61" s="33" t="n">
        <v>0.0195349822614919</v>
      </c>
      <c r="AJ61" s="33" t="n">
        <v>0.0345603266033287</v>
      </c>
      <c r="AK61" s="33" t="n">
        <v>0.026445544231487</v>
      </c>
      <c r="AL61" s="33" t="n">
        <v>0.0126091779546899</v>
      </c>
      <c r="AM61" s="33" t="n">
        <v>0.0046402281841765</v>
      </c>
      <c r="AN61" s="33" t="n">
        <v>0.0104371531251067</v>
      </c>
      <c r="AO61" s="33" t="n">
        <v>0.00885715394311886</v>
      </c>
      <c r="AP61" s="33" t="n">
        <v>0.0205388765995537</v>
      </c>
      <c r="AQ61" s="33" t="n">
        <v>0.0128800869326602</v>
      </c>
      <c r="AR61" s="33" t="n">
        <v>0.0632476397132754</v>
      </c>
      <c r="AS61" s="33" t="n">
        <v>0.0377643576535275</v>
      </c>
      <c r="AT61" s="33" t="n">
        <v>0.223826281438396</v>
      </c>
      <c r="AU61" s="33" t="n">
        <v>0.0478508347853959</v>
      </c>
      <c r="AV61" s="33" t="n">
        <v>0.00288725323630341</v>
      </c>
      <c r="AW61" s="33" t="n">
        <v>0.00351665808578422</v>
      </c>
      <c r="AX61" s="33" t="n">
        <v>0.0198349292118542</v>
      </c>
      <c r="AY61" s="33" t="n">
        <v>0.0018347713454267</v>
      </c>
      <c r="AZ61" s="33" t="n">
        <v>0.0223410305106148</v>
      </c>
      <c r="BA61" s="33" t="n">
        <v>0.00350810713493013</v>
      </c>
      <c r="BB61" s="33" t="n">
        <v>0.0158362049827102</v>
      </c>
      <c r="BC61" s="33" t="n">
        <v>0.0335974195938321</v>
      </c>
      <c r="BD61" s="33" t="n">
        <v>0.0280954730645655</v>
      </c>
      <c r="BE61" s="33" t="n">
        <v>0.102110850378033</v>
      </c>
      <c r="BF61" s="33" t="n">
        <v>0.019179023840039</v>
      </c>
      <c r="BG61" s="33" t="n">
        <v>1.09105666174664</v>
      </c>
      <c r="BH61" s="33" t="n">
        <v>0.0261366593931364</v>
      </c>
      <c r="BI61" s="33" t="n">
        <v>0.0190053543914244</v>
      </c>
      <c r="BJ61" s="33" t="n">
        <v>0.00711471269747995</v>
      </c>
      <c r="BK61" s="33" t="n">
        <v>0.031148663461752</v>
      </c>
      <c r="BL61" s="33" t="n">
        <v>0.00899827566743127</v>
      </c>
      <c r="BM61" s="33" t="n">
        <v>0.0505558223019228</v>
      </c>
      <c r="BN61" s="33" t="n">
        <v>0.00734957550968419</v>
      </c>
      <c r="BO61" s="33" t="n">
        <v>0.0167734680922797</v>
      </c>
      <c r="BP61" s="33" t="n">
        <v>0.0125483782430153</v>
      </c>
      <c r="BQ61" s="33" t="n">
        <v>0.0289358177345385</v>
      </c>
      <c r="BR61" s="33" t="n">
        <v>0.00674030629704413</v>
      </c>
      <c r="BS61" s="33" t="n">
        <v>0.0269081952572757</v>
      </c>
      <c r="BT61" s="33" t="n">
        <v>0</v>
      </c>
    </row>
    <row r="62" customFormat="false" ht="11.25" hidden="false" customHeight="true" outlineLevel="0" collapsed="false">
      <c r="B62" s="24" t="s">
        <v>175</v>
      </c>
      <c r="C62" s="25" t="s">
        <v>176</v>
      </c>
      <c r="D62" s="24" t="n">
        <v>56</v>
      </c>
      <c r="E62" s="34" t="n">
        <v>0.0339598738507539</v>
      </c>
      <c r="F62" s="34" t="n">
        <v>0.00799532892844893</v>
      </c>
      <c r="G62" s="34" t="n">
        <v>0.000742967897928165</v>
      </c>
      <c r="H62" s="34" t="n">
        <v>0.00171537531048914</v>
      </c>
      <c r="I62" s="34" t="n">
        <v>0.0377708700274358</v>
      </c>
      <c r="J62" s="34" t="n">
        <v>0.0177180092885252</v>
      </c>
      <c r="K62" s="34" t="n">
        <v>0.00431509880253936</v>
      </c>
      <c r="L62" s="34" t="n">
        <v>0.0514248386552082</v>
      </c>
      <c r="M62" s="34" t="n">
        <v>0.0107987266710389</v>
      </c>
      <c r="N62" s="34" t="n">
        <v>0.0456227654678399</v>
      </c>
      <c r="O62" s="34" t="n">
        <v>0.00949509448303865</v>
      </c>
      <c r="P62" s="34" t="n">
        <v>0.00261216261224884</v>
      </c>
      <c r="Q62" s="34" t="n">
        <v>0.00408295817439107</v>
      </c>
      <c r="R62" s="34" t="n">
        <v>0.00453490965523504</v>
      </c>
      <c r="S62" s="34" t="n">
        <v>0.00322438074067337</v>
      </c>
      <c r="T62" s="34" t="n">
        <v>0.00320371212145984</v>
      </c>
      <c r="U62" s="34" t="n">
        <v>0.0183438767668584</v>
      </c>
      <c r="V62" s="34" t="n">
        <v>0.00122659579536152</v>
      </c>
      <c r="W62" s="34" t="n">
        <v>0.0345763691987984</v>
      </c>
      <c r="X62" s="34" t="n">
        <v>0.00770114901601453</v>
      </c>
      <c r="Y62" s="34" t="n">
        <v>0.0256719541813464</v>
      </c>
      <c r="Z62" s="34" t="n">
        <v>0.0183961504687025</v>
      </c>
      <c r="AA62" s="34" t="n">
        <v>0.00963727695670419</v>
      </c>
      <c r="AB62" s="34" t="n">
        <v>0.0186476701931047</v>
      </c>
      <c r="AC62" s="34" t="n">
        <v>0.0217287548452275</v>
      </c>
      <c r="AD62" s="34" t="n">
        <v>0.0143431100831413</v>
      </c>
      <c r="AE62" s="34" t="n">
        <v>0.019870134878722</v>
      </c>
      <c r="AF62" s="34" t="n">
        <v>0.0105507357681093</v>
      </c>
      <c r="AG62" s="34" t="n">
        <v>0.0162942180558638</v>
      </c>
      <c r="AH62" s="34" t="n">
        <v>0.0124376060105317</v>
      </c>
      <c r="AI62" s="34" t="n">
        <v>0.0127979990057865</v>
      </c>
      <c r="AJ62" s="34" t="n">
        <v>0.036337751628984</v>
      </c>
      <c r="AK62" s="34" t="n">
        <v>0.0314557353878509</v>
      </c>
      <c r="AL62" s="34" t="n">
        <v>0.0147560308866826</v>
      </c>
      <c r="AM62" s="34" t="n">
        <v>0.00328277242516327</v>
      </c>
      <c r="AN62" s="34" t="n">
        <v>0.00801537114123378</v>
      </c>
      <c r="AO62" s="34" t="n">
        <v>0.00749146133485055</v>
      </c>
      <c r="AP62" s="34" t="n">
        <v>0.0516135945607531</v>
      </c>
      <c r="AQ62" s="34" t="n">
        <v>0.0107467161578284</v>
      </c>
      <c r="AR62" s="34" t="n">
        <v>0.0666468478902911</v>
      </c>
      <c r="AS62" s="34" t="n">
        <v>0.00675980877172426</v>
      </c>
      <c r="AT62" s="34" t="n">
        <v>0.0660178194616506</v>
      </c>
      <c r="AU62" s="34" t="n">
        <v>0.0259516968078787</v>
      </c>
      <c r="AV62" s="34" t="n">
        <v>0.00274906121732353</v>
      </c>
      <c r="AW62" s="34" t="n">
        <v>0.00237222437208185</v>
      </c>
      <c r="AX62" s="34" t="n">
        <v>0.0730539820777255</v>
      </c>
      <c r="AY62" s="34" t="n">
        <v>0.000742150594808093</v>
      </c>
      <c r="AZ62" s="34" t="n">
        <v>0.00924582552424262</v>
      </c>
      <c r="BA62" s="34" t="n">
        <v>0.000763010847732928</v>
      </c>
      <c r="BB62" s="34" t="n">
        <v>0.00129605852110536</v>
      </c>
      <c r="BC62" s="34" t="n">
        <v>0.00634085573428561</v>
      </c>
      <c r="BD62" s="34" t="n">
        <v>0.00896604425216471</v>
      </c>
      <c r="BE62" s="34" t="n">
        <v>0.0151828557382584</v>
      </c>
      <c r="BF62" s="34" t="n">
        <v>0.00267349542440056</v>
      </c>
      <c r="BG62" s="34" t="n">
        <v>0.00378107813909242</v>
      </c>
      <c r="BH62" s="34" t="n">
        <v>1.03692258369169</v>
      </c>
      <c r="BI62" s="34" t="n">
        <v>0.00292686208243888</v>
      </c>
      <c r="BJ62" s="34" t="n">
        <v>0.00223825428563929</v>
      </c>
      <c r="BK62" s="34" t="n">
        <v>0.00673381507749627</v>
      </c>
      <c r="BL62" s="34" t="n">
        <v>0.000451841886309629</v>
      </c>
      <c r="BM62" s="34" t="n">
        <v>0.0781195576769326</v>
      </c>
      <c r="BN62" s="34" t="n">
        <v>0.0223235614691584</v>
      </c>
      <c r="BO62" s="34" t="n">
        <v>0.00383582215827754</v>
      </c>
      <c r="BP62" s="34" t="n">
        <v>0.0468297750598633</v>
      </c>
      <c r="BQ62" s="34" t="n">
        <v>0.00611319682681909</v>
      </c>
      <c r="BR62" s="34" t="n">
        <v>0.000977080117200773</v>
      </c>
      <c r="BS62" s="34" t="n">
        <v>0.00500835783134843</v>
      </c>
      <c r="BT62" s="34" t="n">
        <v>0</v>
      </c>
    </row>
    <row r="63" customFormat="false" ht="11.25" hidden="false" customHeight="true" outlineLevel="0" collapsed="false">
      <c r="B63" s="19" t="s">
        <v>177</v>
      </c>
      <c r="C63" s="20" t="s">
        <v>178</v>
      </c>
      <c r="D63" s="19" t="n">
        <v>57</v>
      </c>
      <c r="E63" s="33" t="n">
        <v>0.0213540167139176</v>
      </c>
      <c r="F63" s="33" t="n">
        <v>0.0161525689180179</v>
      </c>
      <c r="G63" s="33" t="n">
        <v>0.00207261311700505</v>
      </c>
      <c r="H63" s="33" t="n">
        <v>0.00199979528041152</v>
      </c>
      <c r="I63" s="33" t="n">
        <v>0.0221888668609862</v>
      </c>
      <c r="J63" s="33" t="n">
        <v>0.00835635663500113</v>
      </c>
      <c r="K63" s="33" t="n">
        <v>0.00186034453353365</v>
      </c>
      <c r="L63" s="33" t="n">
        <v>0.11561418559353</v>
      </c>
      <c r="M63" s="33" t="n">
        <v>0.00837341465336024</v>
      </c>
      <c r="N63" s="33" t="n">
        <v>0.0961527642594646</v>
      </c>
      <c r="O63" s="33" t="n">
        <v>0.0707771230394156</v>
      </c>
      <c r="P63" s="33" t="n">
        <v>0.00463258337462189</v>
      </c>
      <c r="Q63" s="33" t="n">
        <v>0.00692580356371295</v>
      </c>
      <c r="R63" s="33" t="n">
        <v>0.00997607460603162</v>
      </c>
      <c r="S63" s="33" t="n">
        <v>0.0118614323324819</v>
      </c>
      <c r="T63" s="33" t="n">
        <v>0.00484210760152157</v>
      </c>
      <c r="U63" s="33" t="n">
        <v>0.028108659946308</v>
      </c>
      <c r="V63" s="33" t="n">
        <v>0.00175945994234392</v>
      </c>
      <c r="W63" s="33" t="n">
        <v>0.0315240300902344</v>
      </c>
      <c r="X63" s="33" t="n">
        <v>0.00780763258497397</v>
      </c>
      <c r="Y63" s="33" t="n">
        <v>0.0193809220026978</v>
      </c>
      <c r="Z63" s="33" t="n">
        <v>0.0228287315262855</v>
      </c>
      <c r="AA63" s="33" t="n">
        <v>0.0191290307892523</v>
      </c>
      <c r="AB63" s="33" t="n">
        <v>0.0351333576178078</v>
      </c>
      <c r="AC63" s="33" t="n">
        <v>0.023183887944643</v>
      </c>
      <c r="AD63" s="33" t="n">
        <v>0.0163780294079633</v>
      </c>
      <c r="AE63" s="33" t="n">
        <v>0.0207225262447532</v>
      </c>
      <c r="AF63" s="33" t="n">
        <v>0.00753616854100967</v>
      </c>
      <c r="AG63" s="33" t="n">
        <v>0.0227850210195446</v>
      </c>
      <c r="AH63" s="33" t="n">
        <v>0.0245114853841182</v>
      </c>
      <c r="AI63" s="33" t="n">
        <v>0.019973318575425</v>
      </c>
      <c r="AJ63" s="33" t="n">
        <v>0.0312340303316547</v>
      </c>
      <c r="AK63" s="33" t="n">
        <v>0.0449061522840576</v>
      </c>
      <c r="AL63" s="33" t="n">
        <v>0.00790580744712707</v>
      </c>
      <c r="AM63" s="33" t="n">
        <v>0.00491734000742191</v>
      </c>
      <c r="AN63" s="33" t="n">
        <v>0.012723291212943</v>
      </c>
      <c r="AO63" s="33" t="n">
        <v>0.00674404387970002</v>
      </c>
      <c r="AP63" s="33" t="n">
        <v>0.0488847252327744</v>
      </c>
      <c r="AQ63" s="33" t="n">
        <v>0.00659796436568038</v>
      </c>
      <c r="AR63" s="33" t="n">
        <v>0.050298135714243</v>
      </c>
      <c r="AS63" s="33" t="n">
        <v>0.0309472586914412</v>
      </c>
      <c r="AT63" s="33" t="n">
        <v>0.292625190351893</v>
      </c>
      <c r="AU63" s="33" t="n">
        <v>0.0323877182471054</v>
      </c>
      <c r="AV63" s="33" t="n">
        <v>0.0023393957434354</v>
      </c>
      <c r="AW63" s="33" t="n">
        <v>0.00284830082243788</v>
      </c>
      <c r="AX63" s="33" t="n">
        <v>0.0220399627744827</v>
      </c>
      <c r="AY63" s="33" t="n">
        <v>0.00354842865050414</v>
      </c>
      <c r="AZ63" s="33" t="n">
        <v>0.0379014407980968</v>
      </c>
      <c r="BA63" s="33" t="n">
        <v>0.00795558809916102</v>
      </c>
      <c r="BB63" s="33" t="n">
        <v>0.0226292555905334</v>
      </c>
      <c r="BC63" s="33" t="n">
        <v>0.050555904705279</v>
      </c>
      <c r="BD63" s="33" t="n">
        <v>0.0378476785883467</v>
      </c>
      <c r="BE63" s="33" t="n">
        <v>0.12877017949165</v>
      </c>
      <c r="BF63" s="33" t="n">
        <v>0.0164987795315493</v>
      </c>
      <c r="BG63" s="33" t="n">
        <v>0.0576653755893684</v>
      </c>
      <c r="BH63" s="33" t="n">
        <v>0.00827466652264221</v>
      </c>
      <c r="BI63" s="33" t="n">
        <v>1.04564185122146</v>
      </c>
      <c r="BJ63" s="33" t="n">
        <v>0.0136531541627038</v>
      </c>
      <c r="BK63" s="33" t="n">
        <v>0.0288300794361882</v>
      </c>
      <c r="BL63" s="33" t="n">
        <v>0.00374376003847863</v>
      </c>
      <c r="BM63" s="33" t="n">
        <v>0.0632477226391478</v>
      </c>
      <c r="BN63" s="33" t="n">
        <v>0.0130052326386412</v>
      </c>
      <c r="BO63" s="33" t="n">
        <v>0.0329074861160807</v>
      </c>
      <c r="BP63" s="33" t="n">
        <v>0.0232574985301591</v>
      </c>
      <c r="BQ63" s="33" t="n">
        <v>0.0132973205624997</v>
      </c>
      <c r="BR63" s="33" t="n">
        <v>0.0159118376133472</v>
      </c>
      <c r="BS63" s="33" t="n">
        <v>0.0286695731333074</v>
      </c>
      <c r="BT63" s="33" t="n">
        <v>0</v>
      </c>
    </row>
    <row r="64" customFormat="false" ht="11.25" hidden="false" customHeight="true" outlineLevel="0" collapsed="false">
      <c r="B64" s="24" t="s">
        <v>179</v>
      </c>
      <c r="C64" s="25" t="s">
        <v>180</v>
      </c>
      <c r="D64" s="24" t="n">
        <v>58</v>
      </c>
      <c r="E64" s="34" t="n">
        <v>0.0322327701625697</v>
      </c>
      <c r="F64" s="34" t="n">
        <v>0.0111655435393893</v>
      </c>
      <c r="G64" s="34" t="n">
        <v>0.00229830157680488</v>
      </c>
      <c r="H64" s="34" t="n">
        <v>0.00456234900660418</v>
      </c>
      <c r="I64" s="34" t="n">
        <v>0.151975302739668</v>
      </c>
      <c r="J64" s="34" t="n">
        <v>0.0422082651148452</v>
      </c>
      <c r="K64" s="34" t="n">
        <v>0.00655154629848496</v>
      </c>
      <c r="L64" s="34" t="n">
        <v>0.0714758152316994</v>
      </c>
      <c r="M64" s="34" t="n">
        <v>0.0121786564890772</v>
      </c>
      <c r="N64" s="34" t="n">
        <v>0.0657308445520128</v>
      </c>
      <c r="O64" s="34" t="n">
        <v>0.0153477787097244</v>
      </c>
      <c r="P64" s="34" t="n">
        <v>0.00225494445576051</v>
      </c>
      <c r="Q64" s="34" t="n">
        <v>0.00609919642837626</v>
      </c>
      <c r="R64" s="34" t="n">
        <v>0.00638978747812882</v>
      </c>
      <c r="S64" s="34" t="n">
        <v>0.00515386122895761</v>
      </c>
      <c r="T64" s="34" t="n">
        <v>0.00670301490436234</v>
      </c>
      <c r="U64" s="34" t="n">
        <v>0.0335715110219262</v>
      </c>
      <c r="V64" s="34" t="n">
        <v>0.00326293523424038</v>
      </c>
      <c r="W64" s="34" t="n">
        <v>0.110425401103958</v>
      </c>
      <c r="X64" s="34" t="n">
        <v>0.00720707487788282</v>
      </c>
      <c r="Y64" s="34" t="n">
        <v>0.0297523864448738</v>
      </c>
      <c r="Z64" s="34" t="n">
        <v>0.0206805384229848</v>
      </c>
      <c r="AA64" s="34" t="n">
        <v>0.00670209194529362</v>
      </c>
      <c r="AB64" s="34" t="n">
        <v>0.0131111861715969</v>
      </c>
      <c r="AC64" s="34" t="n">
        <v>0.0247768724837514</v>
      </c>
      <c r="AD64" s="34" t="n">
        <v>0.0195029294621931</v>
      </c>
      <c r="AE64" s="34" t="n">
        <v>0.0402620125113421</v>
      </c>
      <c r="AF64" s="34" t="n">
        <v>0.0149586376335465</v>
      </c>
      <c r="AG64" s="34" t="n">
        <v>0.0277583116914038</v>
      </c>
      <c r="AH64" s="34" t="n">
        <v>0.013828137577447</v>
      </c>
      <c r="AI64" s="34" t="n">
        <v>0.0158556225771509</v>
      </c>
      <c r="AJ64" s="34" t="n">
        <v>0.0309386778494991</v>
      </c>
      <c r="AK64" s="34" t="n">
        <v>0.0344337321378178</v>
      </c>
      <c r="AL64" s="34" t="n">
        <v>0.015833917747805</v>
      </c>
      <c r="AM64" s="34" t="n">
        <v>0.00854097982383872</v>
      </c>
      <c r="AN64" s="34" t="n">
        <v>0.0114700846530931</v>
      </c>
      <c r="AO64" s="34" t="n">
        <v>0.00967234288359442</v>
      </c>
      <c r="AP64" s="34" t="n">
        <v>0.0299087243081405</v>
      </c>
      <c r="AQ64" s="34" t="n">
        <v>0.0241967735730824</v>
      </c>
      <c r="AR64" s="34" t="n">
        <v>0.0750386446693674</v>
      </c>
      <c r="AS64" s="34" t="n">
        <v>0.0166295050286651</v>
      </c>
      <c r="AT64" s="34" t="n">
        <v>0.196639694061196</v>
      </c>
      <c r="AU64" s="34" t="n">
        <v>0.08954322843347</v>
      </c>
      <c r="AV64" s="34" t="n">
        <v>0.0177361151112019</v>
      </c>
      <c r="AW64" s="34" t="n">
        <v>0.0185722869599643</v>
      </c>
      <c r="AX64" s="34" t="n">
        <v>0.0348421480017843</v>
      </c>
      <c r="AY64" s="34" t="n">
        <v>0.00205204044535047</v>
      </c>
      <c r="AZ64" s="34" t="n">
        <v>0.0276639207295017</v>
      </c>
      <c r="BA64" s="34" t="n">
        <v>0.0077005282250545</v>
      </c>
      <c r="BB64" s="34" t="n">
        <v>0.0156204414301819</v>
      </c>
      <c r="BC64" s="34" t="n">
        <v>0.0547930530803814</v>
      </c>
      <c r="BD64" s="34" t="n">
        <v>0.0491031452970115</v>
      </c>
      <c r="BE64" s="34" t="n">
        <v>0.036629969211398</v>
      </c>
      <c r="BF64" s="34" t="n">
        <v>0.00785353649734837</v>
      </c>
      <c r="BG64" s="34" t="n">
        <v>0.0191552391660275</v>
      </c>
      <c r="BH64" s="34" t="n">
        <v>0.0119862306255218</v>
      </c>
      <c r="BI64" s="34" t="n">
        <v>0.0223256292741886</v>
      </c>
      <c r="BJ64" s="34" t="n">
        <v>1.02116255718502</v>
      </c>
      <c r="BK64" s="34" t="n">
        <v>0.0232097551527962</v>
      </c>
      <c r="BL64" s="34" t="n">
        <v>0.00497921814626654</v>
      </c>
      <c r="BM64" s="34" t="n">
        <v>0.0601058369441616</v>
      </c>
      <c r="BN64" s="34" t="n">
        <v>0.0195995787057177</v>
      </c>
      <c r="BO64" s="34" t="n">
        <v>0.0277993855232306</v>
      </c>
      <c r="BP64" s="34" t="n">
        <v>0.0286140738742909</v>
      </c>
      <c r="BQ64" s="34" t="n">
        <v>0.0169487527951229</v>
      </c>
      <c r="BR64" s="34" t="n">
        <v>0.00711605010843351</v>
      </c>
      <c r="BS64" s="34" t="n">
        <v>0.0147815827392907</v>
      </c>
      <c r="BT64" s="34" t="n">
        <v>0</v>
      </c>
    </row>
    <row r="65" customFormat="false" ht="11.25" hidden="false" customHeight="true" outlineLevel="0" collapsed="false">
      <c r="B65" s="19" t="s">
        <v>181</v>
      </c>
      <c r="C65" s="20" t="s">
        <v>182</v>
      </c>
      <c r="D65" s="19" t="n">
        <v>59</v>
      </c>
      <c r="E65" s="33" t="n">
        <v>0.0161911797448544</v>
      </c>
      <c r="F65" s="33" t="n">
        <v>0.00708483739452022</v>
      </c>
      <c r="G65" s="33" t="n">
        <v>0.000789989485915967</v>
      </c>
      <c r="H65" s="33" t="n">
        <v>0.00371933043913609</v>
      </c>
      <c r="I65" s="33" t="n">
        <v>0.0155549239369845</v>
      </c>
      <c r="J65" s="33" t="n">
        <v>0.0111080231087568</v>
      </c>
      <c r="K65" s="33" t="n">
        <v>0.00282899411492847</v>
      </c>
      <c r="L65" s="33" t="n">
        <v>0.0640669961169121</v>
      </c>
      <c r="M65" s="33" t="n">
        <v>0.00745970231525978</v>
      </c>
      <c r="N65" s="33" t="n">
        <v>0.0477259273725953</v>
      </c>
      <c r="O65" s="33" t="n">
        <v>0.0132502204175249</v>
      </c>
      <c r="P65" s="33" t="n">
        <v>0.00233294046600858</v>
      </c>
      <c r="Q65" s="33" t="n">
        <v>0.00539214961926453</v>
      </c>
      <c r="R65" s="33" t="n">
        <v>0.00599643142004932</v>
      </c>
      <c r="S65" s="33" t="n">
        <v>0.00533557530660108</v>
      </c>
      <c r="T65" s="33" t="n">
        <v>0.00358455945241674</v>
      </c>
      <c r="U65" s="33" t="n">
        <v>0.0200886797304045</v>
      </c>
      <c r="V65" s="33" t="n">
        <v>0.00115535298903166</v>
      </c>
      <c r="W65" s="33" t="n">
        <v>0.0226829593738566</v>
      </c>
      <c r="X65" s="33" t="n">
        <v>0.00679637743541134</v>
      </c>
      <c r="Y65" s="33" t="n">
        <v>0.0166622926566747</v>
      </c>
      <c r="Z65" s="33" t="n">
        <v>0.0166879528500352</v>
      </c>
      <c r="AA65" s="33" t="n">
        <v>0.00552812525865557</v>
      </c>
      <c r="AB65" s="33" t="n">
        <v>0.0142233484743208</v>
      </c>
      <c r="AC65" s="33" t="n">
        <v>0.0167704032009456</v>
      </c>
      <c r="AD65" s="33" t="n">
        <v>0.0150938649378499</v>
      </c>
      <c r="AE65" s="33" t="n">
        <v>0.0184420707033113</v>
      </c>
      <c r="AF65" s="33" t="n">
        <v>0.0102827070914663</v>
      </c>
      <c r="AG65" s="33" t="n">
        <v>0.0180388266594087</v>
      </c>
      <c r="AH65" s="33" t="n">
        <v>0.0113485347538678</v>
      </c>
      <c r="AI65" s="33" t="n">
        <v>0.0141395494873124</v>
      </c>
      <c r="AJ65" s="33" t="n">
        <v>0.0294415118220816</v>
      </c>
      <c r="AK65" s="33" t="n">
        <v>0.0154540784289268</v>
      </c>
      <c r="AL65" s="33" t="n">
        <v>0.00719364070210532</v>
      </c>
      <c r="AM65" s="33" t="n">
        <v>0.00255887968325925</v>
      </c>
      <c r="AN65" s="33" t="n">
        <v>0.00797079569578042</v>
      </c>
      <c r="AO65" s="33" t="n">
        <v>0.00588862286574607</v>
      </c>
      <c r="AP65" s="33" t="n">
        <v>0.0255886638076427</v>
      </c>
      <c r="AQ65" s="33" t="n">
        <v>0.00508384825094332</v>
      </c>
      <c r="AR65" s="33" t="n">
        <v>0.0375087246125233</v>
      </c>
      <c r="AS65" s="33" t="n">
        <v>0.0136975015080538</v>
      </c>
      <c r="AT65" s="33" t="n">
        <v>0.225798255049113</v>
      </c>
      <c r="AU65" s="33" t="n">
        <v>0.0274471086893786</v>
      </c>
      <c r="AV65" s="33" t="n">
        <v>0.00181295404371866</v>
      </c>
      <c r="AW65" s="33" t="n">
        <v>0.00403891808732151</v>
      </c>
      <c r="AX65" s="33" t="n">
        <v>0.0199694016513257</v>
      </c>
      <c r="AY65" s="33" t="n">
        <v>0.00337761356859608</v>
      </c>
      <c r="AZ65" s="33" t="n">
        <v>0.0196913834219881</v>
      </c>
      <c r="BA65" s="33" t="n">
        <v>0.00258527642669078</v>
      </c>
      <c r="BB65" s="33" t="n">
        <v>0.00767070949213428</v>
      </c>
      <c r="BC65" s="33" t="n">
        <v>0.0935593244761182</v>
      </c>
      <c r="BD65" s="33" t="n">
        <v>0.04371625256084</v>
      </c>
      <c r="BE65" s="33" t="n">
        <v>0.115412071957942</v>
      </c>
      <c r="BF65" s="33" t="n">
        <v>0.0128967723113624</v>
      </c>
      <c r="BG65" s="33" t="n">
        <v>0.0297718138361773</v>
      </c>
      <c r="BH65" s="33" t="n">
        <v>0.00480264576686649</v>
      </c>
      <c r="BI65" s="33" t="n">
        <v>0.0154231273343746</v>
      </c>
      <c r="BJ65" s="33" t="n">
        <v>0.00479341150143917</v>
      </c>
      <c r="BK65" s="33" t="n">
        <v>1.03594886875774</v>
      </c>
      <c r="BL65" s="33" t="n">
        <v>0.00320750796250789</v>
      </c>
      <c r="BM65" s="33" t="n">
        <v>0.113959240749076</v>
      </c>
      <c r="BN65" s="33" t="n">
        <v>0.0480255487443144</v>
      </c>
      <c r="BO65" s="33" t="n">
        <v>0.024114115166902</v>
      </c>
      <c r="BP65" s="33" t="n">
        <v>0.0539789312264682</v>
      </c>
      <c r="BQ65" s="33" t="n">
        <v>0.0256512986662179</v>
      </c>
      <c r="BR65" s="33" t="n">
        <v>0.00609766909039939</v>
      </c>
      <c r="BS65" s="33" t="n">
        <v>0.0329454598945609</v>
      </c>
      <c r="BT65" s="33" t="n">
        <v>0</v>
      </c>
    </row>
    <row r="66" customFormat="false" ht="11.25" hidden="false" customHeight="true" outlineLevel="0" collapsed="false">
      <c r="B66" s="24" t="s">
        <v>183</v>
      </c>
      <c r="C66" s="25" t="s">
        <v>184</v>
      </c>
      <c r="D66" s="24" t="n">
        <v>60</v>
      </c>
      <c r="E66" s="34" t="n">
        <v>0.023366414145426</v>
      </c>
      <c r="F66" s="34" t="n">
        <v>0.00905006024011612</v>
      </c>
      <c r="G66" s="34" t="n">
        <v>0.00112446616279145</v>
      </c>
      <c r="H66" s="34" t="n">
        <v>0.00175919417185376</v>
      </c>
      <c r="I66" s="34" t="n">
        <v>0.0193485975790436</v>
      </c>
      <c r="J66" s="34" t="n">
        <v>0.0126323954014208</v>
      </c>
      <c r="K66" s="34" t="n">
        <v>0.00278923737484096</v>
      </c>
      <c r="L66" s="34" t="n">
        <v>0.0809930100924128</v>
      </c>
      <c r="M66" s="34" t="n">
        <v>0.0106657196485298</v>
      </c>
      <c r="N66" s="34" t="n">
        <v>0.059874464336447</v>
      </c>
      <c r="O66" s="34" t="n">
        <v>0.0138039171402578</v>
      </c>
      <c r="P66" s="34" t="n">
        <v>0.00538983085770045</v>
      </c>
      <c r="Q66" s="34" t="n">
        <v>0.00632798051955235</v>
      </c>
      <c r="R66" s="34" t="n">
        <v>0.0063326034457306</v>
      </c>
      <c r="S66" s="34" t="n">
        <v>0.00573353642749761</v>
      </c>
      <c r="T66" s="34" t="n">
        <v>0.00611396740659987</v>
      </c>
      <c r="U66" s="34" t="n">
        <v>0.0351949714318375</v>
      </c>
      <c r="V66" s="34" t="n">
        <v>0.00164917996387958</v>
      </c>
      <c r="W66" s="34" t="n">
        <v>0.0300297778105046</v>
      </c>
      <c r="X66" s="34" t="n">
        <v>0.00620214955362429</v>
      </c>
      <c r="Y66" s="34" t="n">
        <v>0.0267950612625393</v>
      </c>
      <c r="Z66" s="34" t="n">
        <v>0.019750427968573</v>
      </c>
      <c r="AA66" s="34" t="n">
        <v>0.00647186083939751</v>
      </c>
      <c r="AB66" s="34" t="n">
        <v>0.0180122736958463</v>
      </c>
      <c r="AC66" s="34" t="n">
        <v>0.0219108635305813</v>
      </c>
      <c r="AD66" s="34" t="n">
        <v>0.0241804599225143</v>
      </c>
      <c r="AE66" s="34" t="n">
        <v>0.0224031299984199</v>
      </c>
      <c r="AF66" s="34" t="n">
        <v>0.00959883148117696</v>
      </c>
      <c r="AG66" s="34" t="n">
        <v>0.0218903031607966</v>
      </c>
      <c r="AH66" s="34" t="n">
        <v>0.0118317674698231</v>
      </c>
      <c r="AI66" s="34" t="n">
        <v>0.0149483327732315</v>
      </c>
      <c r="AJ66" s="34" t="n">
        <v>0.0288973050693342</v>
      </c>
      <c r="AK66" s="34" t="n">
        <v>0.0276631838592026</v>
      </c>
      <c r="AL66" s="34" t="n">
        <v>0.0138842974376889</v>
      </c>
      <c r="AM66" s="34" t="n">
        <v>0.0043616780494139</v>
      </c>
      <c r="AN66" s="34" t="n">
        <v>0.00950927906391512</v>
      </c>
      <c r="AO66" s="34" t="n">
        <v>0.00913942437705004</v>
      </c>
      <c r="AP66" s="34" t="n">
        <v>0.0209106050225694</v>
      </c>
      <c r="AQ66" s="34" t="n">
        <v>0.0188154707451126</v>
      </c>
      <c r="AR66" s="34" t="n">
        <v>0.0521872123572013</v>
      </c>
      <c r="AS66" s="34" t="n">
        <v>0.0242124612028175</v>
      </c>
      <c r="AT66" s="34" t="n">
        <v>0.230867940471308</v>
      </c>
      <c r="AU66" s="34" t="n">
        <v>0.0741444558232068</v>
      </c>
      <c r="AV66" s="34" t="n">
        <v>0.00413627471596114</v>
      </c>
      <c r="AW66" s="34" t="n">
        <v>0.00621878883195621</v>
      </c>
      <c r="AX66" s="34" t="n">
        <v>0.0881146909354362</v>
      </c>
      <c r="AY66" s="34" t="n">
        <v>0.00261925327035495</v>
      </c>
      <c r="AZ66" s="34" t="n">
        <v>0.0279706449644437</v>
      </c>
      <c r="BA66" s="34" t="n">
        <v>0.00266398554526022</v>
      </c>
      <c r="BB66" s="34" t="n">
        <v>0.0104272017512789</v>
      </c>
      <c r="BC66" s="34" t="n">
        <v>0.032209755348917</v>
      </c>
      <c r="BD66" s="34" t="n">
        <v>0.0264030595989366</v>
      </c>
      <c r="BE66" s="34" t="n">
        <v>0.139900370019354</v>
      </c>
      <c r="BF66" s="34" t="n">
        <v>0.0127415186259886</v>
      </c>
      <c r="BG66" s="34" t="n">
        <v>0.0319732689514606</v>
      </c>
      <c r="BH66" s="34" t="n">
        <v>0.00317353964314353</v>
      </c>
      <c r="BI66" s="34" t="n">
        <v>0.0184282652021335</v>
      </c>
      <c r="BJ66" s="34" t="n">
        <v>0.00567028106150851</v>
      </c>
      <c r="BK66" s="34" t="n">
        <v>0.0302977824508954</v>
      </c>
      <c r="BL66" s="34" t="n">
        <v>1.00259006236905</v>
      </c>
      <c r="BM66" s="34" t="n">
        <v>0.195731068677586</v>
      </c>
      <c r="BN66" s="34" t="n">
        <v>0.0829594981343173</v>
      </c>
      <c r="BO66" s="34" t="n">
        <v>0.0419897215049312</v>
      </c>
      <c r="BP66" s="34" t="n">
        <v>0.0455682063515806</v>
      </c>
      <c r="BQ66" s="34" t="n">
        <v>0.00935183879474411</v>
      </c>
      <c r="BR66" s="34" t="n">
        <v>0.00553325725731535</v>
      </c>
      <c r="BS66" s="34" t="n">
        <v>0.0100351928143343</v>
      </c>
      <c r="BT66" s="34" t="n">
        <v>0</v>
      </c>
    </row>
    <row r="67" customFormat="false" ht="11.25" hidden="false" customHeight="true" outlineLevel="0" collapsed="false">
      <c r="B67" s="19" t="s">
        <v>185</v>
      </c>
      <c r="C67" s="20" t="s">
        <v>186</v>
      </c>
      <c r="D67" s="19" t="n">
        <v>61</v>
      </c>
      <c r="E67" s="33" t="n">
        <v>0.001350621456041</v>
      </c>
      <c r="F67" s="33" t="n">
        <v>0.000506114744793288</v>
      </c>
      <c r="G67" s="33" t="n">
        <v>5.5410944378662E-005</v>
      </c>
      <c r="H67" s="33" t="n">
        <v>8.85293268160182E-005</v>
      </c>
      <c r="I67" s="33" t="n">
        <v>0.00115415165557195</v>
      </c>
      <c r="J67" s="33" t="n">
        <v>0.000627109635639422</v>
      </c>
      <c r="K67" s="33" t="n">
        <v>0.000123510896353723</v>
      </c>
      <c r="L67" s="33" t="n">
        <v>0.00299938419575462</v>
      </c>
      <c r="M67" s="33" t="n">
        <v>0.00034716543836941</v>
      </c>
      <c r="N67" s="33" t="n">
        <v>0.00267915873258519</v>
      </c>
      <c r="O67" s="33" t="n">
        <v>0.00104934067433041</v>
      </c>
      <c r="P67" s="33" t="n">
        <v>0.000131022281165988</v>
      </c>
      <c r="Q67" s="33" t="n">
        <v>0.000250575077263603</v>
      </c>
      <c r="R67" s="33" t="n">
        <v>0.000252265785041915</v>
      </c>
      <c r="S67" s="33" t="n">
        <v>0.00023597244552764</v>
      </c>
      <c r="T67" s="33" t="n">
        <v>0.000234380301537947</v>
      </c>
      <c r="U67" s="33" t="n">
        <v>0.000986817663200412</v>
      </c>
      <c r="V67" s="33" t="n">
        <v>5.47623007430307E-005</v>
      </c>
      <c r="W67" s="33" t="n">
        <v>0.00148393705330569</v>
      </c>
      <c r="X67" s="33" t="n">
        <v>0.000298869891015554</v>
      </c>
      <c r="Y67" s="33" t="n">
        <v>0.00170460810190855</v>
      </c>
      <c r="Z67" s="33" t="n">
        <v>0.000947515010694739</v>
      </c>
      <c r="AA67" s="33" t="n">
        <v>0.000454085798226337</v>
      </c>
      <c r="AB67" s="33" t="n">
        <v>0.000827813232067488</v>
      </c>
      <c r="AC67" s="33" t="n">
        <v>0.000873959722796878</v>
      </c>
      <c r="AD67" s="33" t="n">
        <v>0.000708562414704815</v>
      </c>
      <c r="AE67" s="33" t="n">
        <v>0.001401865356535</v>
      </c>
      <c r="AF67" s="33" t="n">
        <v>0.000650415134208783</v>
      </c>
      <c r="AG67" s="33" t="n">
        <v>0.000843919687140088</v>
      </c>
      <c r="AH67" s="33" t="n">
        <v>0.000526060017544241</v>
      </c>
      <c r="AI67" s="33" t="n">
        <v>0.000670914441306584</v>
      </c>
      <c r="AJ67" s="33" t="n">
        <v>0.00112296518200717</v>
      </c>
      <c r="AK67" s="33" t="n">
        <v>0.00104843886185643</v>
      </c>
      <c r="AL67" s="33" t="n">
        <v>0.00045704261262316</v>
      </c>
      <c r="AM67" s="33" t="n">
        <v>0.000154032187341016</v>
      </c>
      <c r="AN67" s="33" t="n">
        <v>0.000388120695521802</v>
      </c>
      <c r="AO67" s="33" t="n">
        <v>0.000282142525652138</v>
      </c>
      <c r="AP67" s="33" t="n">
        <v>0.0012654278729813</v>
      </c>
      <c r="AQ67" s="33" t="n">
        <v>0.00038955611551835</v>
      </c>
      <c r="AR67" s="33" t="n">
        <v>0.00190127806804254</v>
      </c>
      <c r="AS67" s="33" t="n">
        <v>0.000745292144667093</v>
      </c>
      <c r="AT67" s="33" t="n">
        <v>0.00696629085300452</v>
      </c>
      <c r="AU67" s="33" t="n">
        <v>0.00138679405451208</v>
      </c>
      <c r="AV67" s="33" t="n">
        <v>0.00015649944863426</v>
      </c>
      <c r="AW67" s="33" t="n">
        <v>0.000161043874402771</v>
      </c>
      <c r="AX67" s="33" t="n">
        <v>0.000893167216835785</v>
      </c>
      <c r="AY67" s="33" t="n">
        <v>0.000121050750497149</v>
      </c>
      <c r="AZ67" s="33" t="n">
        <v>0.000927330593137913</v>
      </c>
      <c r="BA67" s="33" t="n">
        <v>0.000129306258280501</v>
      </c>
      <c r="BB67" s="33" t="n">
        <v>0.00044366309982296</v>
      </c>
      <c r="BC67" s="33" t="n">
        <v>0.00116308566779949</v>
      </c>
      <c r="BD67" s="33" t="n">
        <v>0.000928161212253204</v>
      </c>
      <c r="BE67" s="33" t="n">
        <v>0.00273250223600976</v>
      </c>
      <c r="BF67" s="33" t="n">
        <v>0.000445779912480874</v>
      </c>
      <c r="BG67" s="33" t="n">
        <v>0.00150695156906157</v>
      </c>
      <c r="BH67" s="33" t="n">
        <v>0.000617594847830906</v>
      </c>
      <c r="BI67" s="33" t="n">
        <v>0.000965663508014235</v>
      </c>
      <c r="BJ67" s="33" t="n">
        <v>0.000240682930221902</v>
      </c>
      <c r="BK67" s="33" t="n">
        <v>0.00139902792850264</v>
      </c>
      <c r="BL67" s="33" t="n">
        <v>0.000125605664613211</v>
      </c>
      <c r="BM67" s="33" t="n">
        <v>1.00293999315243</v>
      </c>
      <c r="BN67" s="33" t="n">
        <v>0.000668581427419115</v>
      </c>
      <c r="BO67" s="33" t="n">
        <v>0.000679495374667337</v>
      </c>
      <c r="BP67" s="33" t="n">
        <v>0.000959378038997491</v>
      </c>
      <c r="BQ67" s="33" t="n">
        <v>0.000942805337340273</v>
      </c>
      <c r="BR67" s="33" t="n">
        <v>0.000293178103505406</v>
      </c>
      <c r="BS67" s="33" t="n">
        <v>0.00127180801921153</v>
      </c>
      <c r="BT67" s="33" t="n">
        <v>0</v>
      </c>
    </row>
    <row r="68" customFormat="false" ht="11.25" hidden="false" customHeight="true" outlineLevel="0" collapsed="false">
      <c r="B68" s="24" t="s">
        <v>187</v>
      </c>
      <c r="C68" s="25" t="s">
        <v>188</v>
      </c>
      <c r="D68" s="24" t="n">
        <v>62</v>
      </c>
      <c r="E68" s="34" t="n">
        <v>0.000112709981677043</v>
      </c>
      <c r="F68" s="34" t="n">
        <v>4.02477854003383E-005</v>
      </c>
      <c r="G68" s="34" t="n">
        <v>3.17508419352904E-006</v>
      </c>
      <c r="H68" s="34" t="n">
        <v>9.13697278213886E-006</v>
      </c>
      <c r="I68" s="34" t="n">
        <v>8.9747546302111E-005</v>
      </c>
      <c r="J68" s="34" t="n">
        <v>0.000198543433067527</v>
      </c>
      <c r="K68" s="34" t="n">
        <v>1.08809564255563E-005</v>
      </c>
      <c r="L68" s="34" t="n">
        <v>0.000302370655715415</v>
      </c>
      <c r="M68" s="34" t="n">
        <v>3.41572799390408E-005</v>
      </c>
      <c r="N68" s="34" t="n">
        <v>0.000206813721929353</v>
      </c>
      <c r="O68" s="34" t="n">
        <v>0.000113318098035304</v>
      </c>
      <c r="P68" s="34" t="n">
        <v>2.30219417518341E-005</v>
      </c>
      <c r="Q68" s="34" t="n">
        <v>1.99841458916189E-005</v>
      </c>
      <c r="R68" s="34" t="n">
        <v>2.91246733095826E-005</v>
      </c>
      <c r="S68" s="34" t="n">
        <v>2.98338308512681E-005</v>
      </c>
      <c r="T68" s="34" t="n">
        <v>2.37898575312922E-005</v>
      </c>
      <c r="U68" s="34" t="n">
        <v>9.78724613137715E-005</v>
      </c>
      <c r="V68" s="34" t="n">
        <v>5.75845781546863E-006</v>
      </c>
      <c r="W68" s="34" t="n">
        <v>0.00010404601145514</v>
      </c>
      <c r="X68" s="34" t="n">
        <v>2.26083546953797E-005</v>
      </c>
      <c r="Y68" s="34" t="n">
        <v>0.000159559212613665</v>
      </c>
      <c r="Z68" s="34" t="n">
        <v>8.61209577748461E-005</v>
      </c>
      <c r="AA68" s="34" t="n">
        <v>7.45271606515934E-005</v>
      </c>
      <c r="AB68" s="34" t="n">
        <v>0.000231157625992211</v>
      </c>
      <c r="AC68" s="34" t="n">
        <v>9.47092743886741E-005</v>
      </c>
      <c r="AD68" s="34" t="n">
        <v>7.20400330031033E-005</v>
      </c>
      <c r="AE68" s="34" t="n">
        <v>0.000133840699245154</v>
      </c>
      <c r="AF68" s="34" t="n">
        <v>0.000140313391248018</v>
      </c>
      <c r="AG68" s="34" t="n">
        <v>8.09536310202108E-005</v>
      </c>
      <c r="AH68" s="34" t="n">
        <v>7.10889767742684E-005</v>
      </c>
      <c r="AI68" s="34" t="n">
        <v>0.000183331219115836</v>
      </c>
      <c r="AJ68" s="34" t="n">
        <v>0.000200847043973717</v>
      </c>
      <c r="AK68" s="34" t="n">
        <v>0.00025468842103751</v>
      </c>
      <c r="AL68" s="34" t="n">
        <v>0.00014327537099724</v>
      </c>
      <c r="AM68" s="34" t="n">
        <v>3.08658966247063E-005</v>
      </c>
      <c r="AN68" s="34" t="n">
        <v>5.01418663140526E-005</v>
      </c>
      <c r="AO68" s="34" t="n">
        <v>3.4969599759275E-005</v>
      </c>
      <c r="AP68" s="34" t="n">
        <v>0.00016743083454235</v>
      </c>
      <c r="AQ68" s="34" t="n">
        <v>3.0957076203056E-005</v>
      </c>
      <c r="AR68" s="34" t="n">
        <v>0.000209018519863367</v>
      </c>
      <c r="AS68" s="34" t="n">
        <v>6.1582620612569E-005</v>
      </c>
      <c r="AT68" s="34" t="n">
        <v>0.00056775989648606</v>
      </c>
      <c r="AU68" s="34" t="n">
        <v>0.000131580878893542</v>
      </c>
      <c r="AV68" s="34" t="n">
        <v>8.89310192162687E-006</v>
      </c>
      <c r="AW68" s="34" t="n">
        <v>7.27929951920771E-006</v>
      </c>
      <c r="AX68" s="34" t="n">
        <v>9.12254988210139E-005</v>
      </c>
      <c r="AY68" s="34" t="n">
        <v>6.1857569011924E-006</v>
      </c>
      <c r="AZ68" s="34" t="n">
        <v>7.42762979675206E-005</v>
      </c>
      <c r="BA68" s="34" t="n">
        <v>8.16700146650586E-006</v>
      </c>
      <c r="BB68" s="34" t="n">
        <v>1.61466482292959E-005</v>
      </c>
      <c r="BC68" s="34" t="n">
        <v>0.000140724210565491</v>
      </c>
      <c r="BD68" s="34" t="n">
        <v>0.000153140435941943</v>
      </c>
      <c r="BE68" s="34" t="n">
        <v>0.000192947002256904</v>
      </c>
      <c r="BF68" s="34" t="n">
        <v>2.53812425985748E-005</v>
      </c>
      <c r="BG68" s="34" t="n">
        <v>0.000117218717883425</v>
      </c>
      <c r="BH68" s="34" t="n">
        <v>0.000604079973869309</v>
      </c>
      <c r="BI68" s="34" t="n">
        <v>5.02745346033902E-005</v>
      </c>
      <c r="BJ68" s="34" t="n">
        <v>3.62827869131248E-005</v>
      </c>
      <c r="BK68" s="34" t="n">
        <v>9.62878615274424E-005</v>
      </c>
      <c r="BL68" s="34" t="n">
        <v>9.99900806881552E-006</v>
      </c>
      <c r="BM68" s="34" t="n">
        <v>0.000184363438947563</v>
      </c>
      <c r="BN68" s="34" t="n">
        <v>1.00005298132866</v>
      </c>
      <c r="BO68" s="34" t="n">
        <v>3.39433388522406E-005</v>
      </c>
      <c r="BP68" s="34" t="n">
        <v>0.000101943067046986</v>
      </c>
      <c r="BQ68" s="34" t="n">
        <v>0.000133314272764419</v>
      </c>
      <c r="BR68" s="34" t="n">
        <v>1.3949893523595E-005</v>
      </c>
      <c r="BS68" s="34" t="n">
        <v>6.89887760492015E-005</v>
      </c>
      <c r="BT68" s="34" t="n">
        <v>0</v>
      </c>
    </row>
    <row r="69" customFormat="false" ht="11.25" hidden="false" customHeight="true" outlineLevel="0" collapsed="false">
      <c r="B69" s="19" t="s">
        <v>189</v>
      </c>
      <c r="C69" s="20" t="s">
        <v>190</v>
      </c>
      <c r="D69" s="19" t="n">
        <v>63</v>
      </c>
      <c r="E69" s="33" t="n">
        <v>0.00366153283917514</v>
      </c>
      <c r="F69" s="33" t="n">
        <v>0.00142799301989491</v>
      </c>
      <c r="G69" s="33" t="n">
        <v>0.000182432081688441</v>
      </c>
      <c r="H69" s="33" t="n">
        <v>0.000368203504216595</v>
      </c>
      <c r="I69" s="33" t="n">
        <v>0.00436921595534434</v>
      </c>
      <c r="J69" s="33" t="n">
        <v>0.00438622528063733</v>
      </c>
      <c r="K69" s="33" t="n">
        <v>0.00077610852041031</v>
      </c>
      <c r="L69" s="33" t="n">
        <v>0.0110877526365749</v>
      </c>
      <c r="M69" s="33" t="n">
        <v>0.00114074917374243</v>
      </c>
      <c r="N69" s="33" t="n">
        <v>0.00904724703481352</v>
      </c>
      <c r="O69" s="33" t="n">
        <v>0.00219662151266701</v>
      </c>
      <c r="P69" s="33" t="n">
        <v>0.000362931330193478</v>
      </c>
      <c r="Q69" s="33" t="n">
        <v>0.000870758053353692</v>
      </c>
      <c r="R69" s="33" t="n">
        <v>0.000886734405647221</v>
      </c>
      <c r="S69" s="33" t="n">
        <v>0.000783717949401421</v>
      </c>
      <c r="T69" s="33" t="n">
        <v>0.000673266709896237</v>
      </c>
      <c r="U69" s="33" t="n">
        <v>0.00386252012428987</v>
      </c>
      <c r="V69" s="33" t="n">
        <v>0.000199388596816713</v>
      </c>
      <c r="W69" s="33" t="n">
        <v>0.00576720770855336</v>
      </c>
      <c r="X69" s="33" t="n">
        <v>0.00102081488785886</v>
      </c>
      <c r="Y69" s="33" t="n">
        <v>0.00351138856713958</v>
      </c>
      <c r="Z69" s="33" t="n">
        <v>0.00325649478227236</v>
      </c>
      <c r="AA69" s="33" t="n">
        <v>0.00111755281887147</v>
      </c>
      <c r="AB69" s="33" t="n">
        <v>0.00239288512633413</v>
      </c>
      <c r="AC69" s="33" t="n">
        <v>0.00271162338021092</v>
      </c>
      <c r="AD69" s="33" t="n">
        <v>0.00220933477436839</v>
      </c>
      <c r="AE69" s="33" t="n">
        <v>0.00610220604018133</v>
      </c>
      <c r="AF69" s="33" t="n">
        <v>0.0024478215712522</v>
      </c>
      <c r="AG69" s="33" t="n">
        <v>0.00388293223518374</v>
      </c>
      <c r="AH69" s="33" t="n">
        <v>0.00169264581877989</v>
      </c>
      <c r="AI69" s="33" t="n">
        <v>0.00225145549808695</v>
      </c>
      <c r="AJ69" s="33" t="n">
        <v>0.00421223084594459</v>
      </c>
      <c r="AK69" s="33" t="n">
        <v>0.00361906648000304</v>
      </c>
      <c r="AL69" s="33" t="n">
        <v>0.00144871380142448</v>
      </c>
      <c r="AM69" s="33" t="n">
        <v>0.000486370733283744</v>
      </c>
      <c r="AN69" s="33" t="n">
        <v>0.0013123714113782</v>
      </c>
      <c r="AO69" s="33" t="n">
        <v>0.000956357599573927</v>
      </c>
      <c r="AP69" s="33" t="n">
        <v>0.0041498989199493</v>
      </c>
      <c r="AQ69" s="33" t="n">
        <v>0.000824848198918155</v>
      </c>
      <c r="AR69" s="33" t="n">
        <v>0.00613091409249964</v>
      </c>
      <c r="AS69" s="33" t="n">
        <v>0.00229032644489207</v>
      </c>
      <c r="AT69" s="33" t="n">
        <v>0.0308029846916388</v>
      </c>
      <c r="AU69" s="33" t="n">
        <v>0.0182946779375181</v>
      </c>
      <c r="AV69" s="33" t="n">
        <v>0.00142329111916497</v>
      </c>
      <c r="AW69" s="33" t="n">
        <v>0.000447512664748045</v>
      </c>
      <c r="AX69" s="33" t="n">
        <v>0.00506833404002032</v>
      </c>
      <c r="AY69" s="33" t="n">
        <v>0.000228342703147561</v>
      </c>
      <c r="AZ69" s="33" t="n">
        <v>0.00237922964208431</v>
      </c>
      <c r="BA69" s="33" t="n">
        <v>0.000372646326694527</v>
      </c>
      <c r="BB69" s="33" t="n">
        <v>0.00102326600761479</v>
      </c>
      <c r="BC69" s="33" t="n">
        <v>0.00510032239088088</v>
      </c>
      <c r="BD69" s="33" t="n">
        <v>0.00252221411585092</v>
      </c>
      <c r="BE69" s="33" t="n">
        <v>0.0292164320942291</v>
      </c>
      <c r="BF69" s="33" t="n">
        <v>0.00186603650331676</v>
      </c>
      <c r="BG69" s="33" t="n">
        <v>0.0295228386599584</v>
      </c>
      <c r="BH69" s="33" t="n">
        <v>0.00281754211667793</v>
      </c>
      <c r="BI69" s="33" t="n">
        <v>0.00847076042862712</v>
      </c>
      <c r="BJ69" s="33" t="n">
        <v>0.00125547664921632</v>
      </c>
      <c r="BK69" s="33" t="n">
        <v>0.0216609087077549</v>
      </c>
      <c r="BL69" s="33" t="n">
        <v>0.00202487391974571</v>
      </c>
      <c r="BM69" s="33" t="n">
        <v>0.0100287307601272</v>
      </c>
      <c r="BN69" s="33" t="n">
        <v>0.0033837040518974</v>
      </c>
      <c r="BO69" s="33" t="n">
        <v>1.00156711056902</v>
      </c>
      <c r="BP69" s="33" t="n">
        <v>0.00731316396153806</v>
      </c>
      <c r="BQ69" s="33" t="n">
        <v>0.00209506156630819</v>
      </c>
      <c r="BR69" s="33" t="n">
        <v>0.00054468575311991</v>
      </c>
      <c r="BS69" s="33" t="n">
        <v>0.0067465952335639</v>
      </c>
      <c r="BT69" s="33" t="n">
        <v>0</v>
      </c>
    </row>
    <row r="70" customFormat="false" ht="11.25" hidden="false" customHeight="true" outlineLevel="0" collapsed="false">
      <c r="B70" s="24" t="s">
        <v>191</v>
      </c>
      <c r="C70" s="25" t="s">
        <v>192</v>
      </c>
      <c r="D70" s="24" t="n">
        <v>64</v>
      </c>
      <c r="E70" s="34" t="n">
        <v>1.41054285360582E-005</v>
      </c>
      <c r="F70" s="34" t="n">
        <v>4.94201850264391E-006</v>
      </c>
      <c r="G70" s="34" t="n">
        <v>3.30792814959128E-007</v>
      </c>
      <c r="H70" s="34" t="n">
        <v>8.96527184069614E-007</v>
      </c>
      <c r="I70" s="34" t="n">
        <v>9.52360612768717E-006</v>
      </c>
      <c r="J70" s="34" t="n">
        <v>3.06970853000726E-005</v>
      </c>
      <c r="K70" s="34" t="n">
        <v>1.07273800679527E-006</v>
      </c>
      <c r="L70" s="34" t="n">
        <v>3.5551203161411E-005</v>
      </c>
      <c r="M70" s="34" t="n">
        <v>4.18029867496957E-006</v>
      </c>
      <c r="N70" s="34" t="n">
        <v>2.25029905792324E-005</v>
      </c>
      <c r="O70" s="34" t="n">
        <v>1.63828800792481E-005</v>
      </c>
      <c r="P70" s="34" t="n">
        <v>3.37238879714364E-006</v>
      </c>
      <c r="Q70" s="34" t="n">
        <v>2.03282316465253E-006</v>
      </c>
      <c r="R70" s="34" t="n">
        <v>3.50906418764286E-006</v>
      </c>
      <c r="S70" s="34" t="n">
        <v>3.91394496007547E-006</v>
      </c>
      <c r="T70" s="34" t="n">
        <v>3.1854276767637E-006</v>
      </c>
      <c r="U70" s="34" t="n">
        <v>1.17784786669415E-005</v>
      </c>
      <c r="V70" s="34" t="n">
        <v>7.00357618977068E-007</v>
      </c>
      <c r="W70" s="34" t="n">
        <v>9.99881476591344E-006</v>
      </c>
      <c r="X70" s="34" t="n">
        <v>2.35396255823787E-006</v>
      </c>
      <c r="Y70" s="34" t="n">
        <v>2.18243031531457E-005</v>
      </c>
      <c r="Z70" s="34" t="n">
        <v>1.02299418700313E-005</v>
      </c>
      <c r="AA70" s="34" t="n">
        <v>1.1161865275454E-005</v>
      </c>
      <c r="AB70" s="34" t="n">
        <v>3.61841959880658E-005</v>
      </c>
      <c r="AC70" s="34" t="n">
        <v>1.20454848910253E-005</v>
      </c>
      <c r="AD70" s="34" t="n">
        <v>8.77055435000631E-006</v>
      </c>
      <c r="AE70" s="34" t="n">
        <v>1.74424267757174E-005</v>
      </c>
      <c r="AF70" s="34" t="n">
        <v>2.17465879927833E-005</v>
      </c>
      <c r="AG70" s="34" t="n">
        <v>9.33731082300745E-006</v>
      </c>
      <c r="AH70" s="34" t="n">
        <v>9.36179809029243E-006</v>
      </c>
      <c r="AI70" s="34" t="n">
        <v>2.8436679896787E-005</v>
      </c>
      <c r="AJ70" s="34" t="n">
        <v>2.78576008765682E-005</v>
      </c>
      <c r="AK70" s="34" t="n">
        <v>3.98532715994007E-005</v>
      </c>
      <c r="AL70" s="34" t="n">
        <v>2.2830816734256E-005</v>
      </c>
      <c r="AM70" s="34" t="n">
        <v>4.66710614010027E-006</v>
      </c>
      <c r="AN70" s="34" t="n">
        <v>6.6748602212423E-006</v>
      </c>
      <c r="AO70" s="34" t="n">
        <v>4.59119658965922E-006</v>
      </c>
      <c r="AP70" s="34" t="n">
        <v>2.29357860561113E-005</v>
      </c>
      <c r="AQ70" s="34" t="n">
        <v>3.89413051795996E-006</v>
      </c>
      <c r="AR70" s="34" t="n">
        <v>2.60246603430317E-005</v>
      </c>
      <c r="AS70" s="34" t="n">
        <v>6.4695405608459E-006</v>
      </c>
      <c r="AT70" s="34" t="n">
        <v>4.81639195287829E-005</v>
      </c>
      <c r="AU70" s="34" t="n">
        <v>1.12032587454259E-005</v>
      </c>
      <c r="AV70" s="34" t="n">
        <v>6.43681103100875E-007</v>
      </c>
      <c r="AW70" s="34" t="n">
        <v>5.95743706897401E-007</v>
      </c>
      <c r="AX70" s="34" t="n">
        <v>9.36595822884854E-006</v>
      </c>
      <c r="AY70" s="34" t="n">
        <v>4.34420684959186E-007</v>
      </c>
      <c r="AZ70" s="34" t="n">
        <v>8.14247224390277E-006</v>
      </c>
      <c r="BA70" s="34" t="n">
        <v>7.95976721357672E-007</v>
      </c>
      <c r="BB70" s="34" t="n">
        <v>1.04977881742204E-006</v>
      </c>
      <c r="BC70" s="34" t="n">
        <v>1.16048185417045E-005</v>
      </c>
      <c r="BD70" s="34" t="n">
        <v>2.02629292013672E-005</v>
      </c>
      <c r="BE70" s="34" t="n">
        <v>7.61947313683977E-006</v>
      </c>
      <c r="BF70" s="34" t="n">
        <v>1.60826831221307E-006</v>
      </c>
      <c r="BG70" s="34" t="n">
        <v>3.05150162853307E-006</v>
      </c>
      <c r="BH70" s="34" t="n">
        <v>0.000101652178077049</v>
      </c>
      <c r="BI70" s="34" t="n">
        <v>2.99892015382613E-006</v>
      </c>
      <c r="BJ70" s="34" t="n">
        <v>4.80005884730618E-006</v>
      </c>
      <c r="BK70" s="34" t="n">
        <v>4.61553114316968E-006</v>
      </c>
      <c r="BL70" s="34" t="n">
        <v>3.32162757261586E-007</v>
      </c>
      <c r="BM70" s="34" t="n">
        <v>1.64366674101676E-005</v>
      </c>
      <c r="BN70" s="34" t="n">
        <v>4.22215901137397E-006</v>
      </c>
      <c r="BO70" s="34" t="n">
        <v>1.80215205863232E-006</v>
      </c>
      <c r="BP70" s="34" t="n">
        <v>1.00001266044165</v>
      </c>
      <c r="BQ70" s="34" t="n">
        <v>0.00161900686885874</v>
      </c>
      <c r="BR70" s="34" t="n">
        <v>6.53267323145436E-007</v>
      </c>
      <c r="BS70" s="34" t="n">
        <v>3.29291728403094E-006</v>
      </c>
      <c r="BT70" s="34" t="n">
        <v>0</v>
      </c>
    </row>
    <row r="71" customFormat="false" ht="11.25" hidden="false" customHeight="true" outlineLevel="0" collapsed="false">
      <c r="B71" s="19" t="s">
        <v>193</v>
      </c>
      <c r="C71" s="20" t="s">
        <v>194</v>
      </c>
      <c r="D71" s="19" t="n">
        <v>65</v>
      </c>
      <c r="E71" s="33" t="n">
        <v>1.85897302285159E-005</v>
      </c>
      <c r="F71" s="33" t="n">
        <v>8.65711337930077E-006</v>
      </c>
      <c r="G71" s="33" t="n">
        <v>8.45613814543967E-007</v>
      </c>
      <c r="H71" s="33" t="n">
        <v>1.64543126993817E-006</v>
      </c>
      <c r="I71" s="33" t="n">
        <v>1.79796550695544E-005</v>
      </c>
      <c r="J71" s="33" t="n">
        <v>9.14220086525535E-006</v>
      </c>
      <c r="K71" s="33" t="n">
        <v>2.12287543122026E-006</v>
      </c>
      <c r="L71" s="33" t="n">
        <v>9.91859177163384E-005</v>
      </c>
      <c r="M71" s="33" t="n">
        <v>7.58904503950839E-006</v>
      </c>
      <c r="N71" s="33" t="n">
        <v>6.54708437468272E-005</v>
      </c>
      <c r="O71" s="33" t="n">
        <v>1.01798621926425E-005</v>
      </c>
      <c r="P71" s="33" t="n">
        <v>2.46207212604889E-006</v>
      </c>
      <c r="Q71" s="33" t="n">
        <v>9.57031826319308E-006</v>
      </c>
      <c r="R71" s="33" t="n">
        <v>1.09961120046849E-005</v>
      </c>
      <c r="S71" s="33" t="n">
        <v>7.5122826325404E-006</v>
      </c>
      <c r="T71" s="33" t="n">
        <v>5.17287822515008E-006</v>
      </c>
      <c r="U71" s="33" t="n">
        <v>2.65089016767087E-005</v>
      </c>
      <c r="V71" s="33" t="n">
        <v>1.61245569603115E-006</v>
      </c>
      <c r="W71" s="33" t="n">
        <v>2.85893959370166E-005</v>
      </c>
      <c r="X71" s="33" t="n">
        <v>8.04352357750224E-006</v>
      </c>
      <c r="Y71" s="33" t="n">
        <v>2.08770025261867E-005</v>
      </c>
      <c r="Z71" s="33" t="n">
        <v>1.89583132434682E-005</v>
      </c>
      <c r="AA71" s="33" t="n">
        <v>6.87157468887793E-006</v>
      </c>
      <c r="AB71" s="33" t="n">
        <v>1.79448318567866E-005</v>
      </c>
      <c r="AC71" s="33" t="n">
        <v>2.35590411151068E-005</v>
      </c>
      <c r="AD71" s="33" t="n">
        <v>1.651301129134E-005</v>
      </c>
      <c r="AE71" s="33" t="n">
        <v>2.33098787609018E-005</v>
      </c>
      <c r="AF71" s="33" t="n">
        <v>8.37276701489935E-006</v>
      </c>
      <c r="AG71" s="33" t="n">
        <v>2.21308573805985E-005</v>
      </c>
      <c r="AH71" s="33" t="n">
        <v>1.19586853795059E-005</v>
      </c>
      <c r="AI71" s="33" t="n">
        <v>1.642646237017E-005</v>
      </c>
      <c r="AJ71" s="33" t="n">
        <v>3.27031825415675E-005</v>
      </c>
      <c r="AK71" s="33" t="n">
        <v>1.37429029705935E-005</v>
      </c>
      <c r="AL71" s="33" t="n">
        <v>8.18680619306009E-006</v>
      </c>
      <c r="AM71" s="33" t="n">
        <v>3.15496794249844E-006</v>
      </c>
      <c r="AN71" s="33" t="n">
        <v>1.15353630347763E-005</v>
      </c>
      <c r="AO71" s="33" t="n">
        <v>5.48591895462134E-006</v>
      </c>
      <c r="AP71" s="33" t="n">
        <v>1.9049819140805E-005</v>
      </c>
      <c r="AQ71" s="33" t="n">
        <v>6.25008014443947E-006</v>
      </c>
      <c r="AR71" s="33" t="n">
        <v>4.15905465728486E-005</v>
      </c>
      <c r="AS71" s="33" t="n">
        <v>3.27862635097789E-005</v>
      </c>
      <c r="AT71" s="33" t="n">
        <v>0.000389126679871423</v>
      </c>
      <c r="AU71" s="33" t="n">
        <v>3.27839010821368E-005</v>
      </c>
      <c r="AV71" s="33" t="n">
        <v>2.53768986562456E-006</v>
      </c>
      <c r="AW71" s="33" t="n">
        <v>2.36290950958826E-006</v>
      </c>
      <c r="AX71" s="33" t="n">
        <v>3.08997364644847E-005</v>
      </c>
      <c r="AY71" s="33" t="n">
        <v>7.04749466408847E-006</v>
      </c>
      <c r="AZ71" s="33" t="n">
        <v>4.98912126553845E-005</v>
      </c>
      <c r="BA71" s="33" t="n">
        <v>3.91928869084198E-006</v>
      </c>
      <c r="BB71" s="33" t="n">
        <v>1.0259271338619E-005</v>
      </c>
      <c r="BC71" s="33" t="n">
        <v>4.23644718080614E-005</v>
      </c>
      <c r="BD71" s="33" t="n">
        <v>2.80256823547886E-005</v>
      </c>
      <c r="BE71" s="33" t="n">
        <v>6.45962964230278E-005</v>
      </c>
      <c r="BF71" s="33" t="n">
        <v>2.10170985838388E-005</v>
      </c>
      <c r="BG71" s="33" t="n">
        <v>5.3283358671191E-005</v>
      </c>
      <c r="BH71" s="33" t="n">
        <v>1.12419638882907E-005</v>
      </c>
      <c r="BI71" s="33" t="n">
        <v>2.278180494214E-005</v>
      </c>
      <c r="BJ71" s="33" t="n">
        <v>1.10714822797569E-005</v>
      </c>
      <c r="BK71" s="33" t="n">
        <v>3.66299814221371E-005</v>
      </c>
      <c r="BL71" s="33" t="n">
        <v>3.72615417848147E-006</v>
      </c>
      <c r="BM71" s="33" t="n">
        <v>0.00021388763926194</v>
      </c>
      <c r="BN71" s="33" t="n">
        <v>2.75290539373665E-005</v>
      </c>
      <c r="BO71" s="33" t="n">
        <v>4.23415804486449E-005</v>
      </c>
      <c r="BP71" s="33" t="n">
        <v>0.00034668207940057</v>
      </c>
      <c r="BQ71" s="33" t="n">
        <v>1.14103644496532</v>
      </c>
      <c r="BR71" s="33" t="n">
        <v>2.81633902596585E-005</v>
      </c>
      <c r="BS71" s="33" t="n">
        <v>3.90867986597878E-005</v>
      </c>
      <c r="BT71" s="33" t="n">
        <v>0</v>
      </c>
    </row>
    <row r="72" customFormat="false" ht="11.25" hidden="false" customHeight="true" outlineLevel="0" collapsed="false">
      <c r="B72" s="24" t="s">
        <v>195</v>
      </c>
      <c r="C72" s="25" t="s">
        <v>196</v>
      </c>
      <c r="D72" s="24" t="n">
        <v>66</v>
      </c>
      <c r="E72" s="34" t="n">
        <v>0.00274084037516521</v>
      </c>
      <c r="F72" s="34" t="n">
        <v>0.00194252460127506</v>
      </c>
      <c r="G72" s="34" t="n">
        <v>0.000244640232374932</v>
      </c>
      <c r="H72" s="34" t="n">
        <v>0.000256901866623357</v>
      </c>
      <c r="I72" s="34" t="n">
        <v>0.00286587291018197</v>
      </c>
      <c r="J72" s="34" t="n">
        <v>0.00115704764756534</v>
      </c>
      <c r="K72" s="34" t="n">
        <v>0.000256850413255765</v>
      </c>
      <c r="L72" s="34" t="n">
        <v>0.0146797630438292</v>
      </c>
      <c r="M72" s="34" t="n">
        <v>0.00107594260123759</v>
      </c>
      <c r="N72" s="34" t="n">
        <v>0.0118971312575375</v>
      </c>
      <c r="O72" s="34" t="n">
        <v>0.00790109227055746</v>
      </c>
      <c r="P72" s="34" t="n">
        <v>0.000555299851393634</v>
      </c>
      <c r="Q72" s="34" t="n">
        <v>0.000938139648631193</v>
      </c>
      <c r="R72" s="34" t="n">
        <v>0.00131620012331215</v>
      </c>
      <c r="S72" s="34" t="n">
        <v>0.00145333104178468</v>
      </c>
      <c r="T72" s="34" t="n">
        <v>0.000657384426142327</v>
      </c>
      <c r="U72" s="34" t="n">
        <v>0.00365963027824146</v>
      </c>
      <c r="V72" s="34" t="n">
        <v>0.00024276544476625</v>
      </c>
      <c r="W72" s="34" t="n">
        <v>0.00406873619108446</v>
      </c>
      <c r="X72" s="34" t="n">
        <v>0.00101498334061963</v>
      </c>
      <c r="Y72" s="34" t="n">
        <v>0.00257412154316285</v>
      </c>
      <c r="Z72" s="34" t="n">
        <v>0.00289782770315177</v>
      </c>
      <c r="AA72" s="34" t="n">
        <v>0.00219707437869721</v>
      </c>
      <c r="AB72" s="34" t="n">
        <v>0.00417323001251118</v>
      </c>
      <c r="AC72" s="34" t="n">
        <v>0.00302174459699095</v>
      </c>
      <c r="AD72" s="34" t="n">
        <v>0.00216926767006714</v>
      </c>
      <c r="AE72" s="34" t="n">
        <v>0.00275930000273866</v>
      </c>
      <c r="AF72" s="34" t="n">
        <v>0.00101703853440116</v>
      </c>
      <c r="AG72" s="34" t="n">
        <v>0.00299342511388057</v>
      </c>
      <c r="AH72" s="34" t="n">
        <v>0.00298332761267784</v>
      </c>
      <c r="AI72" s="34" t="n">
        <v>0.00256297540379437</v>
      </c>
      <c r="AJ72" s="34" t="n">
        <v>0.00413265334239775</v>
      </c>
      <c r="AK72" s="34" t="n">
        <v>0.00525697436794578</v>
      </c>
      <c r="AL72" s="34" t="n">
        <v>0.00111106519157659</v>
      </c>
      <c r="AM72" s="34" t="n">
        <v>0.000610569187487512</v>
      </c>
      <c r="AN72" s="34" t="n">
        <v>0.00165303110145838</v>
      </c>
      <c r="AO72" s="34" t="n">
        <v>0.000853790369435274</v>
      </c>
      <c r="AP72" s="34" t="n">
        <v>0.00566645943449668</v>
      </c>
      <c r="AQ72" s="34" t="n">
        <v>0.000805686767767242</v>
      </c>
      <c r="AR72" s="34" t="n">
        <v>0.00630782811737209</v>
      </c>
      <c r="AS72" s="34" t="n">
        <v>0.00367331455853278</v>
      </c>
      <c r="AT72" s="34" t="n">
        <v>0.0357233395913073</v>
      </c>
      <c r="AU72" s="34" t="n">
        <v>0.00411504300626253</v>
      </c>
      <c r="AV72" s="34" t="n">
        <v>0.000289317439375064</v>
      </c>
      <c r="AW72" s="34" t="n">
        <v>0.000346227070718335</v>
      </c>
      <c r="AX72" s="34" t="n">
        <v>0.00283167413482995</v>
      </c>
      <c r="AY72" s="34" t="n">
        <v>0.000728832974914913</v>
      </c>
      <c r="AZ72" s="34" t="n">
        <v>0.00459544894905106</v>
      </c>
      <c r="BA72" s="34" t="n">
        <v>0.000945353039851436</v>
      </c>
      <c r="BB72" s="34" t="n">
        <v>0.0517155700458042</v>
      </c>
      <c r="BC72" s="34" t="n">
        <v>0.0200049786401729</v>
      </c>
      <c r="BD72" s="34" t="n">
        <v>0.00477606696736438</v>
      </c>
      <c r="BE72" s="34" t="n">
        <v>0.0154315181048956</v>
      </c>
      <c r="BF72" s="34" t="n">
        <v>0.00201397597669331</v>
      </c>
      <c r="BG72" s="34" t="n">
        <v>0.00688647630418749</v>
      </c>
      <c r="BH72" s="34" t="n">
        <v>0.00102006532233354</v>
      </c>
      <c r="BI72" s="34" t="n">
        <v>0.0423447786099046</v>
      </c>
      <c r="BJ72" s="34" t="n">
        <v>0.00158046027346882</v>
      </c>
      <c r="BK72" s="34" t="n">
        <v>0.00421060250272254</v>
      </c>
      <c r="BL72" s="34" t="n">
        <v>0.000472986788032815</v>
      </c>
      <c r="BM72" s="34" t="n">
        <v>0.0236588830319501</v>
      </c>
      <c r="BN72" s="34" t="n">
        <v>0.00352084618883378</v>
      </c>
      <c r="BO72" s="34" t="n">
        <v>0.0039648544940756</v>
      </c>
      <c r="BP72" s="34" t="n">
        <v>0.00464936756286928</v>
      </c>
      <c r="BQ72" s="34" t="n">
        <v>0.00213779579199656</v>
      </c>
      <c r="BR72" s="34" t="n">
        <v>1.02049196868069</v>
      </c>
      <c r="BS72" s="34" t="n">
        <v>0.0260932212851546</v>
      </c>
      <c r="BT72" s="34" t="n">
        <v>0</v>
      </c>
    </row>
    <row r="73" customFormat="false" ht="11.25" hidden="false" customHeight="true" outlineLevel="0" collapsed="false">
      <c r="B73" s="19" t="s">
        <v>197</v>
      </c>
      <c r="C73" s="20" t="s">
        <v>198</v>
      </c>
      <c r="D73" s="19" t="n">
        <v>67</v>
      </c>
      <c r="E73" s="33" t="n">
        <v>0.00504229125879834</v>
      </c>
      <c r="F73" s="33" t="n">
        <v>0.00206185947335526</v>
      </c>
      <c r="G73" s="33" t="n">
        <v>0.000340511544252087</v>
      </c>
      <c r="H73" s="33" t="n">
        <v>0.000603228365292887</v>
      </c>
      <c r="I73" s="33" t="n">
        <v>0.0087807417228839</v>
      </c>
      <c r="J73" s="33" t="n">
        <v>0.00526486231707876</v>
      </c>
      <c r="K73" s="33" t="n">
        <v>0.000980176734503995</v>
      </c>
      <c r="L73" s="33" t="n">
        <v>0.0163513301805536</v>
      </c>
      <c r="M73" s="33" t="n">
        <v>0.002041206610112</v>
      </c>
      <c r="N73" s="33" t="n">
        <v>0.012185001711169</v>
      </c>
      <c r="O73" s="33" t="n">
        <v>0.00336235126012767</v>
      </c>
      <c r="P73" s="33" t="n">
        <v>0.000512634568097602</v>
      </c>
      <c r="Q73" s="33" t="n">
        <v>0.00163190001065196</v>
      </c>
      <c r="R73" s="33" t="n">
        <v>0.00206579857313033</v>
      </c>
      <c r="S73" s="33" t="n">
        <v>0.00137263671268678</v>
      </c>
      <c r="T73" s="33" t="n">
        <v>0.00155212571844755</v>
      </c>
      <c r="U73" s="33" t="n">
        <v>0.00531550976668829</v>
      </c>
      <c r="V73" s="33" t="n">
        <v>0.000539312804696447</v>
      </c>
      <c r="W73" s="33" t="n">
        <v>0.00951905558364452</v>
      </c>
      <c r="X73" s="33" t="n">
        <v>0.00165670478244484</v>
      </c>
      <c r="Y73" s="33" t="n">
        <v>0.00463253402202716</v>
      </c>
      <c r="Z73" s="33" t="n">
        <v>0.00334118791454976</v>
      </c>
      <c r="AA73" s="33" t="n">
        <v>0.00150464179127502</v>
      </c>
      <c r="AB73" s="33" t="n">
        <v>0.00329785336682263</v>
      </c>
      <c r="AC73" s="33" t="n">
        <v>0.00476183650508434</v>
      </c>
      <c r="AD73" s="33" t="n">
        <v>0.00394145147189654</v>
      </c>
      <c r="AE73" s="33" t="n">
        <v>0.00555929093949965</v>
      </c>
      <c r="AF73" s="33" t="n">
        <v>0.00218863631784358</v>
      </c>
      <c r="AG73" s="33" t="n">
        <v>0.00568087424387291</v>
      </c>
      <c r="AH73" s="33" t="n">
        <v>0.00381697387459312</v>
      </c>
      <c r="AI73" s="33" t="n">
        <v>0.00378714866973917</v>
      </c>
      <c r="AJ73" s="33" t="n">
        <v>0.00657621115648649</v>
      </c>
      <c r="AK73" s="33" t="n">
        <v>0.00486204367618404</v>
      </c>
      <c r="AL73" s="33" t="n">
        <v>0.00272719854445063</v>
      </c>
      <c r="AM73" s="33" t="n">
        <v>0.000938301629072145</v>
      </c>
      <c r="AN73" s="33" t="n">
        <v>0.00269027288589482</v>
      </c>
      <c r="AO73" s="33" t="n">
        <v>0.00113062395142731</v>
      </c>
      <c r="AP73" s="33" t="n">
        <v>0.00714156634874176</v>
      </c>
      <c r="AQ73" s="33" t="n">
        <v>0.000777304929785434</v>
      </c>
      <c r="AR73" s="33" t="n">
        <v>0.00849694488010868</v>
      </c>
      <c r="AS73" s="33" t="n">
        <v>0.00235090423233683</v>
      </c>
      <c r="AT73" s="33" t="n">
        <v>0.0420016494548067</v>
      </c>
      <c r="AU73" s="33" t="n">
        <v>0.00881292941850644</v>
      </c>
      <c r="AV73" s="33" t="n">
        <v>0.000482152698759376</v>
      </c>
      <c r="AW73" s="33" t="n">
        <v>0.000525428300528865</v>
      </c>
      <c r="AX73" s="33" t="n">
        <v>0.0092965921412006</v>
      </c>
      <c r="AY73" s="33" t="n">
        <v>0.00101946783335104</v>
      </c>
      <c r="AZ73" s="33" t="n">
        <v>0.00431543727944573</v>
      </c>
      <c r="BA73" s="33" t="n">
        <v>0.000636858564249425</v>
      </c>
      <c r="BB73" s="33" t="n">
        <v>0.00196957383972221</v>
      </c>
      <c r="BC73" s="33" t="n">
        <v>0.0214761778256036</v>
      </c>
      <c r="BD73" s="33" t="n">
        <v>0.0129453842817897</v>
      </c>
      <c r="BE73" s="33" t="n">
        <v>0.0198970075683809</v>
      </c>
      <c r="BF73" s="33" t="n">
        <v>0.00219764570537958</v>
      </c>
      <c r="BG73" s="33" t="n">
        <v>0.00587246551527331</v>
      </c>
      <c r="BH73" s="33" t="n">
        <v>0.00108886966970121</v>
      </c>
      <c r="BI73" s="33" t="n">
        <v>0.00735767917362366</v>
      </c>
      <c r="BJ73" s="33" t="n">
        <v>0.00152773117958801</v>
      </c>
      <c r="BK73" s="33" t="n">
        <v>0.0110880488866757</v>
      </c>
      <c r="BL73" s="33" t="n">
        <v>0.00059464887375199</v>
      </c>
      <c r="BM73" s="33" t="n">
        <v>0.0105434259210309</v>
      </c>
      <c r="BN73" s="33" t="n">
        <v>0.00216992694977041</v>
      </c>
      <c r="BO73" s="33" t="n">
        <v>0.00469923506763433</v>
      </c>
      <c r="BP73" s="33" t="n">
        <v>0.012715508192558</v>
      </c>
      <c r="BQ73" s="33" t="n">
        <v>0.0172242051140413</v>
      </c>
      <c r="BR73" s="33" t="n">
        <v>0.000733721333187352</v>
      </c>
      <c r="BS73" s="33" t="n">
        <v>1.00591139448225</v>
      </c>
      <c r="BT73" s="33" t="n">
        <v>0</v>
      </c>
    </row>
    <row r="74" customFormat="false" ht="11.25" hidden="false" customHeight="true" outlineLevel="0" collapsed="false">
      <c r="B74" s="24" t="s">
        <v>199</v>
      </c>
      <c r="C74" s="25" t="s">
        <v>200</v>
      </c>
      <c r="D74" s="24" t="n">
        <v>68</v>
      </c>
      <c r="E74" s="34" t="n">
        <v>0</v>
      </c>
      <c r="F74" s="34" t="n">
        <v>0</v>
      </c>
      <c r="G74" s="34" t="n">
        <v>0</v>
      </c>
      <c r="H74" s="34" t="n">
        <v>0</v>
      </c>
      <c r="I74" s="34" t="n">
        <v>0</v>
      </c>
      <c r="J74" s="34" t="n">
        <v>0</v>
      </c>
      <c r="K74" s="34" t="n">
        <v>0</v>
      </c>
      <c r="L74" s="34" t="n">
        <v>0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</v>
      </c>
      <c r="R74" s="34" t="n">
        <v>0</v>
      </c>
      <c r="S74" s="34" t="n">
        <v>0</v>
      </c>
      <c r="T74" s="34" t="n">
        <v>0</v>
      </c>
      <c r="U74" s="34" t="n">
        <v>0</v>
      </c>
      <c r="V74" s="34" t="n">
        <v>0</v>
      </c>
      <c r="W74" s="34" t="n">
        <v>0</v>
      </c>
      <c r="X74" s="34" t="n">
        <v>0</v>
      </c>
      <c r="Y74" s="34" t="n">
        <v>0</v>
      </c>
      <c r="Z74" s="34" t="n">
        <v>0</v>
      </c>
      <c r="AA74" s="34" t="n">
        <v>0</v>
      </c>
      <c r="AB74" s="34" t="n">
        <v>0</v>
      </c>
      <c r="AC74" s="34" t="n">
        <v>0</v>
      </c>
      <c r="AD74" s="34" t="n">
        <v>0</v>
      </c>
      <c r="AE74" s="34" t="n">
        <v>0</v>
      </c>
      <c r="AF74" s="34" t="n">
        <v>0</v>
      </c>
      <c r="AG74" s="34" t="n">
        <v>0</v>
      </c>
      <c r="AH74" s="34" t="n">
        <v>0</v>
      </c>
      <c r="AI74" s="34" t="n">
        <v>0</v>
      </c>
      <c r="AJ74" s="34" t="n">
        <v>0</v>
      </c>
      <c r="AK74" s="34" t="n">
        <v>0</v>
      </c>
      <c r="AL74" s="34" t="n">
        <v>0</v>
      </c>
      <c r="AM74" s="34" t="n">
        <v>0</v>
      </c>
      <c r="AN74" s="34" t="n">
        <v>0</v>
      </c>
      <c r="AO74" s="34" t="n">
        <v>0</v>
      </c>
      <c r="AP74" s="34" t="n">
        <v>0</v>
      </c>
      <c r="AQ74" s="34" t="n">
        <v>0</v>
      </c>
      <c r="AR74" s="34" t="n">
        <v>0</v>
      </c>
      <c r="AS74" s="34" t="n">
        <v>0</v>
      </c>
      <c r="AT74" s="34" t="n">
        <v>0</v>
      </c>
      <c r="AU74" s="34" t="n">
        <v>0</v>
      </c>
      <c r="AV74" s="34" t="n">
        <v>0</v>
      </c>
      <c r="AW74" s="34" t="n">
        <v>0</v>
      </c>
      <c r="AX74" s="34" t="n">
        <v>0</v>
      </c>
      <c r="AY74" s="34" t="n">
        <v>0</v>
      </c>
      <c r="AZ74" s="34" t="n">
        <v>0</v>
      </c>
      <c r="BA74" s="34" t="n">
        <v>0</v>
      </c>
      <c r="BB74" s="34" t="n">
        <v>0</v>
      </c>
      <c r="BC74" s="34" t="n">
        <v>0</v>
      </c>
      <c r="BD74" s="34" t="n">
        <v>0</v>
      </c>
      <c r="BE74" s="34" t="n">
        <v>0</v>
      </c>
      <c r="BF74" s="34" t="n">
        <v>0</v>
      </c>
      <c r="BG74" s="34" t="n">
        <v>0</v>
      </c>
      <c r="BH74" s="34" t="n">
        <v>0</v>
      </c>
      <c r="BI74" s="34" t="n">
        <v>0</v>
      </c>
      <c r="BJ74" s="34" t="n">
        <v>0</v>
      </c>
      <c r="BK74" s="34" t="n">
        <v>0</v>
      </c>
      <c r="BL74" s="34" t="n">
        <v>0</v>
      </c>
      <c r="BM74" s="34" t="n">
        <v>0</v>
      </c>
      <c r="BN74" s="34" t="n">
        <v>0</v>
      </c>
      <c r="BO74" s="34" t="n">
        <v>0</v>
      </c>
      <c r="BP74" s="34" t="n">
        <v>0</v>
      </c>
      <c r="BQ74" s="34" t="n">
        <v>0</v>
      </c>
      <c r="BR74" s="34" t="n">
        <v>0</v>
      </c>
      <c r="BS74" s="34" t="n">
        <v>0</v>
      </c>
      <c r="BT74" s="34" t="n">
        <v>1</v>
      </c>
    </row>
  </sheetData>
  <mergeCells count="2">
    <mergeCell ref="B3:V3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8CE"/>
    <pageSetUpPr fitToPage="false"/>
  </sheetPr>
  <dimension ref="B1:BU7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52"/>
    <col collapsed="false" customWidth="true" hidden="false" outlineLevel="0" max="4" min="4" style="0" width="4.4"/>
    <col collapsed="false" customWidth="true" hidden="false" outlineLevel="0" max="73" min="5" style="0" width="10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227</v>
      </c>
    </row>
    <row r="3" customFormat="false" ht="12.75" hidden="false" customHeight="true" outlineLevel="0" collapsed="false">
      <c r="B3" s="15" t="s">
        <v>228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6" customFormat="false" ht="13.5" hidden="false" customHeight="true" outlineLevel="0" collapsed="false">
      <c r="B6" s="32" t="s">
        <v>62</v>
      </c>
      <c r="C6" s="32" t="s">
        <v>63</v>
      </c>
      <c r="D6" s="32"/>
      <c r="E6" s="32" t="n">
        <v>1</v>
      </c>
      <c r="F6" s="32" t="n">
        <v>2</v>
      </c>
      <c r="G6" s="32" t="n">
        <v>3</v>
      </c>
      <c r="H6" s="32" t="n">
        <v>4</v>
      </c>
      <c r="I6" s="32" t="n">
        <v>5</v>
      </c>
      <c r="J6" s="32" t="n">
        <v>6</v>
      </c>
      <c r="K6" s="32" t="n">
        <v>7</v>
      </c>
      <c r="L6" s="32" t="n">
        <v>8</v>
      </c>
      <c r="M6" s="32" t="n">
        <v>9</v>
      </c>
      <c r="N6" s="32" t="n">
        <v>10</v>
      </c>
      <c r="O6" s="32" t="n">
        <v>11</v>
      </c>
      <c r="P6" s="32" t="n">
        <v>12</v>
      </c>
      <c r="Q6" s="32" t="n">
        <v>13</v>
      </c>
      <c r="R6" s="32" t="n">
        <v>14</v>
      </c>
      <c r="S6" s="32" t="n">
        <v>15</v>
      </c>
      <c r="T6" s="32" t="n">
        <v>16</v>
      </c>
      <c r="U6" s="32" t="n">
        <v>17</v>
      </c>
      <c r="V6" s="32" t="n">
        <v>18</v>
      </c>
      <c r="W6" s="32" t="n">
        <v>19</v>
      </c>
      <c r="X6" s="32" t="n">
        <v>20</v>
      </c>
      <c r="Y6" s="32" t="n">
        <v>21</v>
      </c>
      <c r="Z6" s="32" t="n">
        <v>22</v>
      </c>
      <c r="AA6" s="32" t="n">
        <v>23</v>
      </c>
      <c r="AB6" s="32" t="n">
        <v>24</v>
      </c>
      <c r="AC6" s="32" t="n">
        <v>25</v>
      </c>
      <c r="AD6" s="32" t="n">
        <v>26</v>
      </c>
      <c r="AE6" s="32" t="n">
        <v>27</v>
      </c>
      <c r="AF6" s="32" t="n">
        <v>28</v>
      </c>
      <c r="AG6" s="32" t="n">
        <v>29</v>
      </c>
      <c r="AH6" s="32" t="n">
        <v>30</v>
      </c>
      <c r="AI6" s="32" t="n">
        <v>31</v>
      </c>
      <c r="AJ6" s="32" t="n">
        <v>32</v>
      </c>
      <c r="AK6" s="32" t="n">
        <v>33</v>
      </c>
      <c r="AL6" s="32" t="n">
        <v>34</v>
      </c>
      <c r="AM6" s="32" t="n">
        <v>35</v>
      </c>
      <c r="AN6" s="32" t="n">
        <v>36</v>
      </c>
      <c r="AO6" s="32" t="n">
        <v>37</v>
      </c>
      <c r="AP6" s="32" t="n">
        <v>38</v>
      </c>
      <c r="AQ6" s="32" t="n">
        <v>39</v>
      </c>
      <c r="AR6" s="32" t="n">
        <v>40</v>
      </c>
      <c r="AS6" s="32" t="n">
        <v>41</v>
      </c>
      <c r="AT6" s="32" t="n">
        <v>42</v>
      </c>
      <c r="AU6" s="32" t="n">
        <v>43</v>
      </c>
      <c r="AV6" s="32" t="n">
        <v>44</v>
      </c>
      <c r="AW6" s="32" t="n">
        <v>45</v>
      </c>
      <c r="AX6" s="32" t="n">
        <v>46</v>
      </c>
      <c r="AY6" s="32" t="n">
        <v>47</v>
      </c>
      <c r="AZ6" s="32" t="n">
        <v>48</v>
      </c>
      <c r="BA6" s="32" t="n">
        <v>49</v>
      </c>
      <c r="BB6" s="32" t="n">
        <v>50</v>
      </c>
      <c r="BC6" s="32" t="n">
        <v>51</v>
      </c>
      <c r="BD6" s="32" t="n">
        <v>52</v>
      </c>
      <c r="BE6" s="32" t="n">
        <v>53</v>
      </c>
      <c r="BF6" s="32" t="n">
        <v>54</v>
      </c>
      <c r="BG6" s="32" t="n">
        <v>55</v>
      </c>
      <c r="BH6" s="32" t="n">
        <v>56</v>
      </c>
      <c r="BI6" s="32" t="n">
        <v>57</v>
      </c>
      <c r="BJ6" s="32" t="n">
        <v>58</v>
      </c>
      <c r="BK6" s="32" t="n">
        <v>59</v>
      </c>
      <c r="BL6" s="32" t="n">
        <v>60</v>
      </c>
      <c r="BM6" s="32" t="n">
        <v>61</v>
      </c>
      <c r="BN6" s="32" t="n">
        <v>62</v>
      </c>
      <c r="BO6" s="32" t="n">
        <v>63</v>
      </c>
      <c r="BP6" s="32" t="n">
        <v>64</v>
      </c>
      <c r="BQ6" s="32" t="n">
        <v>65</v>
      </c>
      <c r="BR6" s="32" t="n">
        <v>66</v>
      </c>
      <c r="BS6" s="32" t="n">
        <v>67</v>
      </c>
      <c r="BT6" s="32" t="n">
        <v>68</v>
      </c>
      <c r="BU6" s="32" t="s">
        <v>229</v>
      </c>
    </row>
    <row r="7" customFormat="false" ht="11.25" hidden="false" customHeight="true" outlineLevel="0" collapsed="false">
      <c r="B7" s="19" t="s">
        <v>65</v>
      </c>
      <c r="C7" s="20" t="s">
        <v>66</v>
      </c>
      <c r="D7" s="19" t="n">
        <v>1</v>
      </c>
      <c r="E7" s="33" t="n">
        <v>1.0940259956106</v>
      </c>
      <c r="F7" s="33" t="n">
        <v>0.149500811631851</v>
      </c>
      <c r="G7" s="33" t="n">
        <v>0.0931707256387612</v>
      </c>
      <c r="H7" s="33" t="n">
        <v>0.0788875807313447</v>
      </c>
      <c r="I7" s="33" t="n">
        <v>0.0688717429725684</v>
      </c>
      <c r="J7" s="33" t="n">
        <v>0.0765943093332701</v>
      </c>
      <c r="K7" s="33" t="n">
        <v>0.075630762024767</v>
      </c>
      <c r="L7" s="33" t="n">
        <v>0.208841216562717</v>
      </c>
      <c r="M7" s="33" t="n">
        <v>0.575527875631561</v>
      </c>
      <c r="N7" s="33" t="n">
        <v>0.421089714639905</v>
      </c>
      <c r="O7" s="33" t="n">
        <v>0.125495477340426</v>
      </c>
      <c r="P7" s="33" t="n">
        <v>0.383022966609706</v>
      </c>
      <c r="Q7" s="33" t="n">
        <v>0.234756500636699</v>
      </c>
      <c r="R7" s="33" t="n">
        <v>0.133117765724361</v>
      </c>
      <c r="S7" s="33" t="n">
        <v>0.119671893010915</v>
      </c>
      <c r="T7" s="33" t="n">
        <v>0.0993438406964092</v>
      </c>
      <c r="U7" s="33" t="n">
        <v>0.119086602657468</v>
      </c>
      <c r="V7" s="33" t="n">
        <v>0.0736162792619109</v>
      </c>
      <c r="W7" s="33" t="n">
        <v>0.101115050771298</v>
      </c>
      <c r="X7" s="33" t="n">
        <v>0.508816814517069</v>
      </c>
      <c r="Y7" s="33" t="n">
        <v>0.0671651490524868</v>
      </c>
      <c r="Z7" s="33" t="n">
        <v>0.0908789553972276</v>
      </c>
      <c r="AA7" s="33" t="n">
        <v>0.0937216772163177</v>
      </c>
      <c r="AB7" s="33" t="n">
        <v>0.116848785492627</v>
      </c>
      <c r="AC7" s="33" t="n">
        <v>0.0893805824017484</v>
      </c>
      <c r="AD7" s="33" t="n">
        <v>0.0964535923343024</v>
      </c>
      <c r="AE7" s="33" t="n">
        <v>0.0886025765882222</v>
      </c>
      <c r="AF7" s="33" t="n">
        <v>0.0767566466253549</v>
      </c>
      <c r="AG7" s="33" t="n">
        <v>0.0970501505011594</v>
      </c>
      <c r="AH7" s="33" t="n">
        <v>0.0506658173303356</v>
      </c>
      <c r="AI7" s="33" t="n">
        <v>0.086371471853029</v>
      </c>
      <c r="AJ7" s="33" t="n">
        <v>0.104339563733958</v>
      </c>
      <c r="AK7" s="33" t="n">
        <v>0.0532921418403313</v>
      </c>
      <c r="AL7" s="33" t="n">
        <v>0.0624491763090851</v>
      </c>
      <c r="AM7" s="33" t="n">
        <v>0.0518074344551629</v>
      </c>
      <c r="AN7" s="33" t="n">
        <v>0.0911516963577041</v>
      </c>
      <c r="AO7" s="33" t="n">
        <v>0.0611828025405978</v>
      </c>
      <c r="AP7" s="33" t="n">
        <v>0.0681954207634841</v>
      </c>
      <c r="AQ7" s="33" t="n">
        <v>0.0751328866047502</v>
      </c>
      <c r="AR7" s="33" t="n">
        <v>0.0729323288526459</v>
      </c>
      <c r="AS7" s="33" t="n">
        <v>0.0714012813156853</v>
      </c>
      <c r="AT7" s="33" t="n">
        <v>0.102920181865524</v>
      </c>
      <c r="AU7" s="33" t="n">
        <v>0.0813009927991772</v>
      </c>
      <c r="AV7" s="33" t="n">
        <v>0.0713754157095024</v>
      </c>
      <c r="AW7" s="33" t="n">
        <v>0.0619888107447342</v>
      </c>
      <c r="AX7" s="33" t="n">
        <v>0.0770638455101414</v>
      </c>
      <c r="AY7" s="33" t="n">
        <v>0.0935511583917667</v>
      </c>
      <c r="AZ7" s="33" t="n">
        <v>0.121759423844829</v>
      </c>
      <c r="BA7" s="33" t="n">
        <v>0.10988152548392</v>
      </c>
      <c r="BB7" s="33" t="n">
        <v>0.0992691134103405</v>
      </c>
      <c r="BC7" s="33" t="n">
        <v>0.107299339524757</v>
      </c>
      <c r="BD7" s="33" t="n">
        <v>0.0787664360941789</v>
      </c>
      <c r="BE7" s="33" t="n">
        <v>0.077356519931959</v>
      </c>
      <c r="BF7" s="33" t="n">
        <v>0.0800992869121137</v>
      </c>
      <c r="BG7" s="33" t="n">
        <v>0.0820268977344975</v>
      </c>
      <c r="BH7" s="33" t="n">
        <v>0.0761325482277391</v>
      </c>
      <c r="BI7" s="33" t="n">
        <v>0.082524107995508</v>
      </c>
      <c r="BJ7" s="33" t="n">
        <v>0.0777000627736574</v>
      </c>
      <c r="BK7" s="33" t="n">
        <v>0.0797248153481456</v>
      </c>
      <c r="BL7" s="33" t="n">
        <v>0.0821470652063881</v>
      </c>
      <c r="BM7" s="33" t="n">
        <v>0.0806739867330572</v>
      </c>
      <c r="BN7" s="33" t="n">
        <v>0.0816702728873973</v>
      </c>
      <c r="BO7" s="33" t="n">
        <v>0.0784449191656688</v>
      </c>
      <c r="BP7" s="33" t="n">
        <v>0.0813079572801791</v>
      </c>
      <c r="BQ7" s="33" t="n">
        <v>0.0730179368297104</v>
      </c>
      <c r="BR7" s="33" t="n">
        <v>0.0768628091127007</v>
      </c>
      <c r="BS7" s="33" t="n">
        <v>0.0800939411231959</v>
      </c>
      <c r="BT7" s="33" t="n">
        <v>0.0811191001912033</v>
      </c>
      <c r="BU7" s="33" t="n">
        <v>0.0811191001912033</v>
      </c>
    </row>
    <row r="8" customFormat="false" ht="11.25" hidden="false" customHeight="true" outlineLevel="0" collapsed="false">
      <c r="B8" s="24" t="s">
        <v>67</v>
      </c>
      <c r="C8" s="25" t="s">
        <v>68</v>
      </c>
      <c r="D8" s="24" t="n">
        <v>2</v>
      </c>
      <c r="E8" s="34" t="n">
        <v>0.0378171875996578</v>
      </c>
      <c r="F8" s="34" t="n">
        <v>1.08973634874637</v>
      </c>
      <c r="G8" s="34" t="n">
        <v>0.04749627197771</v>
      </c>
      <c r="H8" s="34" t="n">
        <v>0.0369151749328142</v>
      </c>
      <c r="I8" s="34" t="n">
        <v>0.0336899178143702</v>
      </c>
      <c r="J8" s="34" t="n">
        <v>0.0383404250964643</v>
      </c>
      <c r="K8" s="34" t="n">
        <v>0.036258832767095</v>
      </c>
      <c r="L8" s="34" t="n">
        <v>0.401652557290402</v>
      </c>
      <c r="M8" s="34" t="n">
        <v>0.0450873645261659</v>
      </c>
      <c r="N8" s="34" t="n">
        <v>0.0687570338382884</v>
      </c>
      <c r="O8" s="34" t="n">
        <v>0.0381089584371904</v>
      </c>
      <c r="P8" s="34" t="n">
        <v>0.055668992972583</v>
      </c>
      <c r="Q8" s="34" t="n">
        <v>0.0480782633430155</v>
      </c>
      <c r="R8" s="34" t="n">
        <v>0.0486547991712828</v>
      </c>
      <c r="S8" s="34" t="n">
        <v>0.06421845351719</v>
      </c>
      <c r="T8" s="34" t="n">
        <v>0.0516067672688159</v>
      </c>
      <c r="U8" s="34" t="n">
        <v>0.0571382286840812</v>
      </c>
      <c r="V8" s="34" t="n">
        <v>0.0368603834649767</v>
      </c>
      <c r="W8" s="34" t="n">
        <v>0.0294053705947329</v>
      </c>
      <c r="X8" s="34" t="n">
        <v>0.0543203237198608</v>
      </c>
      <c r="Y8" s="34" t="n">
        <v>0.0302459557550379</v>
      </c>
      <c r="Z8" s="34" t="n">
        <v>0.0395155030845886</v>
      </c>
      <c r="AA8" s="34" t="n">
        <v>0.046902110763491</v>
      </c>
      <c r="AB8" s="34" t="n">
        <v>0.0530309324838422</v>
      </c>
      <c r="AC8" s="34" t="n">
        <v>0.0418529913843174</v>
      </c>
      <c r="AD8" s="34" t="n">
        <v>0.0462610300948765</v>
      </c>
      <c r="AE8" s="34" t="n">
        <v>0.0427029543448722</v>
      </c>
      <c r="AF8" s="34" t="n">
        <v>0.0375167840365147</v>
      </c>
      <c r="AG8" s="34" t="n">
        <v>0.0466573040963989</v>
      </c>
      <c r="AH8" s="34" t="n">
        <v>0.024461698218506</v>
      </c>
      <c r="AI8" s="34" t="n">
        <v>0.0410134929982985</v>
      </c>
      <c r="AJ8" s="34" t="n">
        <v>0.0494901471635297</v>
      </c>
      <c r="AK8" s="34" t="n">
        <v>0.0260196840985431</v>
      </c>
      <c r="AL8" s="34" t="n">
        <v>0.0302028440773643</v>
      </c>
      <c r="AM8" s="34" t="n">
        <v>0.0254566506175097</v>
      </c>
      <c r="AN8" s="34" t="n">
        <v>0.0440612466595791</v>
      </c>
      <c r="AO8" s="34" t="n">
        <v>0.0306097333277695</v>
      </c>
      <c r="AP8" s="34" t="n">
        <v>0.0351394491816952</v>
      </c>
      <c r="AQ8" s="34" t="n">
        <v>0.0383424570966262</v>
      </c>
      <c r="AR8" s="34" t="n">
        <v>0.0375480518292636</v>
      </c>
      <c r="AS8" s="34" t="n">
        <v>0.0360108074922169</v>
      </c>
      <c r="AT8" s="34" t="n">
        <v>0.0454993215605496</v>
      </c>
      <c r="AU8" s="34" t="n">
        <v>0.0364383669856243</v>
      </c>
      <c r="AV8" s="34" t="n">
        <v>0.0350707258360687</v>
      </c>
      <c r="AW8" s="34" t="n">
        <v>0.0285046450716601</v>
      </c>
      <c r="AX8" s="34" t="n">
        <v>0.0394481786493841</v>
      </c>
      <c r="AY8" s="34" t="n">
        <v>0.0601973804182001</v>
      </c>
      <c r="AZ8" s="34" t="n">
        <v>0.0741695740094864</v>
      </c>
      <c r="BA8" s="34" t="n">
        <v>0.0534386225548245</v>
      </c>
      <c r="BB8" s="34" t="n">
        <v>0.0493426043250081</v>
      </c>
      <c r="BC8" s="34" t="n">
        <v>0.0532243748377332</v>
      </c>
      <c r="BD8" s="34" t="n">
        <v>0.0406499221067799</v>
      </c>
      <c r="BE8" s="34" t="n">
        <v>0.0405035437923899</v>
      </c>
      <c r="BF8" s="34" t="n">
        <v>0.0422685461989958</v>
      </c>
      <c r="BG8" s="34" t="n">
        <v>0.0424134556105726</v>
      </c>
      <c r="BH8" s="34" t="n">
        <v>0.0387868469007309</v>
      </c>
      <c r="BI8" s="34" t="n">
        <v>0.041856867420053</v>
      </c>
      <c r="BJ8" s="34" t="n">
        <v>0.039331941824678</v>
      </c>
      <c r="BK8" s="34" t="n">
        <v>0.0409388893773068</v>
      </c>
      <c r="BL8" s="34" t="n">
        <v>0.041991745002497</v>
      </c>
      <c r="BM8" s="34" t="n">
        <v>0.0425062203011633</v>
      </c>
      <c r="BN8" s="34" t="n">
        <v>0.0432676140465683</v>
      </c>
      <c r="BO8" s="34" t="n">
        <v>0.0412541063992093</v>
      </c>
      <c r="BP8" s="34" t="n">
        <v>0.0426567084982763</v>
      </c>
      <c r="BQ8" s="34" t="n">
        <v>0.0383287656960613</v>
      </c>
      <c r="BR8" s="34" t="n">
        <v>0.0395374990279373</v>
      </c>
      <c r="BS8" s="34" t="n">
        <v>0.0405418628597094</v>
      </c>
      <c r="BT8" s="34" t="n">
        <v>0.0428832166178271</v>
      </c>
      <c r="BU8" s="34" t="n">
        <v>0.0428832166178271</v>
      </c>
    </row>
    <row r="9" customFormat="false" ht="11.25" hidden="false" customHeight="true" outlineLevel="0" collapsed="false">
      <c r="B9" s="19" t="s">
        <v>69</v>
      </c>
      <c r="C9" s="20" t="s">
        <v>70</v>
      </c>
      <c r="D9" s="19" t="n">
        <v>3</v>
      </c>
      <c r="E9" s="33" t="n">
        <v>0.0115624427393797</v>
      </c>
      <c r="F9" s="33" t="n">
        <v>0.0184071709120392</v>
      </c>
      <c r="G9" s="33" t="n">
        <v>1.07104683599396</v>
      </c>
      <c r="H9" s="33" t="n">
        <v>0.00839853074163786</v>
      </c>
      <c r="I9" s="33" t="n">
        <v>0.00807025500807402</v>
      </c>
      <c r="J9" s="33" t="n">
        <v>0.00870304688300558</v>
      </c>
      <c r="K9" s="33" t="n">
        <v>0.00838187600386831</v>
      </c>
      <c r="L9" s="33" t="n">
        <v>0.0250899760907701</v>
      </c>
      <c r="M9" s="33" t="n">
        <v>0.0110560489198717</v>
      </c>
      <c r="N9" s="33" t="n">
        <v>0.0136912740160406</v>
      </c>
      <c r="O9" s="33" t="n">
        <v>0.00926733127293237</v>
      </c>
      <c r="P9" s="33" t="n">
        <v>0.0133607628013462</v>
      </c>
      <c r="Q9" s="33" t="n">
        <v>0.0109864829133731</v>
      </c>
      <c r="R9" s="33" t="n">
        <v>0.0103873560754498</v>
      </c>
      <c r="S9" s="33" t="n">
        <v>0.0130316003624299</v>
      </c>
      <c r="T9" s="33" t="n">
        <v>0.0746499437430257</v>
      </c>
      <c r="U9" s="33" t="n">
        <v>0.0540426052698069</v>
      </c>
      <c r="V9" s="33" t="n">
        <v>0.0108547370858677</v>
      </c>
      <c r="W9" s="33" t="n">
        <v>0.00672173511609802</v>
      </c>
      <c r="X9" s="33" t="n">
        <v>0.0114829172542417</v>
      </c>
      <c r="Y9" s="33" t="n">
        <v>0.00828933156405568</v>
      </c>
      <c r="Z9" s="33" t="n">
        <v>0.00933253449588542</v>
      </c>
      <c r="AA9" s="33" t="n">
        <v>0.0095805834868622</v>
      </c>
      <c r="AB9" s="33" t="n">
        <v>0.0125047306427882</v>
      </c>
      <c r="AC9" s="33" t="n">
        <v>0.0159420492552754</v>
      </c>
      <c r="AD9" s="33" t="n">
        <v>0.0123795542868331</v>
      </c>
      <c r="AE9" s="33" t="n">
        <v>0.0169258967646099</v>
      </c>
      <c r="AF9" s="33" t="n">
        <v>0.00859473580326988</v>
      </c>
      <c r="AG9" s="33" t="n">
        <v>0.0128797015794037</v>
      </c>
      <c r="AH9" s="33" t="n">
        <v>0.00599640991620781</v>
      </c>
      <c r="AI9" s="33" t="n">
        <v>0.0101469982419903</v>
      </c>
      <c r="AJ9" s="33" t="n">
        <v>0.012198323980177</v>
      </c>
      <c r="AK9" s="33" t="n">
        <v>0.00702454259050674</v>
      </c>
      <c r="AL9" s="33" t="n">
        <v>0.00823024015648246</v>
      </c>
      <c r="AM9" s="33" t="n">
        <v>0.00634110111545061</v>
      </c>
      <c r="AN9" s="33" t="n">
        <v>0.0156020917550352</v>
      </c>
      <c r="AO9" s="33" t="n">
        <v>0.00731267322710751</v>
      </c>
      <c r="AP9" s="33" t="n">
        <v>0.00790899885227959</v>
      </c>
      <c r="AQ9" s="33" t="n">
        <v>0.00873128866333931</v>
      </c>
      <c r="AR9" s="33" t="n">
        <v>0.0109894967215339</v>
      </c>
      <c r="AS9" s="33" t="n">
        <v>0.00835086086348634</v>
      </c>
      <c r="AT9" s="33" t="n">
        <v>0.010646535619591</v>
      </c>
      <c r="AU9" s="33" t="n">
        <v>0.0083061119612564</v>
      </c>
      <c r="AV9" s="33" t="n">
        <v>0.00791970758667967</v>
      </c>
      <c r="AW9" s="33" t="n">
        <v>0.00646064375121211</v>
      </c>
      <c r="AX9" s="33" t="n">
        <v>0.008877321194172</v>
      </c>
      <c r="AY9" s="33" t="n">
        <v>0.0107623047515443</v>
      </c>
      <c r="AZ9" s="33" t="n">
        <v>0.0118007088442382</v>
      </c>
      <c r="BA9" s="33" t="n">
        <v>0.0140260459447345</v>
      </c>
      <c r="BB9" s="33" t="n">
        <v>0.0113360093032071</v>
      </c>
      <c r="BC9" s="33" t="n">
        <v>0.0119563867180464</v>
      </c>
      <c r="BD9" s="33" t="n">
        <v>0.00916467706854118</v>
      </c>
      <c r="BE9" s="33" t="n">
        <v>0.00897908333505532</v>
      </c>
      <c r="BF9" s="33" t="n">
        <v>0.0092869712224552</v>
      </c>
      <c r="BG9" s="33" t="n">
        <v>0.00963079243722315</v>
      </c>
      <c r="BH9" s="33" t="n">
        <v>0.00886681902384885</v>
      </c>
      <c r="BI9" s="33" t="n">
        <v>0.0096651464635317</v>
      </c>
      <c r="BJ9" s="33" t="n">
        <v>0.009146929864269</v>
      </c>
      <c r="BK9" s="33" t="n">
        <v>0.00940490422545152</v>
      </c>
      <c r="BL9" s="33" t="n">
        <v>0.00925643159367837</v>
      </c>
      <c r="BM9" s="33" t="n">
        <v>0.00921081201509401</v>
      </c>
      <c r="BN9" s="33" t="n">
        <v>0.00943592189923265</v>
      </c>
      <c r="BO9" s="33" t="n">
        <v>0.00917658669901523</v>
      </c>
      <c r="BP9" s="33" t="n">
        <v>0.00921765781159778</v>
      </c>
      <c r="BQ9" s="33" t="n">
        <v>0.00851549077545363</v>
      </c>
      <c r="BR9" s="33" t="n">
        <v>0.00885905715034937</v>
      </c>
      <c r="BS9" s="33" t="n">
        <v>0.00876314231614818</v>
      </c>
      <c r="BT9" s="33" t="n">
        <v>0.00932496520994039</v>
      </c>
      <c r="BU9" s="33" t="n">
        <v>0.00932496520994039</v>
      </c>
    </row>
    <row r="10" customFormat="false" ht="11.25" hidden="false" customHeight="true" outlineLevel="0" collapsed="false">
      <c r="B10" s="24" t="s">
        <v>71</v>
      </c>
      <c r="C10" s="25" t="s">
        <v>72</v>
      </c>
      <c r="D10" s="24" t="n">
        <v>4</v>
      </c>
      <c r="E10" s="34" t="n">
        <v>0.00534941122103438</v>
      </c>
      <c r="F10" s="34" t="n">
        <v>0.0066203371154723</v>
      </c>
      <c r="G10" s="34" t="n">
        <v>0.00284915716560424</v>
      </c>
      <c r="H10" s="34" t="n">
        <v>1.01511411281133</v>
      </c>
      <c r="I10" s="34" t="n">
        <v>0.00625472623459043</v>
      </c>
      <c r="J10" s="34" t="n">
        <v>0.0027547658426985</v>
      </c>
      <c r="K10" s="34" t="n">
        <v>0.00343395389183058</v>
      </c>
      <c r="L10" s="34" t="n">
        <v>0.00557082578995672</v>
      </c>
      <c r="M10" s="34" t="n">
        <v>0.00438767220597463</v>
      </c>
      <c r="N10" s="34" t="n">
        <v>0.00535442114055021</v>
      </c>
      <c r="O10" s="34" t="n">
        <v>0.00470456836693824</v>
      </c>
      <c r="P10" s="34" t="n">
        <v>0.00346708142753722</v>
      </c>
      <c r="Q10" s="34" t="n">
        <v>0.00502294275707362</v>
      </c>
      <c r="R10" s="34" t="n">
        <v>0.00305740517473367</v>
      </c>
      <c r="S10" s="34" t="n">
        <v>0.00407732148699674</v>
      </c>
      <c r="T10" s="34" t="n">
        <v>0.00362252692034735</v>
      </c>
      <c r="U10" s="34" t="n">
        <v>0.00495707776693254</v>
      </c>
      <c r="V10" s="34" t="n">
        <v>0.00265549292562074</v>
      </c>
      <c r="W10" s="34" t="n">
        <v>0.00343531351913278</v>
      </c>
      <c r="X10" s="34" t="n">
        <v>0.00682791134690758</v>
      </c>
      <c r="Y10" s="34" t="n">
        <v>0.0237602789969169</v>
      </c>
      <c r="Z10" s="34" t="n">
        <v>0.00654367263846033</v>
      </c>
      <c r="AA10" s="34" t="n">
        <v>0.00509044773181454</v>
      </c>
      <c r="AB10" s="34" t="n">
        <v>0.00361431793230561</v>
      </c>
      <c r="AC10" s="34" t="n">
        <v>0.00705881071941356</v>
      </c>
      <c r="AD10" s="34" t="n">
        <v>0.0643061126824839</v>
      </c>
      <c r="AE10" s="34" t="n">
        <v>0.0141682490109781</v>
      </c>
      <c r="AF10" s="34" t="n">
        <v>0.00980761780900694</v>
      </c>
      <c r="AG10" s="34" t="n">
        <v>0.00598665915862735</v>
      </c>
      <c r="AH10" s="34" t="n">
        <v>0.00163696021217598</v>
      </c>
      <c r="AI10" s="34" t="n">
        <v>0.0056417609429076</v>
      </c>
      <c r="AJ10" s="34" t="n">
        <v>0.00436635645313141</v>
      </c>
      <c r="AK10" s="34" t="n">
        <v>0.00392627292213606</v>
      </c>
      <c r="AL10" s="34" t="n">
        <v>0.00442828013844759</v>
      </c>
      <c r="AM10" s="34" t="n">
        <v>0.00269252981158362</v>
      </c>
      <c r="AN10" s="34" t="n">
        <v>0.00456532926369378</v>
      </c>
      <c r="AO10" s="34" t="n">
        <v>0.00273222225349638</v>
      </c>
      <c r="AP10" s="34" t="n">
        <v>0.00332335284888353</v>
      </c>
      <c r="AQ10" s="34" t="n">
        <v>0.00892023759045601</v>
      </c>
      <c r="AR10" s="34" t="n">
        <v>0.0197231709700108</v>
      </c>
      <c r="AS10" s="34" t="n">
        <v>0.00248409861719189</v>
      </c>
      <c r="AT10" s="34" t="n">
        <v>0.00268321436688031</v>
      </c>
      <c r="AU10" s="34" t="n">
        <v>0.00252938031064054</v>
      </c>
      <c r="AV10" s="34" t="n">
        <v>0.00204781531452396</v>
      </c>
      <c r="AW10" s="34" t="n">
        <v>0.00189818307070558</v>
      </c>
      <c r="AX10" s="34" t="n">
        <v>0.00237149587446927</v>
      </c>
      <c r="AY10" s="34" t="n">
        <v>0.00324939847957623</v>
      </c>
      <c r="AZ10" s="34" t="n">
        <v>0.00293753520164716</v>
      </c>
      <c r="BA10" s="34" t="n">
        <v>0.0030784918914221</v>
      </c>
      <c r="BB10" s="34" t="n">
        <v>0.00277968103570856</v>
      </c>
      <c r="BC10" s="34" t="n">
        <v>0.00326326857759057</v>
      </c>
      <c r="BD10" s="34" t="n">
        <v>0.002141937177469</v>
      </c>
      <c r="BE10" s="34" t="n">
        <v>0.00198886389806394</v>
      </c>
      <c r="BF10" s="34" t="n">
        <v>0.00274643951581268</v>
      </c>
      <c r="BG10" s="34" t="n">
        <v>0.00220063482672984</v>
      </c>
      <c r="BH10" s="34" t="n">
        <v>0.002214249866327</v>
      </c>
      <c r="BI10" s="34" t="n">
        <v>0.00224302584426608</v>
      </c>
      <c r="BJ10" s="34" t="n">
        <v>0.0022264627059292</v>
      </c>
      <c r="BK10" s="34" t="n">
        <v>0.00252343995268478</v>
      </c>
      <c r="BL10" s="34" t="n">
        <v>0.00205931244799126</v>
      </c>
      <c r="BM10" s="34" t="n">
        <v>0.00246935705393013</v>
      </c>
      <c r="BN10" s="34" t="n">
        <v>0.0021548959982954</v>
      </c>
      <c r="BO10" s="34" t="n">
        <v>0.00216723750882291</v>
      </c>
      <c r="BP10" s="34" t="n">
        <v>0.00257957448484094</v>
      </c>
      <c r="BQ10" s="34" t="n">
        <v>0.00206498244961263</v>
      </c>
      <c r="BR10" s="34" t="n">
        <v>0.00236683624627706</v>
      </c>
      <c r="BS10" s="34" t="n">
        <v>0.0024210190634828</v>
      </c>
      <c r="BT10" s="34" t="n">
        <v>0.00192994527673829</v>
      </c>
      <c r="BU10" s="34" t="n">
        <v>0.00192994527673829</v>
      </c>
    </row>
    <row r="11" customFormat="false" ht="11.25" hidden="false" customHeight="true" outlineLevel="0" collapsed="false">
      <c r="B11" s="19" t="s">
        <v>73</v>
      </c>
      <c r="C11" s="20" t="s">
        <v>74</v>
      </c>
      <c r="D11" s="19" t="n">
        <v>5</v>
      </c>
      <c r="E11" s="33" t="n">
        <v>0.0381761062047301</v>
      </c>
      <c r="F11" s="33" t="n">
        <v>0.0378954661769765</v>
      </c>
      <c r="G11" s="33" t="n">
        <v>0.0335323917129525</v>
      </c>
      <c r="H11" s="33" t="n">
        <v>0.0497565910323332</v>
      </c>
      <c r="I11" s="33" t="n">
        <v>1.06295668433935</v>
      </c>
      <c r="J11" s="33" t="n">
        <v>0.0483992100513028</v>
      </c>
      <c r="K11" s="33" t="n">
        <v>0.0579637595225856</v>
      </c>
      <c r="L11" s="33" t="n">
        <v>0.0585796646469814</v>
      </c>
      <c r="M11" s="33" t="n">
        <v>0.0459044487299802</v>
      </c>
      <c r="N11" s="33" t="n">
        <v>0.0503744125582571</v>
      </c>
      <c r="O11" s="33" t="n">
        <v>0.0372124270287425</v>
      </c>
      <c r="P11" s="33" t="n">
        <v>0.0368782581146507</v>
      </c>
      <c r="Q11" s="33" t="n">
        <v>0.0410028653104453</v>
      </c>
      <c r="R11" s="33" t="n">
        <v>0.0342418285546155</v>
      </c>
      <c r="S11" s="33" t="n">
        <v>0.0444559619097819</v>
      </c>
      <c r="T11" s="33" t="n">
        <v>0.0436734121305531</v>
      </c>
      <c r="U11" s="33" t="n">
        <v>0.0603325205028555</v>
      </c>
      <c r="V11" s="33" t="n">
        <v>0.0289935166732749</v>
      </c>
      <c r="W11" s="33" t="n">
        <v>0.345994121027847</v>
      </c>
      <c r="X11" s="33" t="n">
        <v>0.0426701242370565</v>
      </c>
      <c r="Y11" s="33" t="n">
        <v>0.0613272425052265</v>
      </c>
      <c r="Z11" s="33" t="n">
        <v>0.0423364279653163</v>
      </c>
      <c r="AA11" s="33" t="n">
        <v>0.0357922177970869</v>
      </c>
      <c r="AB11" s="33" t="n">
        <v>0.044477432894883</v>
      </c>
      <c r="AC11" s="33" t="n">
        <v>0.0468213088120506</v>
      </c>
      <c r="AD11" s="33" t="n">
        <v>0.0580832383711973</v>
      </c>
      <c r="AE11" s="33" t="n">
        <v>0.0523510703820781</v>
      </c>
      <c r="AF11" s="33" t="n">
        <v>0.050319062331103</v>
      </c>
      <c r="AG11" s="33" t="n">
        <v>0.0462030428697366</v>
      </c>
      <c r="AH11" s="33" t="n">
        <v>0.020573576962282</v>
      </c>
      <c r="AI11" s="33" t="n">
        <v>0.0412654337843943</v>
      </c>
      <c r="AJ11" s="33" t="n">
        <v>0.0429193214339259</v>
      </c>
      <c r="AK11" s="33" t="n">
        <v>0.0271825031931939</v>
      </c>
      <c r="AL11" s="33" t="n">
        <v>0.0301506636326025</v>
      </c>
      <c r="AM11" s="33" t="n">
        <v>0.0225119635087263</v>
      </c>
      <c r="AN11" s="33" t="n">
        <v>0.0371848863343706</v>
      </c>
      <c r="AO11" s="33" t="n">
        <v>0.024644307911616</v>
      </c>
      <c r="AP11" s="33" t="n">
        <v>0.0662787832994384</v>
      </c>
      <c r="AQ11" s="33" t="n">
        <v>0.0454850835949438</v>
      </c>
      <c r="AR11" s="33" t="n">
        <v>0.0349609643014496</v>
      </c>
      <c r="AS11" s="33" t="n">
        <v>0.0265713383283947</v>
      </c>
      <c r="AT11" s="33" t="n">
        <v>0.0395504862841347</v>
      </c>
      <c r="AU11" s="33" t="n">
        <v>0.0936563321731276</v>
      </c>
      <c r="AV11" s="33" t="n">
        <v>0.0493237007185322</v>
      </c>
      <c r="AW11" s="33" t="n">
        <v>0.0660257679409857</v>
      </c>
      <c r="AX11" s="33" t="n">
        <v>0.0351551981703005</v>
      </c>
      <c r="AY11" s="33" t="n">
        <v>0.0298631402516905</v>
      </c>
      <c r="AZ11" s="33" t="n">
        <v>0.0305545616263774</v>
      </c>
      <c r="BA11" s="33" t="n">
        <v>0.0412757889035924</v>
      </c>
      <c r="BB11" s="33" t="n">
        <v>0.0355118745609613</v>
      </c>
      <c r="BC11" s="33" t="n">
        <v>0.0387002921788682</v>
      </c>
      <c r="BD11" s="33" t="n">
        <v>0.0263080183544905</v>
      </c>
      <c r="BE11" s="33" t="n">
        <v>0.0251492816383832</v>
      </c>
      <c r="BF11" s="33" t="n">
        <v>0.0249761298456678</v>
      </c>
      <c r="BG11" s="33" t="n">
        <v>0.0278458280690053</v>
      </c>
      <c r="BH11" s="33" t="n">
        <v>0.0283063163819965</v>
      </c>
      <c r="BI11" s="33" t="n">
        <v>0.0285757779521394</v>
      </c>
      <c r="BJ11" s="33" t="n">
        <v>0.0292065446725779</v>
      </c>
      <c r="BK11" s="33" t="n">
        <v>0.0281258161456264</v>
      </c>
      <c r="BL11" s="33" t="n">
        <v>0.0289786600656811</v>
      </c>
      <c r="BM11" s="33" t="n">
        <v>0.0292294715831294</v>
      </c>
      <c r="BN11" s="33" t="n">
        <v>0.0257125886586309</v>
      </c>
      <c r="BO11" s="33" t="n">
        <v>0.0272786100368059</v>
      </c>
      <c r="BP11" s="33" t="n">
        <v>0.0257703671210345</v>
      </c>
      <c r="BQ11" s="33" t="n">
        <v>0.0237539470299596</v>
      </c>
      <c r="BR11" s="33" t="n">
        <v>0.0278201524883349</v>
      </c>
      <c r="BS11" s="33" t="n">
        <v>0.0288906199088069</v>
      </c>
      <c r="BT11" s="33" t="n">
        <v>0.0248111163240417</v>
      </c>
      <c r="BU11" s="33" t="n">
        <v>0.0248111163240417</v>
      </c>
    </row>
    <row r="12" customFormat="false" ht="11.25" hidden="false" customHeight="true" outlineLevel="0" collapsed="false">
      <c r="B12" s="24" t="s">
        <v>75</v>
      </c>
      <c r="C12" s="25" t="s">
        <v>76</v>
      </c>
      <c r="D12" s="24" t="n">
        <v>6</v>
      </c>
      <c r="E12" s="34" t="n">
        <v>0.00343744798289386</v>
      </c>
      <c r="F12" s="34" t="n">
        <v>0.00427351255841807</v>
      </c>
      <c r="G12" s="34" t="n">
        <v>0.00350257351872157</v>
      </c>
      <c r="H12" s="34" t="n">
        <v>0.00592213108188122</v>
      </c>
      <c r="I12" s="34" t="n">
        <v>0.0223541758444082</v>
      </c>
      <c r="J12" s="34" t="n">
        <v>1.0309689616387</v>
      </c>
      <c r="K12" s="34" t="n">
        <v>0.0130410738167625</v>
      </c>
      <c r="L12" s="34" t="n">
        <v>0.00720202233414335</v>
      </c>
      <c r="M12" s="34" t="n">
        <v>0.00430182896047278</v>
      </c>
      <c r="N12" s="34" t="n">
        <v>0.00557846019254385</v>
      </c>
      <c r="O12" s="34" t="n">
        <v>0.00822061103026251</v>
      </c>
      <c r="P12" s="34" t="n">
        <v>0.00404557121225892</v>
      </c>
      <c r="Q12" s="34" t="n">
        <v>0.00424386707841332</v>
      </c>
      <c r="R12" s="34" t="n">
        <v>0.00404266526399468</v>
      </c>
      <c r="S12" s="34" t="n">
        <v>0.00509661543482209</v>
      </c>
      <c r="T12" s="34" t="n">
        <v>0.00614560355668919</v>
      </c>
      <c r="U12" s="34" t="n">
        <v>0.00673612629702294</v>
      </c>
      <c r="V12" s="34" t="n">
        <v>0.00435542278438304</v>
      </c>
      <c r="W12" s="34" t="n">
        <v>0.00867865780562614</v>
      </c>
      <c r="X12" s="34" t="n">
        <v>0.00421545944750232</v>
      </c>
      <c r="Y12" s="34" t="n">
        <v>0.00420385562462397</v>
      </c>
      <c r="Z12" s="34" t="n">
        <v>0.0050411604557739</v>
      </c>
      <c r="AA12" s="34" t="n">
        <v>0.00517481123618467</v>
      </c>
      <c r="AB12" s="34" t="n">
        <v>0.00514413509286886</v>
      </c>
      <c r="AC12" s="34" t="n">
        <v>0.00708862687752477</v>
      </c>
      <c r="AD12" s="34" t="n">
        <v>0.0113405099249164</v>
      </c>
      <c r="AE12" s="34" t="n">
        <v>0.270560229677902</v>
      </c>
      <c r="AF12" s="34" t="n">
        <v>0.0120224624046316</v>
      </c>
      <c r="AG12" s="34" t="n">
        <v>0.0619061656136005</v>
      </c>
      <c r="AH12" s="34" t="n">
        <v>0.00368603513047858</v>
      </c>
      <c r="AI12" s="34" t="n">
        <v>0.0192873907334401</v>
      </c>
      <c r="AJ12" s="34" t="n">
        <v>0.0291003956986754</v>
      </c>
      <c r="AK12" s="34" t="n">
        <v>0.0211365560248913</v>
      </c>
      <c r="AL12" s="34" t="n">
        <v>0.0311440520131809</v>
      </c>
      <c r="AM12" s="34" t="n">
        <v>0.0111862949252576</v>
      </c>
      <c r="AN12" s="34" t="n">
        <v>0.0107526439503328</v>
      </c>
      <c r="AO12" s="34" t="n">
        <v>0.0138323071542082</v>
      </c>
      <c r="AP12" s="34" t="n">
        <v>0.0049091325201209</v>
      </c>
      <c r="AQ12" s="34" t="n">
        <v>0.00554168857503772</v>
      </c>
      <c r="AR12" s="34" t="n">
        <v>0.0148725914207701</v>
      </c>
      <c r="AS12" s="34" t="n">
        <v>0.00653786800164015</v>
      </c>
      <c r="AT12" s="34" t="n">
        <v>0.00461271517554437</v>
      </c>
      <c r="AU12" s="34" t="n">
        <v>0.00580744187337409</v>
      </c>
      <c r="AV12" s="34" t="n">
        <v>0.00442559443088056</v>
      </c>
      <c r="AW12" s="34" t="n">
        <v>0.00359768928215154</v>
      </c>
      <c r="AX12" s="34" t="n">
        <v>0.0039552666898748</v>
      </c>
      <c r="AY12" s="34" t="n">
        <v>0.00405633423884</v>
      </c>
      <c r="AZ12" s="34" t="n">
        <v>0.00438595445146847</v>
      </c>
      <c r="BA12" s="34" t="n">
        <v>0.00514895676424037</v>
      </c>
      <c r="BB12" s="34" t="n">
        <v>0.00442096302250213</v>
      </c>
      <c r="BC12" s="34" t="n">
        <v>0.00507586873471086</v>
      </c>
      <c r="BD12" s="34" t="n">
        <v>0.00340533065863199</v>
      </c>
      <c r="BE12" s="34" t="n">
        <v>0.00304073035124219</v>
      </c>
      <c r="BF12" s="34" t="n">
        <v>0.00310876513922633</v>
      </c>
      <c r="BG12" s="34" t="n">
        <v>0.00343978091411149</v>
      </c>
      <c r="BH12" s="34" t="n">
        <v>0.00362103984522848</v>
      </c>
      <c r="BI12" s="34" t="n">
        <v>0.0035435828391005</v>
      </c>
      <c r="BJ12" s="34" t="n">
        <v>0.00498503955202911</v>
      </c>
      <c r="BK12" s="34" t="n">
        <v>0.00373618684460198</v>
      </c>
      <c r="BL12" s="34" t="n">
        <v>0.00342786280364991</v>
      </c>
      <c r="BM12" s="34" t="n">
        <v>0.00354031596081231</v>
      </c>
      <c r="BN12" s="34" t="n">
        <v>0.00315681819961985</v>
      </c>
      <c r="BO12" s="34" t="n">
        <v>0.00328982710528593</v>
      </c>
      <c r="BP12" s="34" t="n">
        <v>0.00361044942013549</v>
      </c>
      <c r="BQ12" s="34" t="n">
        <v>0.00310642628004909</v>
      </c>
      <c r="BR12" s="34" t="n">
        <v>0.00378080933506186</v>
      </c>
      <c r="BS12" s="34" t="n">
        <v>0.00346231708708794</v>
      </c>
      <c r="BT12" s="34" t="n">
        <v>0.00295072745977678</v>
      </c>
      <c r="BU12" s="34" t="n">
        <v>0.00295072745977678</v>
      </c>
    </row>
    <row r="13" customFormat="false" ht="11.25" hidden="false" customHeight="true" outlineLevel="0" collapsed="false">
      <c r="B13" s="19" t="s">
        <v>77</v>
      </c>
      <c r="C13" s="20" t="s">
        <v>78</v>
      </c>
      <c r="D13" s="19" t="n">
        <v>7</v>
      </c>
      <c r="E13" s="33" t="n">
        <v>0.00118049581383062</v>
      </c>
      <c r="F13" s="33" t="n">
        <v>0.00123338276232775</v>
      </c>
      <c r="G13" s="33" t="n">
        <v>0.00107549456098015</v>
      </c>
      <c r="H13" s="33" t="n">
        <v>0.0015049878617232</v>
      </c>
      <c r="I13" s="33" t="n">
        <v>0.0028256315910182</v>
      </c>
      <c r="J13" s="33" t="n">
        <v>0.00165568670826501</v>
      </c>
      <c r="K13" s="33" t="n">
        <v>1.07562000519013</v>
      </c>
      <c r="L13" s="33" t="n">
        <v>0.00225500142285718</v>
      </c>
      <c r="M13" s="33" t="n">
        <v>0.0013845982587075</v>
      </c>
      <c r="N13" s="33" t="n">
        <v>0.00195583437487472</v>
      </c>
      <c r="O13" s="33" t="n">
        <v>0.00192536894652683</v>
      </c>
      <c r="P13" s="33" t="n">
        <v>0.00132492624910165</v>
      </c>
      <c r="Q13" s="33" t="n">
        <v>0.00140361295053617</v>
      </c>
      <c r="R13" s="33" t="n">
        <v>0.00134784618902784</v>
      </c>
      <c r="S13" s="33" t="n">
        <v>0.00165670510755906</v>
      </c>
      <c r="T13" s="33" t="n">
        <v>0.00175744797075427</v>
      </c>
      <c r="U13" s="33" t="n">
        <v>0.00258612618328843</v>
      </c>
      <c r="V13" s="33" t="n">
        <v>0.00363476864083912</v>
      </c>
      <c r="W13" s="33" t="n">
        <v>0.0014196279630799</v>
      </c>
      <c r="X13" s="33" t="n">
        <v>0.00137529138854909</v>
      </c>
      <c r="Y13" s="33" t="n">
        <v>0.0019468988151861</v>
      </c>
      <c r="Z13" s="33" t="n">
        <v>0.0020211647611275</v>
      </c>
      <c r="AA13" s="33" t="n">
        <v>0.00154779526696659</v>
      </c>
      <c r="AB13" s="33" t="n">
        <v>0.00167130711097996</v>
      </c>
      <c r="AC13" s="33" t="n">
        <v>0.00187309465294437</v>
      </c>
      <c r="AD13" s="33" t="n">
        <v>0.00285866070627759</v>
      </c>
      <c r="AE13" s="33" t="n">
        <v>0.0176371218335778</v>
      </c>
      <c r="AF13" s="33" t="n">
        <v>0.12955747703025</v>
      </c>
      <c r="AG13" s="33" t="n">
        <v>0.00965018407020539</v>
      </c>
      <c r="AH13" s="33" t="n">
        <v>0.00156408405447476</v>
      </c>
      <c r="AI13" s="33" t="n">
        <v>0.0184988224969934</v>
      </c>
      <c r="AJ13" s="33" t="n">
        <v>0.00577621571022229</v>
      </c>
      <c r="AK13" s="33" t="n">
        <v>0.00492170671034619</v>
      </c>
      <c r="AL13" s="33" t="n">
        <v>0.0103594430956518</v>
      </c>
      <c r="AM13" s="33" t="n">
        <v>0.00557104470883932</v>
      </c>
      <c r="AN13" s="33" t="n">
        <v>0.00652431637690264</v>
      </c>
      <c r="AO13" s="33" t="n">
        <v>0.00491496519362955</v>
      </c>
      <c r="AP13" s="33" t="n">
        <v>0.00155290766766539</v>
      </c>
      <c r="AQ13" s="33" t="n">
        <v>0.00168156910257703</v>
      </c>
      <c r="AR13" s="33" t="n">
        <v>0.00327808171434287</v>
      </c>
      <c r="AS13" s="33" t="n">
        <v>0.00251243216118251</v>
      </c>
      <c r="AT13" s="33" t="n">
        <v>0.00141675143700381</v>
      </c>
      <c r="AU13" s="33" t="n">
        <v>0.00167811877741397</v>
      </c>
      <c r="AV13" s="33" t="n">
        <v>0.001333568611762</v>
      </c>
      <c r="AW13" s="33" t="n">
        <v>0.000960629861442769</v>
      </c>
      <c r="AX13" s="33" t="n">
        <v>0.00125496770405755</v>
      </c>
      <c r="AY13" s="33" t="n">
        <v>0.00127622711005143</v>
      </c>
      <c r="AZ13" s="33" t="n">
        <v>0.00126987781652275</v>
      </c>
      <c r="BA13" s="33" t="n">
        <v>0.00180675538990343</v>
      </c>
      <c r="BB13" s="33" t="n">
        <v>0.00147073569843024</v>
      </c>
      <c r="BC13" s="33" t="n">
        <v>0.00163111685837266</v>
      </c>
      <c r="BD13" s="33" t="n">
        <v>0.00111843446513656</v>
      </c>
      <c r="BE13" s="33" t="n">
        <v>0.00100953870832979</v>
      </c>
      <c r="BF13" s="33" t="n">
        <v>0.00103121323757508</v>
      </c>
      <c r="BG13" s="33" t="n">
        <v>0.00119027546801386</v>
      </c>
      <c r="BH13" s="33" t="n">
        <v>0.00113858775871575</v>
      </c>
      <c r="BI13" s="33" t="n">
        <v>0.00123820894543785</v>
      </c>
      <c r="BJ13" s="33" t="n">
        <v>0.00134643158833031</v>
      </c>
      <c r="BK13" s="33" t="n">
        <v>0.00121597315760217</v>
      </c>
      <c r="BL13" s="33" t="n">
        <v>0.00109802625974402</v>
      </c>
      <c r="BM13" s="33" t="n">
        <v>0.00108573806889767</v>
      </c>
      <c r="BN13" s="33" t="n">
        <v>0.00102990360387838</v>
      </c>
      <c r="BO13" s="33" t="n">
        <v>0.00110826347969365</v>
      </c>
      <c r="BP13" s="33" t="n">
        <v>0.001164661364709</v>
      </c>
      <c r="BQ13" s="33" t="n">
        <v>0.00114075953257793</v>
      </c>
      <c r="BR13" s="33" t="n">
        <v>0.00136827212097313</v>
      </c>
      <c r="BS13" s="33" t="n">
        <v>0.00121608558353995</v>
      </c>
      <c r="BT13" s="33" t="n">
        <v>0.000972192105303416</v>
      </c>
      <c r="BU13" s="33" t="n">
        <v>0.000972192105303416</v>
      </c>
    </row>
    <row r="14" customFormat="false" ht="11.25" hidden="false" customHeight="true" outlineLevel="0" collapsed="false">
      <c r="B14" s="24" t="s">
        <v>79</v>
      </c>
      <c r="C14" s="25" t="s">
        <v>80</v>
      </c>
      <c r="D14" s="24" t="n">
        <v>8</v>
      </c>
      <c r="E14" s="34" t="n">
        <v>0.0752969587651002</v>
      </c>
      <c r="F14" s="34" t="n">
        <v>0.0966481017131046</v>
      </c>
      <c r="G14" s="34" t="n">
        <v>0.0877293082722541</v>
      </c>
      <c r="H14" s="34" t="n">
        <v>0.0790095246123749</v>
      </c>
      <c r="I14" s="34" t="n">
        <v>0.0723357451149719</v>
      </c>
      <c r="J14" s="34" t="n">
        <v>0.0823645916692985</v>
      </c>
      <c r="K14" s="34" t="n">
        <v>0.0775634979176963</v>
      </c>
      <c r="L14" s="34" t="n">
        <v>1.23009824440218</v>
      </c>
      <c r="M14" s="34" t="n">
        <v>0.0882847897800498</v>
      </c>
      <c r="N14" s="34" t="n">
        <v>0.111563705597843</v>
      </c>
      <c r="O14" s="34" t="n">
        <v>0.0785941680779725</v>
      </c>
      <c r="P14" s="34" t="n">
        <v>0.0902577936872359</v>
      </c>
      <c r="Q14" s="34" t="n">
        <v>0.0842788501214034</v>
      </c>
      <c r="R14" s="34" t="n">
        <v>0.0895225020625401</v>
      </c>
      <c r="S14" s="34" t="n">
        <v>0.150166703964608</v>
      </c>
      <c r="T14" s="34" t="n">
        <v>0.0994260392723501</v>
      </c>
      <c r="U14" s="34" t="n">
        <v>0.114616251290566</v>
      </c>
      <c r="V14" s="34" t="n">
        <v>0.0789893420239011</v>
      </c>
      <c r="W14" s="34" t="n">
        <v>0.0623822278277705</v>
      </c>
      <c r="X14" s="34" t="n">
        <v>0.110526734479419</v>
      </c>
      <c r="Y14" s="34" t="n">
        <v>0.06422565206064</v>
      </c>
      <c r="Z14" s="34" t="n">
        <v>0.0845815677835712</v>
      </c>
      <c r="AA14" s="34" t="n">
        <v>0.113856469187656</v>
      </c>
      <c r="AB14" s="34" t="n">
        <v>0.113837617397541</v>
      </c>
      <c r="AC14" s="34" t="n">
        <v>0.0886429321410081</v>
      </c>
      <c r="AD14" s="34" t="n">
        <v>0.0976167261179661</v>
      </c>
      <c r="AE14" s="34" t="n">
        <v>0.0903516734901063</v>
      </c>
      <c r="AF14" s="34" t="n">
        <v>0.0788593189657359</v>
      </c>
      <c r="AG14" s="34" t="n">
        <v>0.100202893365196</v>
      </c>
      <c r="AH14" s="34" t="n">
        <v>0.0526040145983033</v>
      </c>
      <c r="AI14" s="34" t="n">
        <v>0.0879100582817934</v>
      </c>
      <c r="AJ14" s="34" t="n">
        <v>0.106368793220349</v>
      </c>
      <c r="AK14" s="34" t="n">
        <v>0.0557212697653321</v>
      </c>
      <c r="AL14" s="34" t="n">
        <v>0.0644642568628751</v>
      </c>
      <c r="AM14" s="34" t="n">
        <v>0.0546536544605332</v>
      </c>
      <c r="AN14" s="34" t="n">
        <v>0.0936439449954683</v>
      </c>
      <c r="AO14" s="34" t="n">
        <v>0.0659639765671255</v>
      </c>
      <c r="AP14" s="34" t="n">
        <v>0.0759582435745254</v>
      </c>
      <c r="AQ14" s="34" t="n">
        <v>0.0824982558529239</v>
      </c>
      <c r="AR14" s="34" t="n">
        <v>0.0773811749739296</v>
      </c>
      <c r="AS14" s="34" t="n">
        <v>0.0776472968144788</v>
      </c>
      <c r="AT14" s="34" t="n">
        <v>0.0973755515087409</v>
      </c>
      <c r="AU14" s="34" t="n">
        <v>0.0784455562844304</v>
      </c>
      <c r="AV14" s="34" t="n">
        <v>0.0756705204719954</v>
      </c>
      <c r="AW14" s="34" t="n">
        <v>0.0613490372575637</v>
      </c>
      <c r="AX14" s="34" t="n">
        <v>0.0848240864872496</v>
      </c>
      <c r="AY14" s="34" t="n">
        <v>0.104743080673863</v>
      </c>
      <c r="AZ14" s="34" t="n">
        <v>0.168063691361415</v>
      </c>
      <c r="BA14" s="34" t="n">
        <v>0.114837850242913</v>
      </c>
      <c r="BB14" s="34" t="n">
        <v>0.106444572211088</v>
      </c>
      <c r="BC14" s="34" t="n">
        <v>0.113788182581403</v>
      </c>
      <c r="BD14" s="34" t="n">
        <v>0.0877696652228416</v>
      </c>
      <c r="BE14" s="34" t="n">
        <v>0.0875496950837691</v>
      </c>
      <c r="BF14" s="34" t="n">
        <v>0.0914112332522181</v>
      </c>
      <c r="BG14" s="34" t="n">
        <v>0.091656777747481</v>
      </c>
      <c r="BH14" s="34" t="n">
        <v>0.0832178974433842</v>
      </c>
      <c r="BI14" s="34" t="n">
        <v>0.0902009919517181</v>
      </c>
      <c r="BJ14" s="34" t="n">
        <v>0.0848855778159392</v>
      </c>
      <c r="BK14" s="34" t="n">
        <v>0.0882556014330207</v>
      </c>
      <c r="BL14" s="34" t="n">
        <v>0.0907762538678641</v>
      </c>
      <c r="BM14" s="34" t="n">
        <v>0.0921516290999241</v>
      </c>
      <c r="BN14" s="34" t="n">
        <v>0.0942043343183344</v>
      </c>
      <c r="BO14" s="34" t="n">
        <v>0.0895309245647841</v>
      </c>
      <c r="BP14" s="34" t="n">
        <v>0.0934948371362442</v>
      </c>
      <c r="BQ14" s="34" t="n">
        <v>0.0830415449442972</v>
      </c>
      <c r="BR14" s="34" t="n">
        <v>0.0852613850857109</v>
      </c>
      <c r="BS14" s="34" t="n">
        <v>0.087179853691905</v>
      </c>
      <c r="BT14" s="34" t="n">
        <v>0.0929227986116542</v>
      </c>
      <c r="BU14" s="34" t="n">
        <v>0.0929227986116542</v>
      </c>
    </row>
    <row r="15" customFormat="false" ht="11.25" hidden="false" customHeight="true" outlineLevel="0" collapsed="false">
      <c r="B15" s="19" t="s">
        <v>81</v>
      </c>
      <c r="C15" s="20" t="s">
        <v>82</v>
      </c>
      <c r="D15" s="19" t="n">
        <v>9</v>
      </c>
      <c r="E15" s="33" t="n">
        <v>0.0103547191014565</v>
      </c>
      <c r="F15" s="33" t="n">
        <v>0.0121168628304215</v>
      </c>
      <c r="G15" s="33" t="n">
        <v>0.0107730591826286</v>
      </c>
      <c r="H15" s="33" t="n">
        <v>0.0118593519569357</v>
      </c>
      <c r="I15" s="33" t="n">
        <v>0.0105596487517777</v>
      </c>
      <c r="J15" s="33" t="n">
        <v>0.0110541643204867</v>
      </c>
      <c r="K15" s="33" t="n">
        <v>0.0118630191833258</v>
      </c>
      <c r="L15" s="33" t="n">
        <v>0.0197692499834778</v>
      </c>
      <c r="M15" s="33" t="n">
        <v>1.03247064277525</v>
      </c>
      <c r="N15" s="33" t="n">
        <v>0.0279387280700007</v>
      </c>
      <c r="O15" s="33" t="n">
        <v>0.0241749413005308</v>
      </c>
      <c r="P15" s="33" t="n">
        <v>0.0113856383818803</v>
      </c>
      <c r="Q15" s="33" t="n">
        <v>0.0110631606947373</v>
      </c>
      <c r="R15" s="33" t="n">
        <v>0.0109134958529126</v>
      </c>
      <c r="S15" s="33" t="n">
        <v>0.0138454126369259</v>
      </c>
      <c r="T15" s="33" t="n">
        <v>0.0132091733755383</v>
      </c>
      <c r="U15" s="33" t="n">
        <v>0.0154987018717499</v>
      </c>
      <c r="V15" s="33" t="n">
        <v>0.00963950892703968</v>
      </c>
      <c r="W15" s="33" t="n">
        <v>0.0361725001461864</v>
      </c>
      <c r="X15" s="33" t="n">
        <v>0.0250801162076118</v>
      </c>
      <c r="Y15" s="33" t="n">
        <v>0.0114439128770859</v>
      </c>
      <c r="Z15" s="33" t="n">
        <v>0.0173524763568805</v>
      </c>
      <c r="AA15" s="33" t="n">
        <v>0.0210716454623472</v>
      </c>
      <c r="AB15" s="33" t="n">
        <v>0.0185477913663017</v>
      </c>
      <c r="AC15" s="33" t="n">
        <v>0.0122217656544861</v>
      </c>
      <c r="AD15" s="33" t="n">
        <v>0.0134968413806192</v>
      </c>
      <c r="AE15" s="33" t="n">
        <v>0.0123733240472849</v>
      </c>
      <c r="AF15" s="33" t="n">
        <v>0.0109733887423662</v>
      </c>
      <c r="AG15" s="33" t="n">
        <v>0.0128893155809118</v>
      </c>
      <c r="AH15" s="33" t="n">
        <v>0.00652468187659873</v>
      </c>
      <c r="AI15" s="33" t="n">
        <v>0.0114664111890703</v>
      </c>
      <c r="AJ15" s="33" t="n">
        <v>0.0136890282996715</v>
      </c>
      <c r="AK15" s="33" t="n">
        <v>0.00733414800002441</v>
      </c>
      <c r="AL15" s="33" t="n">
        <v>0.00815943605422567</v>
      </c>
      <c r="AM15" s="33" t="n">
        <v>0.0068159487329067</v>
      </c>
      <c r="AN15" s="33" t="n">
        <v>0.0115228855293006</v>
      </c>
      <c r="AO15" s="33" t="n">
        <v>0.00826699881439972</v>
      </c>
      <c r="AP15" s="33" t="n">
        <v>0.0090105717181541</v>
      </c>
      <c r="AQ15" s="33" t="n">
        <v>0.00996613743812832</v>
      </c>
      <c r="AR15" s="33" t="n">
        <v>0.00994101653371538</v>
      </c>
      <c r="AS15" s="33" t="n">
        <v>0.00997813845615531</v>
      </c>
      <c r="AT15" s="33" t="n">
        <v>0.0121997281874632</v>
      </c>
      <c r="AU15" s="33" t="n">
        <v>0.0161466637208731</v>
      </c>
      <c r="AV15" s="33" t="n">
        <v>0.0110869106240858</v>
      </c>
      <c r="AW15" s="33" t="n">
        <v>0.0115629246664564</v>
      </c>
      <c r="AX15" s="33" t="n">
        <v>0.0105804936878368</v>
      </c>
      <c r="AY15" s="33" t="n">
        <v>0.010227961185605</v>
      </c>
      <c r="AZ15" s="33" t="n">
        <v>0.0156132954343799</v>
      </c>
      <c r="BA15" s="33" t="n">
        <v>0.0140107225544162</v>
      </c>
      <c r="BB15" s="33" t="n">
        <v>0.0126176010438404</v>
      </c>
      <c r="BC15" s="33" t="n">
        <v>0.0133914899850159</v>
      </c>
      <c r="BD15" s="33" t="n">
        <v>0.00996085081184796</v>
      </c>
      <c r="BE15" s="33" t="n">
        <v>0.0097228290721703</v>
      </c>
      <c r="BF15" s="33" t="n">
        <v>0.00990416880856588</v>
      </c>
      <c r="BG15" s="33" t="n">
        <v>0.0105252956808154</v>
      </c>
      <c r="BH15" s="33" t="n">
        <v>0.0105697706419581</v>
      </c>
      <c r="BI15" s="33" t="n">
        <v>0.0105696995707266</v>
      </c>
      <c r="BJ15" s="33" t="n">
        <v>0.0110365852606547</v>
      </c>
      <c r="BK15" s="33" t="n">
        <v>0.0102713829622452</v>
      </c>
      <c r="BL15" s="33" t="n">
        <v>0.0110861933382144</v>
      </c>
      <c r="BM15" s="33" t="n">
        <v>0.0102795809009317</v>
      </c>
      <c r="BN15" s="33" t="n">
        <v>0.0101822217074953</v>
      </c>
      <c r="BO15" s="33" t="n">
        <v>0.00989136196230159</v>
      </c>
      <c r="BP15" s="33" t="n">
        <v>0.0101992720649418</v>
      </c>
      <c r="BQ15" s="33" t="n">
        <v>0.0092866124618183</v>
      </c>
      <c r="BR15" s="33" t="n">
        <v>0.0100456189012092</v>
      </c>
      <c r="BS15" s="33" t="n">
        <v>0.0103165094611178</v>
      </c>
      <c r="BT15" s="33" t="n">
        <v>0.00997143922928416</v>
      </c>
      <c r="BU15" s="33" t="n">
        <v>0.00997143922928416</v>
      </c>
    </row>
    <row r="16" customFormat="false" ht="11.25" hidden="false" customHeight="true" outlineLevel="0" collapsed="false">
      <c r="B16" s="24" t="s">
        <v>83</v>
      </c>
      <c r="C16" s="25" t="s">
        <v>84</v>
      </c>
      <c r="D16" s="24" t="n">
        <v>10</v>
      </c>
      <c r="E16" s="34" t="n">
        <v>0.0832111883569085</v>
      </c>
      <c r="F16" s="34" t="n">
        <v>0.184474318677258</v>
      </c>
      <c r="G16" s="34" t="n">
        <v>0.123867213714318</v>
      </c>
      <c r="H16" s="34" t="n">
        <v>0.0911246662863501</v>
      </c>
      <c r="I16" s="34" t="n">
        <v>0.0752291116823359</v>
      </c>
      <c r="J16" s="34" t="n">
        <v>0.0848360515889658</v>
      </c>
      <c r="K16" s="34" t="n">
        <v>0.0819838979835319</v>
      </c>
      <c r="L16" s="34" t="n">
        <v>0.268669069197677</v>
      </c>
      <c r="M16" s="34" t="n">
        <v>0.0955966888211569</v>
      </c>
      <c r="N16" s="34" t="n">
        <v>1.21456762097707</v>
      </c>
      <c r="O16" s="34" t="n">
        <v>0.116107714623237</v>
      </c>
      <c r="P16" s="34" t="n">
        <v>0.0981220713249483</v>
      </c>
      <c r="Q16" s="34" t="n">
        <v>0.0918257544212616</v>
      </c>
      <c r="R16" s="34" t="n">
        <v>0.0951620016499574</v>
      </c>
      <c r="S16" s="34" t="n">
        <v>0.122445351151174</v>
      </c>
      <c r="T16" s="34" t="n">
        <v>0.10888245727404</v>
      </c>
      <c r="U16" s="34" t="n">
        <v>0.133717607496786</v>
      </c>
      <c r="V16" s="34" t="n">
        <v>0.0831573697922262</v>
      </c>
      <c r="W16" s="34" t="n">
        <v>0.0785643024124046</v>
      </c>
      <c r="X16" s="34" t="n">
        <v>0.182935799301715</v>
      </c>
      <c r="Y16" s="34" t="n">
        <v>0.0723913031821758</v>
      </c>
      <c r="Z16" s="34" t="n">
        <v>0.101904257420679</v>
      </c>
      <c r="AA16" s="34" t="n">
        <v>0.105609903083588</v>
      </c>
      <c r="AB16" s="34" t="n">
        <v>0.123893527847916</v>
      </c>
      <c r="AC16" s="34" t="n">
        <v>0.096847114045889</v>
      </c>
      <c r="AD16" s="34" t="n">
        <v>0.105086837123761</v>
      </c>
      <c r="AE16" s="34" t="n">
        <v>0.0962401690538152</v>
      </c>
      <c r="AF16" s="34" t="n">
        <v>0.0831460427435727</v>
      </c>
      <c r="AG16" s="34" t="n">
        <v>0.105934193448821</v>
      </c>
      <c r="AH16" s="34" t="n">
        <v>0.0556094100677633</v>
      </c>
      <c r="AI16" s="34" t="n">
        <v>0.0938674824377</v>
      </c>
      <c r="AJ16" s="34" t="n">
        <v>0.113473809056314</v>
      </c>
      <c r="AK16" s="34" t="n">
        <v>0.0580841396191315</v>
      </c>
      <c r="AL16" s="34" t="n">
        <v>0.0669036377391588</v>
      </c>
      <c r="AM16" s="34" t="n">
        <v>0.0570175025284471</v>
      </c>
      <c r="AN16" s="34" t="n">
        <v>0.0987976921440877</v>
      </c>
      <c r="AO16" s="34" t="n">
        <v>0.0683247177511335</v>
      </c>
      <c r="AP16" s="34" t="n">
        <v>0.0769160116268071</v>
      </c>
      <c r="AQ16" s="34" t="n">
        <v>0.0841516848599258</v>
      </c>
      <c r="AR16" s="34" t="n">
        <v>0.0803310871602251</v>
      </c>
      <c r="AS16" s="34" t="n">
        <v>0.0796496731102963</v>
      </c>
      <c r="AT16" s="34" t="n">
        <v>0.103473158147605</v>
      </c>
      <c r="AU16" s="34" t="n">
        <v>0.0831450050313375</v>
      </c>
      <c r="AV16" s="34" t="n">
        <v>0.0777913411388077</v>
      </c>
      <c r="AW16" s="34" t="n">
        <v>0.0647900306859004</v>
      </c>
      <c r="AX16" s="34" t="n">
        <v>0.0863468229964241</v>
      </c>
      <c r="AY16" s="34" t="n">
        <v>0.0970276691997497</v>
      </c>
      <c r="AZ16" s="34" t="n">
        <v>0.148050967473357</v>
      </c>
      <c r="BA16" s="34" t="n">
        <v>0.1212166976938</v>
      </c>
      <c r="BB16" s="34" t="n">
        <v>0.110317470488544</v>
      </c>
      <c r="BC16" s="34" t="n">
        <v>0.118730902384152</v>
      </c>
      <c r="BD16" s="34" t="n">
        <v>0.0891333615869771</v>
      </c>
      <c r="BE16" s="34" t="n">
        <v>0.0882493408289564</v>
      </c>
      <c r="BF16" s="34" t="n">
        <v>0.0917115944094631</v>
      </c>
      <c r="BG16" s="34" t="n">
        <v>0.0929700860223036</v>
      </c>
      <c r="BH16" s="34" t="n">
        <v>0.0848622711363923</v>
      </c>
      <c r="BI16" s="34" t="n">
        <v>0.0928574180066375</v>
      </c>
      <c r="BJ16" s="34" t="n">
        <v>0.086563418638142</v>
      </c>
      <c r="BK16" s="34" t="n">
        <v>0.0896055204106978</v>
      </c>
      <c r="BL16" s="34" t="n">
        <v>0.0920235310615219</v>
      </c>
      <c r="BM16" s="34" t="n">
        <v>0.0917503038054643</v>
      </c>
      <c r="BN16" s="34" t="n">
        <v>0.0944084099411213</v>
      </c>
      <c r="BO16" s="34" t="n">
        <v>0.0897152225945558</v>
      </c>
      <c r="BP16" s="34" t="n">
        <v>0.0977882616527173</v>
      </c>
      <c r="BQ16" s="34" t="n">
        <v>0.0832831147021179</v>
      </c>
      <c r="BR16" s="34" t="n">
        <v>0.0875442661206765</v>
      </c>
      <c r="BS16" s="34" t="n">
        <v>0.0910241903749062</v>
      </c>
      <c r="BT16" s="34" t="n">
        <v>0.0930137793314747</v>
      </c>
      <c r="BU16" s="34" t="n">
        <v>0.0930137793314747</v>
      </c>
    </row>
    <row r="17" customFormat="false" ht="11.25" hidden="false" customHeight="true" outlineLevel="0" collapsed="false">
      <c r="B17" s="19" t="s">
        <v>85</v>
      </c>
      <c r="C17" s="20" t="s">
        <v>86</v>
      </c>
      <c r="D17" s="19" t="n">
        <v>11</v>
      </c>
      <c r="E17" s="33" t="n">
        <v>0.0215889066219844</v>
      </c>
      <c r="F17" s="33" t="n">
        <v>0.0224253378936027</v>
      </c>
      <c r="G17" s="33" t="n">
        <v>0.0246981345635778</v>
      </c>
      <c r="H17" s="33" t="n">
        <v>0.0230739253045437</v>
      </c>
      <c r="I17" s="33" t="n">
        <v>0.0211382517191512</v>
      </c>
      <c r="J17" s="33" t="n">
        <v>0.0239052738104758</v>
      </c>
      <c r="K17" s="33" t="n">
        <v>0.0227258689868851</v>
      </c>
      <c r="L17" s="33" t="n">
        <v>0.0380147053259246</v>
      </c>
      <c r="M17" s="33" t="n">
        <v>0.0255356386306194</v>
      </c>
      <c r="N17" s="33" t="n">
        <v>0.029568125594438</v>
      </c>
      <c r="O17" s="33" t="n">
        <v>1.12298934802142</v>
      </c>
      <c r="P17" s="33" t="n">
        <v>0.0263047614167187</v>
      </c>
      <c r="Q17" s="33" t="n">
        <v>0.0245739970114469</v>
      </c>
      <c r="R17" s="33" t="n">
        <v>0.0261024545553784</v>
      </c>
      <c r="S17" s="33" t="n">
        <v>0.0320973282169243</v>
      </c>
      <c r="T17" s="33" t="n">
        <v>0.0285439008075224</v>
      </c>
      <c r="U17" s="33" t="n">
        <v>0.0335871458337228</v>
      </c>
      <c r="V17" s="33" t="n">
        <v>0.022974257375432</v>
      </c>
      <c r="W17" s="33" t="n">
        <v>0.0178742120355572</v>
      </c>
      <c r="X17" s="33" t="n">
        <v>0.0264131514980979</v>
      </c>
      <c r="Y17" s="33" t="n">
        <v>0.0187120290832534</v>
      </c>
      <c r="Z17" s="33" t="n">
        <v>0.0248067562529611</v>
      </c>
      <c r="AA17" s="33" t="n">
        <v>0.0203948304161973</v>
      </c>
      <c r="AB17" s="33" t="n">
        <v>0.033633440866996</v>
      </c>
      <c r="AC17" s="33" t="n">
        <v>0.0259935496122883</v>
      </c>
      <c r="AD17" s="33" t="n">
        <v>0.0285810457223503</v>
      </c>
      <c r="AE17" s="33" t="n">
        <v>0.0265107726196896</v>
      </c>
      <c r="AF17" s="33" t="n">
        <v>0.0230675892308644</v>
      </c>
      <c r="AG17" s="33" t="n">
        <v>0.0292921258516565</v>
      </c>
      <c r="AH17" s="33" t="n">
        <v>0.0154630612007317</v>
      </c>
      <c r="AI17" s="33" t="n">
        <v>0.0258954340938456</v>
      </c>
      <c r="AJ17" s="33" t="n">
        <v>0.0317568607303975</v>
      </c>
      <c r="AK17" s="33" t="n">
        <v>0.0164655215251251</v>
      </c>
      <c r="AL17" s="33" t="n">
        <v>0.0187616633411795</v>
      </c>
      <c r="AM17" s="33" t="n">
        <v>0.0160238967719649</v>
      </c>
      <c r="AN17" s="33" t="n">
        <v>0.0270271867428346</v>
      </c>
      <c r="AO17" s="33" t="n">
        <v>0.0195826694554286</v>
      </c>
      <c r="AP17" s="33" t="n">
        <v>0.0219786696268145</v>
      </c>
      <c r="AQ17" s="33" t="n">
        <v>0.0237841830046415</v>
      </c>
      <c r="AR17" s="33" t="n">
        <v>0.0224275014177367</v>
      </c>
      <c r="AS17" s="33" t="n">
        <v>0.0224996625364801</v>
      </c>
      <c r="AT17" s="33" t="n">
        <v>0.0281735361191423</v>
      </c>
      <c r="AU17" s="33" t="n">
        <v>0.0225831609480448</v>
      </c>
      <c r="AV17" s="33" t="n">
        <v>0.0218618807653336</v>
      </c>
      <c r="AW17" s="33" t="n">
        <v>0.0190229416750085</v>
      </c>
      <c r="AX17" s="33" t="n">
        <v>0.0245290759011634</v>
      </c>
      <c r="AY17" s="33" t="n">
        <v>0.0435980128216181</v>
      </c>
      <c r="AZ17" s="33" t="n">
        <v>0.133025957518117</v>
      </c>
      <c r="BA17" s="33" t="n">
        <v>0.0336320866804015</v>
      </c>
      <c r="BB17" s="33" t="n">
        <v>0.0325487785042722</v>
      </c>
      <c r="BC17" s="33" t="n">
        <v>0.0333944169410641</v>
      </c>
      <c r="BD17" s="33" t="n">
        <v>0.0254232525084306</v>
      </c>
      <c r="BE17" s="33" t="n">
        <v>0.0256710184731155</v>
      </c>
      <c r="BF17" s="33" t="n">
        <v>0.0262396985597582</v>
      </c>
      <c r="BG17" s="33" t="n">
        <v>0.0269857001053687</v>
      </c>
      <c r="BH17" s="33" t="n">
        <v>0.0239982945284371</v>
      </c>
      <c r="BI17" s="33" t="n">
        <v>0.026721275532191</v>
      </c>
      <c r="BJ17" s="33" t="n">
        <v>0.0244845981824131</v>
      </c>
      <c r="BK17" s="33" t="n">
        <v>0.0257738546367707</v>
      </c>
      <c r="BL17" s="33" t="n">
        <v>0.0261363167389293</v>
      </c>
      <c r="BM17" s="33" t="n">
        <v>0.026558581682408</v>
      </c>
      <c r="BN17" s="33" t="n">
        <v>0.026376482125048</v>
      </c>
      <c r="BO17" s="33" t="n">
        <v>0.0254342922616911</v>
      </c>
      <c r="BP17" s="33" t="n">
        <v>0.0267665127279855</v>
      </c>
      <c r="BQ17" s="33" t="n">
        <v>0.0245754069186491</v>
      </c>
      <c r="BR17" s="33" t="n">
        <v>0.0255186592883175</v>
      </c>
      <c r="BS17" s="33" t="n">
        <v>0.0300271633169822</v>
      </c>
      <c r="BT17" s="33" t="n">
        <v>0.0266251183696656</v>
      </c>
      <c r="BU17" s="33" t="n">
        <v>0.0266251183696656</v>
      </c>
    </row>
    <row r="18" customFormat="false" ht="11.25" hidden="false" customHeight="true" outlineLevel="0" collapsed="false">
      <c r="B18" s="24" t="s">
        <v>87</v>
      </c>
      <c r="C18" s="25" t="s">
        <v>88</v>
      </c>
      <c r="D18" s="24" t="n">
        <v>12</v>
      </c>
      <c r="E18" s="34" t="n">
        <v>0.00350895823092069</v>
      </c>
      <c r="F18" s="34" t="n">
        <v>0.00362292594069186</v>
      </c>
      <c r="G18" s="34" t="n">
        <v>0.00401972721194819</v>
      </c>
      <c r="H18" s="34" t="n">
        <v>0.00364900046725427</v>
      </c>
      <c r="I18" s="34" t="n">
        <v>0.00338226845180862</v>
      </c>
      <c r="J18" s="34" t="n">
        <v>0.00386703498466763</v>
      </c>
      <c r="K18" s="34" t="n">
        <v>0.00363371741370257</v>
      </c>
      <c r="L18" s="34" t="n">
        <v>0.0058034290063377</v>
      </c>
      <c r="M18" s="34" t="n">
        <v>0.00410767810056546</v>
      </c>
      <c r="N18" s="34" t="n">
        <v>0.00465042465563625</v>
      </c>
      <c r="O18" s="34" t="n">
        <v>0.00361872970422721</v>
      </c>
      <c r="P18" s="34" t="n">
        <v>1.04050077133834</v>
      </c>
      <c r="Q18" s="34" t="n">
        <v>0.00391253637663577</v>
      </c>
      <c r="R18" s="34" t="n">
        <v>0.00416794601196568</v>
      </c>
      <c r="S18" s="34" t="n">
        <v>0.00508748591398066</v>
      </c>
      <c r="T18" s="34" t="n">
        <v>0.00455016240309431</v>
      </c>
      <c r="U18" s="34" t="n">
        <v>0.00532611728167377</v>
      </c>
      <c r="V18" s="34" t="n">
        <v>0.00368636779510013</v>
      </c>
      <c r="W18" s="34" t="n">
        <v>0.00284519576810453</v>
      </c>
      <c r="X18" s="34" t="n">
        <v>0.00423481251647084</v>
      </c>
      <c r="Y18" s="34" t="n">
        <v>0.00296397791216789</v>
      </c>
      <c r="Z18" s="34" t="n">
        <v>0.00387830606389269</v>
      </c>
      <c r="AA18" s="34" t="n">
        <v>0.00322409408480614</v>
      </c>
      <c r="AB18" s="34" t="n">
        <v>0.0052755201041563</v>
      </c>
      <c r="AC18" s="34" t="n">
        <v>0.00411582218650866</v>
      </c>
      <c r="AD18" s="34" t="n">
        <v>0.00454400355661985</v>
      </c>
      <c r="AE18" s="34" t="n">
        <v>0.0042148843032075</v>
      </c>
      <c r="AF18" s="34" t="n">
        <v>0.00367529829732932</v>
      </c>
      <c r="AG18" s="34" t="n">
        <v>0.00462592018843967</v>
      </c>
      <c r="AH18" s="34" t="n">
        <v>0.00245040326276248</v>
      </c>
      <c r="AI18" s="34" t="n">
        <v>0.00409870809278821</v>
      </c>
      <c r="AJ18" s="34" t="n">
        <v>0.00502625789685548</v>
      </c>
      <c r="AK18" s="34" t="n">
        <v>0.00259015600871955</v>
      </c>
      <c r="AL18" s="34" t="n">
        <v>0.00300642127627056</v>
      </c>
      <c r="AM18" s="34" t="n">
        <v>0.00255278566492454</v>
      </c>
      <c r="AN18" s="34" t="n">
        <v>0.00431779911578414</v>
      </c>
      <c r="AO18" s="34" t="n">
        <v>0.00314300240181098</v>
      </c>
      <c r="AP18" s="34" t="n">
        <v>0.00354499316322208</v>
      </c>
      <c r="AQ18" s="34" t="n">
        <v>0.00385375391311231</v>
      </c>
      <c r="AR18" s="34" t="n">
        <v>0.00360396355619495</v>
      </c>
      <c r="AS18" s="34" t="n">
        <v>0.0036202700807634</v>
      </c>
      <c r="AT18" s="34" t="n">
        <v>0.00451495495746791</v>
      </c>
      <c r="AU18" s="34" t="n">
        <v>0.00364681369434098</v>
      </c>
      <c r="AV18" s="34" t="n">
        <v>0.00353808414110984</v>
      </c>
      <c r="AW18" s="34" t="n">
        <v>0.0027961419107735</v>
      </c>
      <c r="AX18" s="34" t="n">
        <v>0.00395781977274926</v>
      </c>
      <c r="AY18" s="34" t="n">
        <v>0.00378049146776833</v>
      </c>
      <c r="AZ18" s="34" t="n">
        <v>0.00362323208161401</v>
      </c>
      <c r="BA18" s="34" t="n">
        <v>0.0053569724719572</v>
      </c>
      <c r="BB18" s="34" t="n">
        <v>0.00488418531161241</v>
      </c>
      <c r="BC18" s="34" t="n">
        <v>0.00529734451422664</v>
      </c>
      <c r="BD18" s="34" t="n">
        <v>0.00409779659318551</v>
      </c>
      <c r="BE18" s="34" t="n">
        <v>0.00407605843442694</v>
      </c>
      <c r="BF18" s="34" t="n">
        <v>0.00427883766649901</v>
      </c>
      <c r="BG18" s="34" t="n">
        <v>0.00425287427638298</v>
      </c>
      <c r="BH18" s="34" t="n">
        <v>0.0038965416824907</v>
      </c>
      <c r="BI18" s="34" t="n">
        <v>0.00417335839280521</v>
      </c>
      <c r="BJ18" s="34" t="n">
        <v>0.00396104720241414</v>
      </c>
      <c r="BK18" s="34" t="n">
        <v>0.00409546424087959</v>
      </c>
      <c r="BL18" s="34" t="n">
        <v>0.00423963787202458</v>
      </c>
      <c r="BM18" s="34" t="n">
        <v>0.00409835514493676</v>
      </c>
      <c r="BN18" s="34" t="n">
        <v>0.00417669542120666</v>
      </c>
      <c r="BO18" s="34" t="n">
        <v>0.00406269643358914</v>
      </c>
      <c r="BP18" s="34" t="n">
        <v>0.00382763236687509</v>
      </c>
      <c r="BQ18" s="34" t="n">
        <v>0.00367944409271107</v>
      </c>
      <c r="BR18" s="34" t="n">
        <v>0.00395926297021063</v>
      </c>
      <c r="BS18" s="34" t="n">
        <v>0.00368883349458895</v>
      </c>
      <c r="BT18" s="34" t="n">
        <v>0.00435267924791802</v>
      </c>
      <c r="BU18" s="34" t="n">
        <v>0.00435267924791802</v>
      </c>
    </row>
    <row r="19" customFormat="false" ht="11.25" hidden="false" customHeight="true" outlineLevel="0" collapsed="false">
      <c r="B19" s="19" t="s">
        <v>89</v>
      </c>
      <c r="C19" s="20" t="s">
        <v>90</v>
      </c>
      <c r="D19" s="19" t="n">
        <v>13</v>
      </c>
      <c r="E19" s="33" t="n">
        <v>0.0140520703805634</v>
      </c>
      <c r="F19" s="33" t="n">
        <v>0.0129372784654678</v>
      </c>
      <c r="G19" s="33" t="n">
        <v>0.013947575656184</v>
      </c>
      <c r="H19" s="33" t="n">
        <v>0.0210357271665921</v>
      </c>
      <c r="I19" s="33" t="n">
        <v>0.0126565773873646</v>
      </c>
      <c r="J19" s="33" t="n">
        <v>0.0135860964848081</v>
      </c>
      <c r="K19" s="33" t="n">
        <v>0.0132377538313952</v>
      </c>
      <c r="L19" s="33" t="n">
        <v>0.0209696106491615</v>
      </c>
      <c r="M19" s="33" t="n">
        <v>0.0173005816643711</v>
      </c>
      <c r="N19" s="33" t="n">
        <v>0.0181727891579715</v>
      </c>
      <c r="O19" s="33" t="n">
        <v>0.0135917439655371</v>
      </c>
      <c r="P19" s="33" t="n">
        <v>0.0153241752273716</v>
      </c>
      <c r="Q19" s="33" t="n">
        <v>1.21017296729415</v>
      </c>
      <c r="R19" s="33" t="n">
        <v>0.288498896675805</v>
      </c>
      <c r="S19" s="33" t="n">
        <v>0.0911767537688275</v>
      </c>
      <c r="T19" s="33" t="n">
        <v>0.0167225400974567</v>
      </c>
      <c r="U19" s="33" t="n">
        <v>0.0205180493746033</v>
      </c>
      <c r="V19" s="33" t="n">
        <v>0.013482021219657</v>
      </c>
      <c r="W19" s="33" t="n">
        <v>0.0103244147105551</v>
      </c>
      <c r="X19" s="33" t="n">
        <v>0.0157237684557729</v>
      </c>
      <c r="Y19" s="33" t="n">
        <v>0.0111003588413455</v>
      </c>
      <c r="Z19" s="33" t="n">
        <v>0.0146164952888802</v>
      </c>
      <c r="AA19" s="33" t="n">
        <v>0.0123318806943285</v>
      </c>
      <c r="AB19" s="33" t="n">
        <v>0.0202967030473463</v>
      </c>
      <c r="AC19" s="33" t="n">
        <v>0.0219386559492326</v>
      </c>
      <c r="AD19" s="33" t="n">
        <v>0.0174553251833745</v>
      </c>
      <c r="AE19" s="33" t="n">
        <v>0.0151661396974787</v>
      </c>
      <c r="AF19" s="33" t="n">
        <v>0.0132588225699803</v>
      </c>
      <c r="AG19" s="33" t="n">
        <v>0.0174127856779736</v>
      </c>
      <c r="AH19" s="33" t="n">
        <v>0.00894820235663074</v>
      </c>
      <c r="AI19" s="33" t="n">
        <v>0.0158129857621551</v>
      </c>
      <c r="AJ19" s="33" t="n">
        <v>0.0181804684633667</v>
      </c>
      <c r="AK19" s="33" t="n">
        <v>0.0148437228741868</v>
      </c>
      <c r="AL19" s="33" t="n">
        <v>0.0285491664985027</v>
      </c>
      <c r="AM19" s="33" t="n">
        <v>0.0113842114139524</v>
      </c>
      <c r="AN19" s="33" t="n">
        <v>0.0340767752722318</v>
      </c>
      <c r="AO19" s="33" t="n">
        <v>0.0113605621576734</v>
      </c>
      <c r="AP19" s="33" t="n">
        <v>0.0125398589424001</v>
      </c>
      <c r="AQ19" s="33" t="n">
        <v>0.013997718299065</v>
      </c>
      <c r="AR19" s="33" t="n">
        <v>0.0141995858161428</v>
      </c>
      <c r="AS19" s="33" t="n">
        <v>0.0148435865502073</v>
      </c>
      <c r="AT19" s="33" t="n">
        <v>0.0160732794695508</v>
      </c>
      <c r="AU19" s="33" t="n">
        <v>0.014067835357731</v>
      </c>
      <c r="AV19" s="33" t="n">
        <v>0.0129806925952603</v>
      </c>
      <c r="AW19" s="33" t="n">
        <v>0.0108720628415224</v>
      </c>
      <c r="AX19" s="33" t="n">
        <v>0.0140755646492451</v>
      </c>
      <c r="AY19" s="33" t="n">
        <v>0.0226921900885352</v>
      </c>
      <c r="AZ19" s="33" t="n">
        <v>0.0137440788495188</v>
      </c>
      <c r="BA19" s="33" t="n">
        <v>0.0188759059117906</v>
      </c>
      <c r="BB19" s="33" t="n">
        <v>0.0180700484192894</v>
      </c>
      <c r="BC19" s="33" t="n">
        <v>0.0186311736543845</v>
      </c>
      <c r="BD19" s="33" t="n">
        <v>0.0141740966513282</v>
      </c>
      <c r="BE19" s="33" t="n">
        <v>0.0141626943391737</v>
      </c>
      <c r="BF19" s="33" t="n">
        <v>0.0145631850218661</v>
      </c>
      <c r="BG19" s="33" t="n">
        <v>0.0147304093605265</v>
      </c>
      <c r="BH19" s="33" t="n">
        <v>0.0141042346676665</v>
      </c>
      <c r="BI19" s="33" t="n">
        <v>0.0149092444360248</v>
      </c>
      <c r="BJ19" s="33" t="n">
        <v>0.0140749467196484</v>
      </c>
      <c r="BK19" s="33" t="n">
        <v>0.0143565822038575</v>
      </c>
      <c r="BL19" s="33" t="n">
        <v>0.0157278091820062</v>
      </c>
      <c r="BM19" s="33" t="n">
        <v>0.0143248572114319</v>
      </c>
      <c r="BN19" s="33" t="n">
        <v>0.0147830197194218</v>
      </c>
      <c r="BO19" s="33" t="n">
        <v>0.0140976795356961</v>
      </c>
      <c r="BP19" s="33" t="n">
        <v>0.0139660477350681</v>
      </c>
      <c r="BQ19" s="33" t="n">
        <v>0.0137376137895402</v>
      </c>
      <c r="BR19" s="33" t="n">
        <v>0.014685925881652</v>
      </c>
      <c r="BS19" s="33" t="n">
        <v>0.0190454188514615</v>
      </c>
      <c r="BT19" s="33" t="n">
        <v>0.0147278287286507</v>
      </c>
      <c r="BU19" s="33" t="n">
        <v>0.0147278287286507</v>
      </c>
    </row>
    <row r="20" customFormat="false" ht="11.25" hidden="false" customHeight="true" outlineLevel="0" collapsed="false">
      <c r="B20" s="24" t="s">
        <v>91</v>
      </c>
      <c r="C20" s="25" t="s">
        <v>92</v>
      </c>
      <c r="D20" s="24" t="n">
        <v>14</v>
      </c>
      <c r="E20" s="34" t="n">
        <v>0.0157314191864889</v>
      </c>
      <c r="F20" s="34" t="n">
        <v>0.0162696390788187</v>
      </c>
      <c r="G20" s="34" t="n">
        <v>0.018229803278708</v>
      </c>
      <c r="H20" s="34" t="n">
        <v>0.0166408263667041</v>
      </c>
      <c r="I20" s="34" t="n">
        <v>0.0156300502971674</v>
      </c>
      <c r="J20" s="34" t="n">
        <v>0.0173156608064109</v>
      </c>
      <c r="K20" s="34" t="n">
        <v>0.0163706665594802</v>
      </c>
      <c r="L20" s="34" t="n">
        <v>0.0263676350493494</v>
      </c>
      <c r="M20" s="34" t="n">
        <v>0.0186111569854222</v>
      </c>
      <c r="N20" s="34" t="n">
        <v>0.0211194714257929</v>
      </c>
      <c r="O20" s="34" t="n">
        <v>0.0165162648396131</v>
      </c>
      <c r="P20" s="34" t="n">
        <v>0.0190246169235463</v>
      </c>
      <c r="Q20" s="34" t="n">
        <v>0.0194569806165586</v>
      </c>
      <c r="R20" s="34" t="n">
        <v>1.04657100095087</v>
      </c>
      <c r="S20" s="34" t="n">
        <v>0.0247804375772904</v>
      </c>
      <c r="T20" s="34" t="n">
        <v>0.0206014493153729</v>
      </c>
      <c r="U20" s="34" t="n">
        <v>0.02420339835024</v>
      </c>
      <c r="V20" s="34" t="n">
        <v>0.016608275187488</v>
      </c>
      <c r="W20" s="34" t="n">
        <v>0.0129487120696873</v>
      </c>
      <c r="X20" s="34" t="n">
        <v>0.0191062556877081</v>
      </c>
      <c r="Y20" s="34" t="n">
        <v>0.0134808417324383</v>
      </c>
      <c r="Z20" s="34" t="n">
        <v>0.0177288110982762</v>
      </c>
      <c r="AA20" s="34" t="n">
        <v>0.0146450342671635</v>
      </c>
      <c r="AB20" s="34" t="n">
        <v>0.023922966331656</v>
      </c>
      <c r="AC20" s="34" t="n">
        <v>0.0187284801256477</v>
      </c>
      <c r="AD20" s="34" t="n">
        <v>0.020767597824308</v>
      </c>
      <c r="AE20" s="34" t="n">
        <v>0.0191708496006574</v>
      </c>
      <c r="AF20" s="34" t="n">
        <v>0.0166410980407986</v>
      </c>
      <c r="AG20" s="34" t="n">
        <v>0.021392644403717</v>
      </c>
      <c r="AH20" s="34" t="n">
        <v>0.0111527337570359</v>
      </c>
      <c r="AI20" s="34" t="n">
        <v>0.0186143663680887</v>
      </c>
      <c r="AJ20" s="34" t="n">
        <v>0.0225129092315491</v>
      </c>
      <c r="AK20" s="34" t="n">
        <v>0.0119090219880775</v>
      </c>
      <c r="AL20" s="34" t="n">
        <v>0.0140103797992311</v>
      </c>
      <c r="AM20" s="34" t="n">
        <v>0.0115783854965109</v>
      </c>
      <c r="AN20" s="34" t="n">
        <v>0.0198763996985965</v>
      </c>
      <c r="AO20" s="34" t="n">
        <v>0.0138791140770567</v>
      </c>
      <c r="AP20" s="34" t="n">
        <v>0.0162676399656916</v>
      </c>
      <c r="AQ20" s="34" t="n">
        <v>0.0184842211164157</v>
      </c>
      <c r="AR20" s="34" t="n">
        <v>0.0162983654105419</v>
      </c>
      <c r="AS20" s="34" t="n">
        <v>0.0163361561707654</v>
      </c>
      <c r="AT20" s="34" t="n">
        <v>0.0206880768025792</v>
      </c>
      <c r="AU20" s="34" t="n">
        <v>0.0169851331033112</v>
      </c>
      <c r="AV20" s="34" t="n">
        <v>0.0162899195364845</v>
      </c>
      <c r="AW20" s="34" t="n">
        <v>0.0157926828343344</v>
      </c>
      <c r="AX20" s="34" t="n">
        <v>0.0186112616028433</v>
      </c>
      <c r="AY20" s="34" t="n">
        <v>0.0198657237900338</v>
      </c>
      <c r="AZ20" s="34" t="n">
        <v>0.0170053275305527</v>
      </c>
      <c r="BA20" s="34" t="n">
        <v>0.0242581833108892</v>
      </c>
      <c r="BB20" s="34" t="n">
        <v>0.0250990167229419</v>
      </c>
      <c r="BC20" s="34" t="n">
        <v>0.024312430134589</v>
      </c>
      <c r="BD20" s="34" t="n">
        <v>0.0184724283264668</v>
      </c>
      <c r="BE20" s="34" t="n">
        <v>0.0190044889593885</v>
      </c>
      <c r="BF20" s="34" t="n">
        <v>0.0191605623232421</v>
      </c>
      <c r="BG20" s="34" t="n">
        <v>0.0191663016289106</v>
      </c>
      <c r="BH20" s="34" t="n">
        <v>0.019349672538109</v>
      </c>
      <c r="BI20" s="34" t="n">
        <v>0.019854122920724</v>
      </c>
      <c r="BJ20" s="34" t="n">
        <v>0.017832909785885</v>
      </c>
      <c r="BK20" s="34" t="n">
        <v>0.0188668620285975</v>
      </c>
      <c r="BL20" s="34" t="n">
        <v>0.0230827897442702</v>
      </c>
      <c r="BM20" s="34" t="n">
        <v>0.0190185893732762</v>
      </c>
      <c r="BN20" s="34" t="n">
        <v>0.0200356206540928</v>
      </c>
      <c r="BO20" s="34" t="n">
        <v>0.0183518145950442</v>
      </c>
      <c r="BP20" s="34" t="n">
        <v>0.0176510058449325</v>
      </c>
      <c r="BQ20" s="34" t="n">
        <v>0.0167778495552187</v>
      </c>
      <c r="BR20" s="34" t="n">
        <v>0.0203491716129864</v>
      </c>
      <c r="BS20" s="34" t="n">
        <v>0.0218670067393338</v>
      </c>
      <c r="BT20" s="34" t="n">
        <v>0.0194005329111381</v>
      </c>
      <c r="BU20" s="34" t="n">
        <v>0.0194005329111381</v>
      </c>
    </row>
    <row r="21" customFormat="false" ht="11.25" hidden="false" customHeight="true" outlineLevel="0" collapsed="false">
      <c r="B21" s="19" t="s">
        <v>93</v>
      </c>
      <c r="C21" s="20" t="s">
        <v>94</v>
      </c>
      <c r="D21" s="19" t="n">
        <v>15</v>
      </c>
      <c r="E21" s="33" t="n">
        <v>0.00795924600109341</v>
      </c>
      <c r="F21" s="33" t="n">
        <v>0.00825450671890694</v>
      </c>
      <c r="G21" s="33" t="n">
        <v>0.00913409863142015</v>
      </c>
      <c r="H21" s="33" t="n">
        <v>0.00836930118651112</v>
      </c>
      <c r="I21" s="33" t="n">
        <v>0.00767529429687486</v>
      </c>
      <c r="J21" s="33" t="n">
        <v>0.00875931564944244</v>
      </c>
      <c r="K21" s="33" t="n">
        <v>0.00821435911800568</v>
      </c>
      <c r="L21" s="33" t="n">
        <v>0.0131461911972531</v>
      </c>
      <c r="M21" s="33" t="n">
        <v>0.00932340888131044</v>
      </c>
      <c r="N21" s="33" t="n">
        <v>0.0105905764950506</v>
      </c>
      <c r="O21" s="33" t="n">
        <v>0.00832899023948559</v>
      </c>
      <c r="P21" s="33" t="n">
        <v>0.00952160960669264</v>
      </c>
      <c r="Q21" s="33" t="n">
        <v>0.0092570124783021</v>
      </c>
      <c r="R21" s="33" t="n">
        <v>0.00961256241790107</v>
      </c>
      <c r="S21" s="33" t="n">
        <v>1.11223056463364</v>
      </c>
      <c r="T21" s="33" t="n">
        <v>0.0103479811014604</v>
      </c>
      <c r="U21" s="33" t="n">
        <v>0.0126858195330226</v>
      </c>
      <c r="V21" s="33" t="n">
        <v>0.00849183523461773</v>
      </c>
      <c r="W21" s="33" t="n">
        <v>0.00645508827824135</v>
      </c>
      <c r="X21" s="33" t="n">
        <v>0.00961427847009234</v>
      </c>
      <c r="Y21" s="33" t="n">
        <v>0.00674672677067633</v>
      </c>
      <c r="Z21" s="33" t="n">
        <v>0.00881356401322903</v>
      </c>
      <c r="AA21" s="33" t="n">
        <v>0.0074620639649373</v>
      </c>
      <c r="AB21" s="33" t="n">
        <v>0.0119500037833615</v>
      </c>
      <c r="AC21" s="33" t="n">
        <v>0.00959357641771384</v>
      </c>
      <c r="AD21" s="33" t="n">
        <v>0.0103516277985027</v>
      </c>
      <c r="AE21" s="33" t="n">
        <v>0.00953971754496191</v>
      </c>
      <c r="AF21" s="33" t="n">
        <v>0.00833998968907555</v>
      </c>
      <c r="AG21" s="33" t="n">
        <v>0.0107374889459977</v>
      </c>
      <c r="AH21" s="33" t="n">
        <v>0.00556902678458426</v>
      </c>
      <c r="AI21" s="33" t="n">
        <v>0.0093183979417458</v>
      </c>
      <c r="AJ21" s="33" t="n">
        <v>0.0112184206258646</v>
      </c>
      <c r="AK21" s="33" t="n">
        <v>0.00620157634953909</v>
      </c>
      <c r="AL21" s="33" t="n">
        <v>0.00705822309495781</v>
      </c>
      <c r="AM21" s="33" t="n">
        <v>0.00583533651779</v>
      </c>
      <c r="AN21" s="33" t="n">
        <v>0.010269770532079</v>
      </c>
      <c r="AO21" s="33" t="n">
        <v>0.00702785036419968</v>
      </c>
      <c r="AP21" s="33" t="n">
        <v>0.00846847297252756</v>
      </c>
      <c r="AQ21" s="33" t="n">
        <v>0.00880660531643727</v>
      </c>
      <c r="AR21" s="33" t="n">
        <v>0.00829065035029009</v>
      </c>
      <c r="AS21" s="33" t="n">
        <v>0.0083500544651343</v>
      </c>
      <c r="AT21" s="33" t="n">
        <v>0.0102752279399065</v>
      </c>
      <c r="AU21" s="33" t="n">
        <v>0.00836733386984226</v>
      </c>
      <c r="AV21" s="33" t="n">
        <v>0.00803441349931288</v>
      </c>
      <c r="AW21" s="33" t="n">
        <v>0.00640602731817164</v>
      </c>
      <c r="AX21" s="33" t="n">
        <v>0.00903648498755239</v>
      </c>
      <c r="AY21" s="33" t="n">
        <v>0.00873399768191749</v>
      </c>
      <c r="AZ21" s="33" t="n">
        <v>0.00832091889124903</v>
      </c>
      <c r="BA21" s="33" t="n">
        <v>0.0121782496725688</v>
      </c>
      <c r="BB21" s="33" t="n">
        <v>0.0116152887564778</v>
      </c>
      <c r="BC21" s="33" t="n">
        <v>0.012000631082125</v>
      </c>
      <c r="BD21" s="33" t="n">
        <v>0.00933086269956363</v>
      </c>
      <c r="BE21" s="33" t="n">
        <v>0.00927536030240178</v>
      </c>
      <c r="BF21" s="33" t="n">
        <v>0.00971496578745094</v>
      </c>
      <c r="BG21" s="33" t="n">
        <v>0.00967164347168783</v>
      </c>
      <c r="BH21" s="33" t="n">
        <v>0.00890725218615195</v>
      </c>
      <c r="BI21" s="33" t="n">
        <v>0.00963280598148704</v>
      </c>
      <c r="BJ21" s="33" t="n">
        <v>0.00903163310717911</v>
      </c>
      <c r="BK21" s="33" t="n">
        <v>0.00933203780675275</v>
      </c>
      <c r="BL21" s="33" t="n">
        <v>0.010957675523962</v>
      </c>
      <c r="BM21" s="33" t="n">
        <v>0.0093509477501071</v>
      </c>
      <c r="BN21" s="33" t="n">
        <v>0.00950892521166525</v>
      </c>
      <c r="BO21" s="33" t="n">
        <v>0.00925946452892713</v>
      </c>
      <c r="BP21" s="33" t="n">
        <v>0.00874369886032927</v>
      </c>
      <c r="BQ21" s="33" t="n">
        <v>0.00839683647695274</v>
      </c>
      <c r="BR21" s="33" t="n">
        <v>0.00903621225179665</v>
      </c>
      <c r="BS21" s="33" t="n">
        <v>0.00844598661599276</v>
      </c>
      <c r="BT21" s="33" t="n">
        <v>0.00987788683561646</v>
      </c>
      <c r="BU21" s="33" t="n">
        <v>0.00987788683561646</v>
      </c>
    </row>
    <row r="22" customFormat="false" ht="11.25" hidden="false" customHeight="true" outlineLevel="0" collapsed="false">
      <c r="B22" s="24" t="s">
        <v>95</v>
      </c>
      <c r="C22" s="25" t="s">
        <v>96</v>
      </c>
      <c r="D22" s="24" t="n">
        <v>16</v>
      </c>
      <c r="E22" s="34" t="n">
        <v>0.00549474611291476</v>
      </c>
      <c r="F22" s="34" t="n">
        <v>0.00736404038851678</v>
      </c>
      <c r="G22" s="34" t="n">
        <v>0.00529160765892091</v>
      </c>
      <c r="H22" s="34" t="n">
        <v>0.00463807532945354</v>
      </c>
      <c r="I22" s="34" t="n">
        <v>0.00419957253758644</v>
      </c>
      <c r="J22" s="34" t="n">
        <v>0.00487676303335384</v>
      </c>
      <c r="K22" s="34" t="n">
        <v>0.00496057434818085</v>
      </c>
      <c r="L22" s="34" t="n">
        <v>0.0099314081105889</v>
      </c>
      <c r="M22" s="34" t="n">
        <v>0.0058149082027785</v>
      </c>
      <c r="N22" s="34" t="n">
        <v>0.00817895896365962</v>
      </c>
      <c r="O22" s="34" t="n">
        <v>0.0066222091655016</v>
      </c>
      <c r="P22" s="34" t="n">
        <v>0.00645075518456306</v>
      </c>
      <c r="Q22" s="34" t="n">
        <v>0.00647069950915559</v>
      </c>
      <c r="R22" s="34" t="n">
        <v>0.0071694479607967</v>
      </c>
      <c r="S22" s="34" t="n">
        <v>0.00781932282724922</v>
      </c>
      <c r="T22" s="34" t="n">
        <v>1.14349780530816</v>
      </c>
      <c r="U22" s="34" t="n">
        <v>0.0161529563838791</v>
      </c>
      <c r="V22" s="34" t="n">
        <v>0.00505787435393803</v>
      </c>
      <c r="W22" s="34" t="n">
        <v>0.00355280738643789</v>
      </c>
      <c r="X22" s="34" t="n">
        <v>0.00604786838645875</v>
      </c>
      <c r="Y22" s="34" t="n">
        <v>0.00417807986083034</v>
      </c>
      <c r="Z22" s="34" t="n">
        <v>0.00613968442245246</v>
      </c>
      <c r="AA22" s="34" t="n">
        <v>0.00469500693941651</v>
      </c>
      <c r="AB22" s="34" t="n">
        <v>0.00732307783787281</v>
      </c>
      <c r="AC22" s="34" t="n">
        <v>0.00618233826652898</v>
      </c>
      <c r="AD22" s="34" t="n">
        <v>0.00700416986154432</v>
      </c>
      <c r="AE22" s="34" t="n">
        <v>0.00606671141000949</v>
      </c>
      <c r="AF22" s="34" t="n">
        <v>0.00528841430934429</v>
      </c>
      <c r="AG22" s="34" t="n">
        <v>0.00953396530051034</v>
      </c>
      <c r="AH22" s="34" t="n">
        <v>0.00356355963130495</v>
      </c>
      <c r="AI22" s="34" t="n">
        <v>0.00614071586507933</v>
      </c>
      <c r="AJ22" s="34" t="n">
        <v>0.00996914011844502</v>
      </c>
      <c r="AK22" s="34" t="n">
        <v>0.00513994481539647</v>
      </c>
      <c r="AL22" s="34" t="n">
        <v>0.00517403967620715</v>
      </c>
      <c r="AM22" s="34" t="n">
        <v>0.00618729276204911</v>
      </c>
      <c r="AN22" s="34" t="n">
        <v>0.0931954580205885</v>
      </c>
      <c r="AO22" s="34" t="n">
        <v>0.00439957665845656</v>
      </c>
      <c r="AP22" s="34" t="n">
        <v>0.00548780246672864</v>
      </c>
      <c r="AQ22" s="34" t="n">
        <v>0.00506380153250191</v>
      </c>
      <c r="AR22" s="34" t="n">
        <v>0.0176501646736977</v>
      </c>
      <c r="AS22" s="34" t="n">
        <v>0.00439602514929915</v>
      </c>
      <c r="AT22" s="34" t="n">
        <v>0.00804944914208316</v>
      </c>
      <c r="AU22" s="34" t="n">
        <v>0.00422368430505851</v>
      </c>
      <c r="AV22" s="34" t="n">
        <v>0.00438300589256895</v>
      </c>
      <c r="AW22" s="34" t="n">
        <v>0.00340978701456784</v>
      </c>
      <c r="AX22" s="34" t="n">
        <v>0.00537004606946998</v>
      </c>
      <c r="AY22" s="34" t="n">
        <v>0.00498153533508041</v>
      </c>
      <c r="AZ22" s="34" t="n">
        <v>0.00492711663591474</v>
      </c>
      <c r="BA22" s="34" t="n">
        <v>0.00764596258246185</v>
      </c>
      <c r="BB22" s="34" t="n">
        <v>0.0100290544554345</v>
      </c>
      <c r="BC22" s="34" t="n">
        <v>0.0074166536820401</v>
      </c>
      <c r="BD22" s="34" t="n">
        <v>0.00479023425693468</v>
      </c>
      <c r="BE22" s="34" t="n">
        <v>0.00445184538563242</v>
      </c>
      <c r="BF22" s="34" t="n">
        <v>0.00525039341472481</v>
      </c>
      <c r="BG22" s="34" t="n">
        <v>0.00496116820066221</v>
      </c>
      <c r="BH22" s="34" t="n">
        <v>0.0048215234403782</v>
      </c>
      <c r="BI22" s="34" t="n">
        <v>0.00615659374185026</v>
      </c>
      <c r="BJ22" s="34" t="n">
        <v>0.00506004542061597</v>
      </c>
      <c r="BK22" s="34" t="n">
        <v>0.00539318912741181</v>
      </c>
      <c r="BL22" s="34" t="n">
        <v>0.00461463043031061</v>
      </c>
      <c r="BM22" s="34" t="n">
        <v>0.00476385744968786</v>
      </c>
      <c r="BN22" s="34" t="n">
        <v>0.00469477281592195</v>
      </c>
      <c r="BO22" s="34" t="n">
        <v>0.00473656652943278</v>
      </c>
      <c r="BP22" s="34" t="n">
        <v>0.00562597920741594</v>
      </c>
      <c r="BQ22" s="34" t="n">
        <v>0.00706651813374741</v>
      </c>
      <c r="BR22" s="34" t="n">
        <v>0.00528732764520315</v>
      </c>
      <c r="BS22" s="34" t="n">
        <v>0.00617885977024089</v>
      </c>
      <c r="BT22" s="34" t="n">
        <v>0.00439040278253536</v>
      </c>
      <c r="BU22" s="34" t="n">
        <v>0.00439040278253536</v>
      </c>
    </row>
    <row r="23" customFormat="false" ht="11.25" hidden="false" customHeight="true" outlineLevel="0" collapsed="false">
      <c r="B23" s="19" t="s">
        <v>97</v>
      </c>
      <c r="C23" s="20" t="s">
        <v>98</v>
      </c>
      <c r="D23" s="19" t="n">
        <v>17</v>
      </c>
      <c r="E23" s="33" t="n">
        <v>0.0176849439828673</v>
      </c>
      <c r="F23" s="33" t="n">
        <v>0.0201812653698186</v>
      </c>
      <c r="G23" s="33" t="n">
        <v>0.0182939612506856</v>
      </c>
      <c r="H23" s="33" t="n">
        <v>0.0191458785802253</v>
      </c>
      <c r="I23" s="33" t="n">
        <v>0.0173336704797817</v>
      </c>
      <c r="J23" s="33" t="n">
        <v>0.0198484082705557</v>
      </c>
      <c r="K23" s="33" t="n">
        <v>0.020685959715455</v>
      </c>
      <c r="L23" s="33" t="n">
        <v>0.0488463262677015</v>
      </c>
      <c r="M23" s="33" t="n">
        <v>0.0217333585131821</v>
      </c>
      <c r="N23" s="33" t="n">
        <v>0.0418060987002524</v>
      </c>
      <c r="O23" s="33" t="n">
        <v>0.026862075622939</v>
      </c>
      <c r="P23" s="33" t="n">
        <v>0.0784012600076923</v>
      </c>
      <c r="Q23" s="33" t="n">
        <v>0.0375489650536478</v>
      </c>
      <c r="R23" s="33" t="n">
        <v>0.0322702029069247</v>
      </c>
      <c r="S23" s="33" t="n">
        <v>0.0482283389298398</v>
      </c>
      <c r="T23" s="33" t="n">
        <v>0.0693169927577513</v>
      </c>
      <c r="U23" s="33" t="n">
        <v>1.23554933084308</v>
      </c>
      <c r="V23" s="33" t="n">
        <v>0.0888850783600698</v>
      </c>
      <c r="W23" s="33" t="n">
        <v>0.0151422599071544</v>
      </c>
      <c r="X23" s="33" t="n">
        <v>0.0240345886869335</v>
      </c>
      <c r="Y23" s="33" t="n">
        <v>0.0174322722585907</v>
      </c>
      <c r="Z23" s="33" t="n">
        <v>0.0261198405658907</v>
      </c>
      <c r="AA23" s="33" t="n">
        <v>0.0575166319390105</v>
      </c>
      <c r="AB23" s="33" t="n">
        <v>0.0446530394395042</v>
      </c>
      <c r="AC23" s="33" t="n">
        <v>0.0478385406802178</v>
      </c>
      <c r="AD23" s="33" t="n">
        <v>0.0502118093042988</v>
      </c>
      <c r="AE23" s="33" t="n">
        <v>0.0238517839278029</v>
      </c>
      <c r="AF23" s="33" t="n">
        <v>0.0196669161865762</v>
      </c>
      <c r="AG23" s="33" t="n">
        <v>0.0417437456160682</v>
      </c>
      <c r="AH23" s="33" t="n">
        <v>0.0242437322322658</v>
      </c>
      <c r="AI23" s="33" t="n">
        <v>0.0304193894159585</v>
      </c>
      <c r="AJ23" s="33" t="n">
        <v>0.0305679324785021</v>
      </c>
      <c r="AK23" s="33" t="n">
        <v>0.0210661001222349</v>
      </c>
      <c r="AL23" s="33" t="n">
        <v>0.026722693747572</v>
      </c>
      <c r="AM23" s="33" t="n">
        <v>0.0162022310852875</v>
      </c>
      <c r="AN23" s="33" t="n">
        <v>0.0417251808078469</v>
      </c>
      <c r="AO23" s="33" t="n">
        <v>0.0170860638735156</v>
      </c>
      <c r="AP23" s="33" t="n">
        <v>0.0165737033443096</v>
      </c>
      <c r="AQ23" s="33" t="n">
        <v>0.0191368536377263</v>
      </c>
      <c r="AR23" s="33" t="n">
        <v>0.0223759566181409</v>
      </c>
      <c r="AS23" s="33" t="n">
        <v>0.0226408597883559</v>
      </c>
      <c r="AT23" s="33" t="n">
        <v>0.0293107688860612</v>
      </c>
      <c r="AU23" s="33" t="n">
        <v>0.0187410403160261</v>
      </c>
      <c r="AV23" s="33" t="n">
        <v>0.01956524253983</v>
      </c>
      <c r="AW23" s="33" t="n">
        <v>0.0155548432569181</v>
      </c>
      <c r="AX23" s="33" t="n">
        <v>0.0214573941185596</v>
      </c>
      <c r="AY23" s="33" t="n">
        <v>0.0267487107869705</v>
      </c>
      <c r="AZ23" s="33" t="n">
        <v>0.02627542611473</v>
      </c>
      <c r="BA23" s="33" t="n">
        <v>0.0870591152855363</v>
      </c>
      <c r="BB23" s="33" t="n">
        <v>0.0308093416553067</v>
      </c>
      <c r="BC23" s="33" t="n">
        <v>0.0290516137615081</v>
      </c>
      <c r="BD23" s="33" t="n">
        <v>0.0244421336687821</v>
      </c>
      <c r="BE23" s="33" t="n">
        <v>0.0213279925162737</v>
      </c>
      <c r="BF23" s="33" t="n">
        <v>0.0181897697901147</v>
      </c>
      <c r="BG23" s="33" t="n">
        <v>0.0282630711888235</v>
      </c>
      <c r="BH23" s="33" t="n">
        <v>0.0257286940523431</v>
      </c>
      <c r="BI23" s="33" t="n">
        <v>0.0311386330551448</v>
      </c>
      <c r="BJ23" s="33" t="n">
        <v>0.028728501968602</v>
      </c>
      <c r="BK23" s="33" t="n">
        <v>0.0290401260229493</v>
      </c>
      <c r="BL23" s="33" t="n">
        <v>0.019864297838313</v>
      </c>
      <c r="BM23" s="33" t="n">
        <v>0.0193848535882195</v>
      </c>
      <c r="BN23" s="33" t="n">
        <v>0.0205690810080645</v>
      </c>
      <c r="BO23" s="33" t="n">
        <v>0.0238163044883957</v>
      </c>
      <c r="BP23" s="33" t="n">
        <v>0.0200236852319456</v>
      </c>
      <c r="BQ23" s="33" t="n">
        <v>0.0211100225273043</v>
      </c>
      <c r="BR23" s="33" t="n">
        <v>0.0214209933348952</v>
      </c>
      <c r="BS23" s="33" t="n">
        <v>0.0235197309274584</v>
      </c>
      <c r="BT23" s="33" t="n">
        <v>0.01730178663098</v>
      </c>
      <c r="BU23" s="33" t="n">
        <v>0.01730178663098</v>
      </c>
    </row>
    <row r="24" customFormat="false" ht="11.25" hidden="false" customHeight="true" outlineLevel="0" collapsed="false">
      <c r="B24" s="24" t="s">
        <v>99</v>
      </c>
      <c r="C24" s="25" t="s">
        <v>100</v>
      </c>
      <c r="D24" s="24" t="n">
        <v>18</v>
      </c>
      <c r="E24" s="34" t="n">
        <v>0.00355592027728976</v>
      </c>
      <c r="F24" s="34" t="n">
        <v>0.00394928324162479</v>
      </c>
      <c r="G24" s="34" t="n">
        <v>0.00373060270552361</v>
      </c>
      <c r="H24" s="34" t="n">
        <v>0.00441847361531639</v>
      </c>
      <c r="I24" s="34" t="n">
        <v>0.0039864853325838</v>
      </c>
      <c r="J24" s="34" t="n">
        <v>0.00420668349774043</v>
      </c>
      <c r="K24" s="34" t="n">
        <v>0.00476200581455775</v>
      </c>
      <c r="L24" s="34" t="n">
        <v>0.0104263291613977</v>
      </c>
      <c r="M24" s="34" t="n">
        <v>0.00545735306465635</v>
      </c>
      <c r="N24" s="34" t="n">
        <v>0.00782344845028716</v>
      </c>
      <c r="O24" s="34" t="n">
        <v>0.0092485988521379</v>
      </c>
      <c r="P24" s="34" t="n">
        <v>0.00707106723428615</v>
      </c>
      <c r="Q24" s="34" t="n">
        <v>0.00621213311594854</v>
      </c>
      <c r="R24" s="34" t="n">
        <v>0.00653141399735725</v>
      </c>
      <c r="S24" s="34" t="n">
        <v>0.00901293498505873</v>
      </c>
      <c r="T24" s="34" t="n">
        <v>0.00729798799508716</v>
      </c>
      <c r="U24" s="34" t="n">
        <v>0.0109968042447681</v>
      </c>
      <c r="V24" s="34" t="n">
        <v>1.04306715616018</v>
      </c>
      <c r="W24" s="34" t="n">
        <v>0.00348362330454774</v>
      </c>
      <c r="X24" s="34" t="n">
        <v>0.0056221065178479</v>
      </c>
      <c r="Y24" s="34" t="n">
        <v>0.00440807961692644</v>
      </c>
      <c r="Z24" s="34" t="n">
        <v>0.00684207388838271</v>
      </c>
      <c r="AA24" s="34" t="n">
        <v>0.00544280735346575</v>
      </c>
      <c r="AB24" s="34" t="n">
        <v>0.00902212012773552</v>
      </c>
      <c r="AC24" s="34" t="n">
        <v>0.00744974384134413</v>
      </c>
      <c r="AD24" s="34" t="n">
        <v>0.0073649400807795</v>
      </c>
      <c r="AE24" s="34" t="n">
        <v>0.00640314902998812</v>
      </c>
      <c r="AF24" s="34" t="n">
        <v>0.00512442448921706</v>
      </c>
      <c r="AG24" s="34" t="n">
        <v>0.00762514076010649</v>
      </c>
      <c r="AH24" s="34" t="n">
        <v>0.0058477067746823</v>
      </c>
      <c r="AI24" s="34" t="n">
        <v>0.00710690501731913</v>
      </c>
      <c r="AJ24" s="34" t="n">
        <v>0.00865195682657203</v>
      </c>
      <c r="AK24" s="34" t="n">
        <v>0.00435868174818217</v>
      </c>
      <c r="AL24" s="34" t="n">
        <v>0.00410545348269383</v>
      </c>
      <c r="AM24" s="34" t="n">
        <v>0.00376398561271405</v>
      </c>
      <c r="AN24" s="34" t="n">
        <v>0.00660493417296367</v>
      </c>
      <c r="AO24" s="34" t="n">
        <v>0.00392395274801868</v>
      </c>
      <c r="AP24" s="34" t="n">
        <v>0.00387440325346608</v>
      </c>
      <c r="AQ24" s="34" t="n">
        <v>0.00404761018669595</v>
      </c>
      <c r="AR24" s="34" t="n">
        <v>0.00443695336512216</v>
      </c>
      <c r="AS24" s="34" t="n">
        <v>0.00466536748064508</v>
      </c>
      <c r="AT24" s="34" t="n">
        <v>0.0109715109348761</v>
      </c>
      <c r="AU24" s="34" t="n">
        <v>0.00398863618899366</v>
      </c>
      <c r="AV24" s="34" t="n">
        <v>0.0038078603917397</v>
      </c>
      <c r="AW24" s="34" t="n">
        <v>0.00415963958627603</v>
      </c>
      <c r="AX24" s="34" t="n">
        <v>0.00480511599342319</v>
      </c>
      <c r="AY24" s="34" t="n">
        <v>0.00487618838877633</v>
      </c>
      <c r="AZ24" s="34" t="n">
        <v>0.00502136618076446</v>
      </c>
      <c r="BA24" s="34" t="n">
        <v>0.0618864548471915</v>
      </c>
      <c r="BB24" s="34" t="n">
        <v>0.0129527035498703</v>
      </c>
      <c r="BC24" s="34" t="n">
        <v>0.0114002280876046</v>
      </c>
      <c r="BD24" s="34" t="n">
        <v>0.00747295292851523</v>
      </c>
      <c r="BE24" s="34" t="n">
        <v>0.00665803929021035</v>
      </c>
      <c r="BF24" s="34" t="n">
        <v>0.00409068285125634</v>
      </c>
      <c r="BG24" s="34" t="n">
        <v>0.00706865385055817</v>
      </c>
      <c r="BH24" s="34" t="n">
        <v>0.00716924849052558</v>
      </c>
      <c r="BI24" s="34" t="n">
        <v>0.0307069741716624</v>
      </c>
      <c r="BJ24" s="34" t="n">
        <v>0.00539065863494904</v>
      </c>
      <c r="BK24" s="34" t="n">
        <v>0.00853612570295947</v>
      </c>
      <c r="BL24" s="34" t="n">
        <v>0.00429270912121041</v>
      </c>
      <c r="BM24" s="34" t="n">
        <v>0.00515846540383532</v>
      </c>
      <c r="BN24" s="34" t="n">
        <v>0.00460364048487346</v>
      </c>
      <c r="BO24" s="34" t="n">
        <v>0.00540852640057942</v>
      </c>
      <c r="BP24" s="34" t="n">
        <v>0.00464215194583102</v>
      </c>
      <c r="BQ24" s="34" t="n">
        <v>0.00403668836781813</v>
      </c>
      <c r="BR24" s="34" t="n">
        <v>0.0132782669082075</v>
      </c>
      <c r="BS24" s="34" t="n">
        <v>0.00647796880518215</v>
      </c>
      <c r="BT24" s="34" t="n">
        <v>0.00347984675355362</v>
      </c>
      <c r="BU24" s="34" t="n">
        <v>0.00347984675355362</v>
      </c>
    </row>
    <row r="25" customFormat="false" ht="11.25" hidden="false" customHeight="true" outlineLevel="0" collapsed="false">
      <c r="B25" s="19" t="s">
        <v>101</v>
      </c>
      <c r="C25" s="20" t="s">
        <v>102</v>
      </c>
      <c r="D25" s="19" t="n">
        <v>19</v>
      </c>
      <c r="E25" s="33" t="n">
        <v>0.138179267901926</v>
      </c>
      <c r="F25" s="33" t="n">
        <v>0.136117234218891</v>
      </c>
      <c r="G25" s="33" t="n">
        <v>0.1224343358943</v>
      </c>
      <c r="H25" s="33" t="n">
        <v>0.185511477955227</v>
      </c>
      <c r="I25" s="33" t="n">
        <v>0.117809247264611</v>
      </c>
      <c r="J25" s="33" t="n">
        <v>0.161834123978404</v>
      </c>
      <c r="K25" s="33" t="n">
        <v>0.208417793963697</v>
      </c>
      <c r="L25" s="33" t="n">
        <v>0.212736161001442</v>
      </c>
      <c r="M25" s="33" t="n">
        <v>0.170226313097743</v>
      </c>
      <c r="N25" s="33" t="n">
        <v>0.179128236387514</v>
      </c>
      <c r="O25" s="33" t="n">
        <v>0.130897211198344</v>
      </c>
      <c r="P25" s="33" t="n">
        <v>0.13214921280806</v>
      </c>
      <c r="Q25" s="33" t="n">
        <v>0.138869104659036</v>
      </c>
      <c r="R25" s="33" t="n">
        <v>0.121063672893187</v>
      </c>
      <c r="S25" s="33" t="n">
        <v>0.159341591984688</v>
      </c>
      <c r="T25" s="33" t="n">
        <v>0.151429919455725</v>
      </c>
      <c r="U25" s="33" t="n">
        <v>0.203251307414245</v>
      </c>
      <c r="V25" s="33" t="n">
        <v>0.102752084633111</v>
      </c>
      <c r="W25" s="33" t="n">
        <v>1.42229932457111</v>
      </c>
      <c r="X25" s="33" t="n">
        <v>0.155992087751041</v>
      </c>
      <c r="Y25" s="33" t="n">
        <v>0.208978282108723</v>
      </c>
      <c r="Z25" s="33" t="n">
        <v>0.150102898455064</v>
      </c>
      <c r="AA25" s="33" t="n">
        <v>0.127864777710643</v>
      </c>
      <c r="AB25" s="33" t="n">
        <v>0.15992565948018</v>
      </c>
      <c r="AC25" s="33" t="n">
        <v>0.164671047998929</v>
      </c>
      <c r="AD25" s="33" t="n">
        <v>0.196632916303884</v>
      </c>
      <c r="AE25" s="33" t="n">
        <v>0.179083144072726</v>
      </c>
      <c r="AF25" s="33" t="n">
        <v>0.169747117608657</v>
      </c>
      <c r="AG25" s="33" t="n">
        <v>0.156461887533599</v>
      </c>
      <c r="AH25" s="33" t="n">
        <v>0.0740573718988124</v>
      </c>
      <c r="AI25" s="33" t="n">
        <v>0.146024161188414</v>
      </c>
      <c r="AJ25" s="33" t="n">
        <v>0.152850652875059</v>
      </c>
      <c r="AK25" s="33" t="n">
        <v>0.0958058027321522</v>
      </c>
      <c r="AL25" s="33" t="n">
        <v>0.102498183433664</v>
      </c>
      <c r="AM25" s="33" t="n">
        <v>0.0798435296215583</v>
      </c>
      <c r="AN25" s="33" t="n">
        <v>0.132217156669147</v>
      </c>
      <c r="AO25" s="33" t="n">
        <v>0.0874768936682436</v>
      </c>
      <c r="AP25" s="33" t="n">
        <v>0.102662222424478</v>
      </c>
      <c r="AQ25" s="33" t="n">
        <v>0.108332482489601</v>
      </c>
      <c r="AR25" s="33" t="n">
        <v>0.116467984030278</v>
      </c>
      <c r="AS25" s="33" t="n">
        <v>0.0934946500423181</v>
      </c>
      <c r="AT25" s="33" t="n">
        <v>0.14251237951908</v>
      </c>
      <c r="AU25" s="33" t="n">
        <v>0.371750394692932</v>
      </c>
      <c r="AV25" s="33" t="n">
        <v>0.19020186596465</v>
      </c>
      <c r="AW25" s="33" t="n">
        <v>0.261741924891507</v>
      </c>
      <c r="AX25" s="33" t="n">
        <v>0.126043311469073</v>
      </c>
      <c r="AY25" s="33" t="n">
        <v>0.0957067503258201</v>
      </c>
      <c r="AZ25" s="33" t="n">
        <v>0.10850543434878</v>
      </c>
      <c r="BA25" s="33" t="n">
        <v>0.147066601038235</v>
      </c>
      <c r="BB25" s="33" t="n">
        <v>0.12524877666288</v>
      </c>
      <c r="BC25" s="33" t="n">
        <v>0.132396605424403</v>
      </c>
      <c r="BD25" s="33" t="n">
        <v>0.0930555110494116</v>
      </c>
      <c r="BE25" s="33" t="n">
        <v>0.0890471665327183</v>
      </c>
      <c r="BF25" s="33" t="n">
        <v>0.088919324388851</v>
      </c>
      <c r="BG25" s="33" t="n">
        <v>0.0984236610459106</v>
      </c>
      <c r="BH25" s="33" t="n">
        <v>0.0982676574529003</v>
      </c>
      <c r="BI25" s="33" t="n">
        <v>0.101099469526061</v>
      </c>
      <c r="BJ25" s="33" t="n">
        <v>0.105328069332873</v>
      </c>
      <c r="BK25" s="33" t="n">
        <v>0.094885368914765</v>
      </c>
      <c r="BL25" s="33" t="n">
        <v>0.104809673287644</v>
      </c>
      <c r="BM25" s="33" t="n">
        <v>0.0932667845693671</v>
      </c>
      <c r="BN25" s="33" t="n">
        <v>0.0909218244577563</v>
      </c>
      <c r="BO25" s="33" t="n">
        <v>0.0944843487680679</v>
      </c>
      <c r="BP25" s="33" t="n">
        <v>0.0906107110654817</v>
      </c>
      <c r="BQ25" s="33" t="n">
        <v>0.0833885861645446</v>
      </c>
      <c r="BR25" s="33" t="n">
        <v>0.0941641939390391</v>
      </c>
      <c r="BS25" s="33" t="n">
        <v>0.10008682733349</v>
      </c>
      <c r="BT25" s="33" t="n">
        <v>0.088703997215343</v>
      </c>
      <c r="BU25" s="33" t="n">
        <v>0.088703997215343</v>
      </c>
    </row>
    <row r="26" customFormat="false" ht="11.25" hidden="false" customHeight="true" outlineLevel="0" collapsed="false">
      <c r="B26" s="24" t="s">
        <v>103</v>
      </c>
      <c r="C26" s="25" t="s">
        <v>104</v>
      </c>
      <c r="D26" s="24" t="n">
        <v>20</v>
      </c>
      <c r="E26" s="34" t="n">
        <v>0.0170204448534073</v>
      </c>
      <c r="F26" s="34" t="n">
        <v>0.0183076021393031</v>
      </c>
      <c r="G26" s="34" t="n">
        <v>0.0168944664718126</v>
      </c>
      <c r="H26" s="34" t="n">
        <v>0.0199648156303022</v>
      </c>
      <c r="I26" s="34" t="n">
        <v>0.0183307412615739</v>
      </c>
      <c r="J26" s="34" t="n">
        <v>0.0185532325972267</v>
      </c>
      <c r="K26" s="34" t="n">
        <v>0.0207183671543044</v>
      </c>
      <c r="L26" s="34" t="n">
        <v>0.0298740356818252</v>
      </c>
      <c r="M26" s="34" t="n">
        <v>0.0253770907165075</v>
      </c>
      <c r="N26" s="34" t="n">
        <v>0.0275909235427348</v>
      </c>
      <c r="O26" s="34" t="n">
        <v>0.0207042007526933</v>
      </c>
      <c r="P26" s="34" t="n">
        <v>0.0183953958732173</v>
      </c>
      <c r="Q26" s="34" t="n">
        <v>0.0182123642486547</v>
      </c>
      <c r="R26" s="34" t="n">
        <v>0.0175378046936991</v>
      </c>
      <c r="S26" s="34" t="n">
        <v>0.0223455812117158</v>
      </c>
      <c r="T26" s="34" t="n">
        <v>0.0218954902635366</v>
      </c>
      <c r="U26" s="34" t="n">
        <v>0.025676764770079</v>
      </c>
      <c r="V26" s="34" t="n">
        <v>0.0152595553586271</v>
      </c>
      <c r="W26" s="34" t="n">
        <v>0.0807488861350784</v>
      </c>
      <c r="X26" s="34" t="n">
        <v>1.02971376847051</v>
      </c>
      <c r="Y26" s="34" t="n">
        <v>0.0211848650322338</v>
      </c>
      <c r="Z26" s="34" t="n">
        <v>0.0232166167687829</v>
      </c>
      <c r="AA26" s="34" t="n">
        <v>0.0431972103871</v>
      </c>
      <c r="AB26" s="34" t="n">
        <v>0.0333706860567813</v>
      </c>
      <c r="AC26" s="34" t="n">
        <v>0.0204080523681147</v>
      </c>
      <c r="AD26" s="34" t="n">
        <v>0.0227599490018272</v>
      </c>
      <c r="AE26" s="34" t="n">
        <v>0.0208527765956951</v>
      </c>
      <c r="AF26" s="34" t="n">
        <v>0.0187312589399183</v>
      </c>
      <c r="AG26" s="34" t="n">
        <v>0.0212216760608794</v>
      </c>
      <c r="AH26" s="34" t="n">
        <v>0.0105556782290082</v>
      </c>
      <c r="AI26" s="34" t="n">
        <v>0.0188904091834684</v>
      </c>
      <c r="AJ26" s="34" t="n">
        <v>0.0216061957541681</v>
      </c>
      <c r="AK26" s="34" t="n">
        <v>0.0121941814799603</v>
      </c>
      <c r="AL26" s="34" t="n">
        <v>0.0134419270178206</v>
      </c>
      <c r="AM26" s="34" t="n">
        <v>0.0110445261374286</v>
      </c>
      <c r="AN26" s="34" t="n">
        <v>0.0186676739747541</v>
      </c>
      <c r="AO26" s="34" t="n">
        <v>0.0127291451193856</v>
      </c>
      <c r="AP26" s="34" t="n">
        <v>0.014595821471519</v>
      </c>
      <c r="AQ26" s="34" t="n">
        <v>0.0162046755511133</v>
      </c>
      <c r="AR26" s="34" t="n">
        <v>0.0163578783906579</v>
      </c>
      <c r="AS26" s="34" t="n">
        <v>0.0166303779501708</v>
      </c>
      <c r="AT26" s="34" t="n">
        <v>0.0200425216801348</v>
      </c>
      <c r="AU26" s="34" t="n">
        <v>0.0314214731810116</v>
      </c>
      <c r="AV26" s="34" t="n">
        <v>0.0195002638497624</v>
      </c>
      <c r="AW26" s="34" t="n">
        <v>0.0219256270740672</v>
      </c>
      <c r="AX26" s="34" t="n">
        <v>0.0174859038629948</v>
      </c>
      <c r="AY26" s="34" t="n">
        <v>0.0156986639014718</v>
      </c>
      <c r="AZ26" s="34" t="n">
        <v>0.0176462658123573</v>
      </c>
      <c r="BA26" s="34" t="n">
        <v>0.0225015824554559</v>
      </c>
      <c r="BB26" s="34" t="n">
        <v>0.0200429911778474</v>
      </c>
      <c r="BC26" s="34" t="n">
        <v>0.0212499902171173</v>
      </c>
      <c r="BD26" s="34" t="n">
        <v>0.0157451889963189</v>
      </c>
      <c r="BE26" s="34" t="n">
        <v>0.0152433529109432</v>
      </c>
      <c r="BF26" s="34" t="n">
        <v>0.015382584664849</v>
      </c>
      <c r="BG26" s="34" t="n">
        <v>0.0167119526361997</v>
      </c>
      <c r="BH26" s="34" t="n">
        <v>0.0175651959439083</v>
      </c>
      <c r="BI26" s="34" t="n">
        <v>0.0168406932672569</v>
      </c>
      <c r="BJ26" s="34" t="n">
        <v>0.0186019320838935</v>
      </c>
      <c r="BK26" s="34" t="n">
        <v>0.016322275421838</v>
      </c>
      <c r="BL26" s="34" t="n">
        <v>0.0182390105848463</v>
      </c>
      <c r="BM26" s="34" t="n">
        <v>0.0161046854776344</v>
      </c>
      <c r="BN26" s="34" t="n">
        <v>0.0156098005379408</v>
      </c>
      <c r="BO26" s="34" t="n">
        <v>0.0154728819492901</v>
      </c>
      <c r="BP26" s="34" t="n">
        <v>0.0152621795829613</v>
      </c>
      <c r="BQ26" s="34" t="n">
        <v>0.0145889023897457</v>
      </c>
      <c r="BR26" s="34" t="n">
        <v>0.0159761763164341</v>
      </c>
      <c r="BS26" s="34" t="n">
        <v>0.0163336996336971</v>
      </c>
      <c r="BT26" s="34" t="n">
        <v>0.0154518751445337</v>
      </c>
      <c r="BU26" s="34" t="n">
        <v>0.0154518751445337</v>
      </c>
    </row>
    <row r="27" customFormat="false" ht="11.25" hidden="false" customHeight="true" outlineLevel="0" collapsed="false">
      <c r="B27" s="19" t="s">
        <v>105</v>
      </c>
      <c r="C27" s="20" t="s">
        <v>106</v>
      </c>
      <c r="D27" s="19" t="n">
        <v>21</v>
      </c>
      <c r="E27" s="33" t="n">
        <v>0.177761383070981</v>
      </c>
      <c r="F27" s="33" t="n">
        <v>0.087652942404793</v>
      </c>
      <c r="G27" s="33" t="n">
        <v>0.0478591214543706</v>
      </c>
      <c r="H27" s="33" t="n">
        <v>0.0622304460669184</v>
      </c>
      <c r="I27" s="33" t="n">
        <v>0.0545860344024727</v>
      </c>
      <c r="J27" s="33" t="n">
        <v>0.0390371228882715</v>
      </c>
      <c r="K27" s="33" t="n">
        <v>0.0481089535224891</v>
      </c>
      <c r="L27" s="33" t="n">
        <v>0.0864502842232412</v>
      </c>
      <c r="M27" s="33" t="n">
        <v>0.112546526140857</v>
      </c>
      <c r="N27" s="33" t="n">
        <v>0.10177595010208</v>
      </c>
      <c r="O27" s="33" t="n">
        <v>0.053011678214138</v>
      </c>
      <c r="P27" s="33" t="n">
        <v>0.0846006096646774</v>
      </c>
      <c r="Q27" s="33" t="n">
        <v>0.177697932287433</v>
      </c>
      <c r="R27" s="33" t="n">
        <v>0.0745476796592179</v>
      </c>
      <c r="S27" s="33" t="n">
        <v>0.107637272374109</v>
      </c>
      <c r="T27" s="33" t="n">
        <v>0.0852873786255617</v>
      </c>
      <c r="U27" s="33" t="n">
        <v>0.122279718320324</v>
      </c>
      <c r="V27" s="33" t="n">
        <v>0.0540440546803157</v>
      </c>
      <c r="W27" s="33" t="n">
        <v>0.0470222105452075</v>
      </c>
      <c r="X27" s="33" t="n">
        <v>0.10752626751691</v>
      </c>
      <c r="Y27" s="33" t="n">
        <v>1.25120889017415</v>
      </c>
      <c r="Z27" s="33" t="n">
        <v>0.210925207598919</v>
      </c>
      <c r="AA27" s="33" t="n">
        <v>0.157434226753099</v>
      </c>
      <c r="AB27" s="33" t="n">
        <v>0.0781679665328767</v>
      </c>
      <c r="AC27" s="33" t="n">
        <v>0.266579456019935</v>
      </c>
      <c r="AD27" s="33" t="n">
        <v>0.0928053831129209</v>
      </c>
      <c r="AE27" s="33" t="n">
        <v>0.0558515277620474</v>
      </c>
      <c r="AF27" s="33" t="n">
        <v>0.0592672453874833</v>
      </c>
      <c r="AG27" s="33" t="n">
        <v>0.0673842113681621</v>
      </c>
      <c r="AH27" s="33" t="n">
        <v>0.0287066503907496</v>
      </c>
      <c r="AI27" s="33" t="n">
        <v>0.0921677259993586</v>
      </c>
      <c r="AJ27" s="33" t="n">
        <v>0.0551388410605528</v>
      </c>
      <c r="AK27" s="33" t="n">
        <v>0.0468922994643266</v>
      </c>
      <c r="AL27" s="33" t="n">
        <v>0.0607428598697392</v>
      </c>
      <c r="AM27" s="33" t="n">
        <v>0.0394365396363365</v>
      </c>
      <c r="AN27" s="33" t="n">
        <v>0.0848532978920252</v>
      </c>
      <c r="AO27" s="33" t="n">
        <v>0.0384555391941636</v>
      </c>
      <c r="AP27" s="33" t="n">
        <v>0.0312460426694643</v>
      </c>
      <c r="AQ27" s="33" t="n">
        <v>0.0458524663934331</v>
      </c>
      <c r="AR27" s="33" t="n">
        <v>0.0488254540197732</v>
      </c>
      <c r="AS27" s="33" t="n">
        <v>0.0373743392587413</v>
      </c>
      <c r="AT27" s="33" t="n">
        <v>0.0423342353098477</v>
      </c>
      <c r="AU27" s="33" t="n">
        <v>0.0408096400742096</v>
      </c>
      <c r="AV27" s="33" t="n">
        <v>0.0307999631814957</v>
      </c>
      <c r="AW27" s="33" t="n">
        <v>0.0309289420554494</v>
      </c>
      <c r="AX27" s="33" t="n">
        <v>0.0330023003480465</v>
      </c>
      <c r="AY27" s="33" t="n">
        <v>0.0382015471601823</v>
      </c>
      <c r="AZ27" s="33" t="n">
        <v>0.0425922440403825</v>
      </c>
      <c r="BA27" s="33" t="n">
        <v>0.051336910111406</v>
      </c>
      <c r="BB27" s="33" t="n">
        <v>0.0424306189181219</v>
      </c>
      <c r="BC27" s="33" t="n">
        <v>0.0449529684108321</v>
      </c>
      <c r="BD27" s="33" t="n">
        <v>0.0321913481287122</v>
      </c>
      <c r="BE27" s="33" t="n">
        <v>0.0307790803089854</v>
      </c>
      <c r="BF27" s="33" t="n">
        <v>0.0317391408308613</v>
      </c>
      <c r="BG27" s="33" t="n">
        <v>0.0342841854066407</v>
      </c>
      <c r="BH27" s="33" t="n">
        <v>0.0324626941373604</v>
      </c>
      <c r="BI27" s="33" t="n">
        <v>0.0354260355666148</v>
      </c>
      <c r="BJ27" s="33" t="n">
        <v>0.0345413327666834</v>
      </c>
      <c r="BK27" s="33" t="n">
        <v>0.0360231866318876</v>
      </c>
      <c r="BL27" s="33" t="n">
        <v>0.0324887480622724</v>
      </c>
      <c r="BM27" s="33" t="n">
        <v>0.0320214303837494</v>
      </c>
      <c r="BN27" s="33" t="n">
        <v>0.0322794879723936</v>
      </c>
      <c r="BO27" s="33" t="n">
        <v>0.032407807867724</v>
      </c>
      <c r="BP27" s="33" t="n">
        <v>0.037090456437267</v>
      </c>
      <c r="BQ27" s="33" t="n">
        <v>0.0347241758746589</v>
      </c>
      <c r="BR27" s="33" t="n">
        <v>0.0344431623055053</v>
      </c>
      <c r="BS27" s="33" t="n">
        <v>0.0365034250538011</v>
      </c>
      <c r="BT27" s="33" t="n">
        <v>0.0309815804978154</v>
      </c>
      <c r="BU27" s="33" t="n">
        <v>0.0309815804978154</v>
      </c>
    </row>
    <row r="28" customFormat="false" ht="11.25" hidden="false" customHeight="true" outlineLevel="0" collapsed="false">
      <c r="B28" s="24" t="s">
        <v>107</v>
      </c>
      <c r="C28" s="25" t="s">
        <v>108</v>
      </c>
      <c r="D28" s="24" t="n">
        <v>22</v>
      </c>
      <c r="E28" s="34" t="n">
        <v>0.0958093084340994</v>
      </c>
      <c r="F28" s="34" t="n">
        <v>0.0476433994261681</v>
      </c>
      <c r="G28" s="34" t="n">
        <v>0.0214768926942299</v>
      </c>
      <c r="H28" s="34" t="n">
        <v>0.118202141022711</v>
      </c>
      <c r="I28" s="34" t="n">
        <v>0.0198066763021195</v>
      </c>
      <c r="J28" s="34" t="n">
        <v>0.0214725269922632</v>
      </c>
      <c r="K28" s="34" t="n">
        <v>0.0290137565777831</v>
      </c>
      <c r="L28" s="34" t="n">
        <v>0.0487971982442055</v>
      </c>
      <c r="M28" s="34" t="n">
        <v>0.058666639033583</v>
      </c>
      <c r="N28" s="34" t="n">
        <v>0.0593107512052585</v>
      </c>
      <c r="O28" s="34" t="n">
        <v>0.0263161312608789</v>
      </c>
      <c r="P28" s="34" t="n">
        <v>0.0445533344382788</v>
      </c>
      <c r="Q28" s="34" t="n">
        <v>0.044566699743115</v>
      </c>
      <c r="R28" s="34" t="n">
        <v>0.0272930342430326</v>
      </c>
      <c r="S28" s="34" t="n">
        <v>0.0358523884140846</v>
      </c>
      <c r="T28" s="34" t="n">
        <v>0.0570573351351343</v>
      </c>
      <c r="U28" s="34" t="n">
        <v>0.0526213440712141</v>
      </c>
      <c r="V28" s="34" t="n">
        <v>0.0629882173106799</v>
      </c>
      <c r="W28" s="34" t="n">
        <v>0.019876682172493</v>
      </c>
      <c r="X28" s="34" t="n">
        <v>0.0569456580605923</v>
      </c>
      <c r="Y28" s="34" t="n">
        <v>0.0381887110225755</v>
      </c>
      <c r="Z28" s="34" t="n">
        <v>1.16733022718776</v>
      </c>
      <c r="AA28" s="34" t="n">
        <v>0.0680340694536367</v>
      </c>
      <c r="AB28" s="34" t="n">
        <v>0.0416701592703743</v>
      </c>
      <c r="AC28" s="34" t="n">
        <v>0.0599781860917019</v>
      </c>
      <c r="AD28" s="34" t="n">
        <v>0.0463713726532176</v>
      </c>
      <c r="AE28" s="34" t="n">
        <v>0.0280726543758934</v>
      </c>
      <c r="AF28" s="34" t="n">
        <v>0.0229973797582092</v>
      </c>
      <c r="AG28" s="34" t="n">
        <v>0.0332913164176606</v>
      </c>
      <c r="AH28" s="34" t="n">
        <v>0.0153231087470534</v>
      </c>
      <c r="AI28" s="34" t="n">
        <v>0.0271940575211716</v>
      </c>
      <c r="AJ28" s="34" t="n">
        <v>0.0279760967293522</v>
      </c>
      <c r="AK28" s="34" t="n">
        <v>0.0204438084450932</v>
      </c>
      <c r="AL28" s="34" t="n">
        <v>0.0209203525224634</v>
      </c>
      <c r="AM28" s="34" t="n">
        <v>0.0171380500783325</v>
      </c>
      <c r="AN28" s="34" t="n">
        <v>0.0351594276345339</v>
      </c>
      <c r="AO28" s="34" t="n">
        <v>0.0256835506004288</v>
      </c>
      <c r="AP28" s="34" t="n">
        <v>0.0157696332582081</v>
      </c>
      <c r="AQ28" s="34" t="n">
        <v>0.0245006537192128</v>
      </c>
      <c r="AR28" s="34" t="n">
        <v>0.0411673214848166</v>
      </c>
      <c r="AS28" s="34" t="n">
        <v>0.0234667588039043</v>
      </c>
      <c r="AT28" s="34" t="n">
        <v>0.0232822695824556</v>
      </c>
      <c r="AU28" s="34" t="n">
        <v>0.0190548813878632</v>
      </c>
      <c r="AV28" s="34" t="n">
        <v>0.0160306724788662</v>
      </c>
      <c r="AW28" s="34" t="n">
        <v>0.014401728164504</v>
      </c>
      <c r="AX28" s="34" t="n">
        <v>0.0176713483549789</v>
      </c>
      <c r="AY28" s="34" t="n">
        <v>0.0206357644018711</v>
      </c>
      <c r="AZ28" s="34" t="n">
        <v>0.0224995711586325</v>
      </c>
      <c r="BA28" s="34" t="n">
        <v>0.0347568941792539</v>
      </c>
      <c r="BB28" s="34" t="n">
        <v>0.026702647475299</v>
      </c>
      <c r="BC28" s="34" t="n">
        <v>0.0254064478537966</v>
      </c>
      <c r="BD28" s="34" t="n">
        <v>0.0173996624235345</v>
      </c>
      <c r="BE28" s="34" t="n">
        <v>0.0164530228631254</v>
      </c>
      <c r="BF28" s="34" t="n">
        <v>0.018792385373767</v>
      </c>
      <c r="BG28" s="34" t="n">
        <v>0.0178685262359142</v>
      </c>
      <c r="BH28" s="34" t="n">
        <v>0.0172403768664838</v>
      </c>
      <c r="BI28" s="34" t="n">
        <v>0.0207414126772844</v>
      </c>
      <c r="BJ28" s="34" t="n">
        <v>0.0178066651144359</v>
      </c>
      <c r="BK28" s="34" t="n">
        <v>0.0268972956829945</v>
      </c>
      <c r="BL28" s="34" t="n">
        <v>0.016958666631302</v>
      </c>
      <c r="BM28" s="34" t="n">
        <v>0.0173689588395916</v>
      </c>
      <c r="BN28" s="34" t="n">
        <v>0.0177857437043059</v>
      </c>
      <c r="BO28" s="34" t="n">
        <v>0.0172387471607136</v>
      </c>
      <c r="BP28" s="34" t="n">
        <v>0.0239093027772695</v>
      </c>
      <c r="BQ28" s="34" t="n">
        <v>0.0166918521623694</v>
      </c>
      <c r="BR28" s="34" t="n">
        <v>0.0187376368206131</v>
      </c>
      <c r="BS28" s="34" t="n">
        <v>0.0185071142214002</v>
      </c>
      <c r="BT28" s="34" t="n">
        <v>0.016039459069342</v>
      </c>
      <c r="BU28" s="34" t="n">
        <v>0.016039459069342</v>
      </c>
    </row>
    <row r="29" customFormat="false" ht="11.25" hidden="false" customHeight="true" outlineLevel="0" collapsed="false">
      <c r="B29" s="19" t="s">
        <v>109</v>
      </c>
      <c r="C29" s="20" t="s">
        <v>110</v>
      </c>
      <c r="D29" s="19" t="n">
        <v>23</v>
      </c>
      <c r="E29" s="33" t="n">
        <v>0.0155141592163815</v>
      </c>
      <c r="F29" s="33" t="n">
        <v>0.0147470314552224</v>
      </c>
      <c r="G29" s="33" t="n">
        <v>0.014875570340585</v>
      </c>
      <c r="H29" s="33" t="n">
        <v>0.0182056719177874</v>
      </c>
      <c r="I29" s="33" t="n">
        <v>0.0137980450505239</v>
      </c>
      <c r="J29" s="33" t="n">
        <v>0.0154086047662943</v>
      </c>
      <c r="K29" s="33" t="n">
        <v>0.0154244301925124</v>
      </c>
      <c r="L29" s="33" t="n">
        <v>0.0240458012925025</v>
      </c>
      <c r="M29" s="33" t="n">
        <v>0.0172099388188842</v>
      </c>
      <c r="N29" s="33" t="n">
        <v>0.0200426614308351</v>
      </c>
      <c r="O29" s="33" t="n">
        <v>0.015373158197845</v>
      </c>
      <c r="P29" s="33" t="n">
        <v>0.0173311083866232</v>
      </c>
      <c r="Q29" s="33" t="n">
        <v>0.0181023851809085</v>
      </c>
      <c r="R29" s="33" t="n">
        <v>0.0174108084394064</v>
      </c>
      <c r="S29" s="33" t="n">
        <v>0.0213307956747125</v>
      </c>
      <c r="T29" s="33" t="n">
        <v>0.0197499337763972</v>
      </c>
      <c r="U29" s="33" t="n">
        <v>0.023580112204382</v>
      </c>
      <c r="V29" s="33" t="n">
        <v>0.0159369451206975</v>
      </c>
      <c r="W29" s="33" t="n">
        <v>0.0123088894612056</v>
      </c>
      <c r="X29" s="33" t="n">
        <v>0.0176571954534876</v>
      </c>
      <c r="Y29" s="33" t="n">
        <v>0.0168264385495273</v>
      </c>
      <c r="Z29" s="33" t="n">
        <v>0.023915663265321</v>
      </c>
      <c r="AA29" s="33" t="n">
        <v>1.03670673828313</v>
      </c>
      <c r="AB29" s="33" t="n">
        <v>0.0222768424695568</v>
      </c>
      <c r="AC29" s="33" t="n">
        <v>0.019955447488071</v>
      </c>
      <c r="AD29" s="33" t="n">
        <v>0.0196676242072482</v>
      </c>
      <c r="AE29" s="33" t="n">
        <v>0.0173919945060498</v>
      </c>
      <c r="AF29" s="33" t="n">
        <v>0.0155346857347428</v>
      </c>
      <c r="AG29" s="33" t="n">
        <v>0.0228059719913973</v>
      </c>
      <c r="AH29" s="33" t="n">
        <v>0.0101538918278003</v>
      </c>
      <c r="AI29" s="33" t="n">
        <v>0.0173735578153999</v>
      </c>
      <c r="AJ29" s="33" t="n">
        <v>0.0202682714447271</v>
      </c>
      <c r="AK29" s="33" t="n">
        <v>0.0109838506211038</v>
      </c>
      <c r="AL29" s="33" t="n">
        <v>0.0125561512979391</v>
      </c>
      <c r="AM29" s="33" t="n">
        <v>0.0104463631683342</v>
      </c>
      <c r="AN29" s="33" t="n">
        <v>0.0179327744948301</v>
      </c>
      <c r="AO29" s="33" t="n">
        <v>0.0123980006430693</v>
      </c>
      <c r="AP29" s="33" t="n">
        <v>0.0133017873524862</v>
      </c>
      <c r="AQ29" s="33" t="n">
        <v>0.0152525132750623</v>
      </c>
      <c r="AR29" s="33" t="n">
        <v>0.0147096197550357</v>
      </c>
      <c r="AS29" s="33" t="n">
        <v>0.0145903528805864</v>
      </c>
      <c r="AT29" s="33" t="n">
        <v>0.0189105949012601</v>
      </c>
      <c r="AU29" s="33" t="n">
        <v>0.0147974423969381</v>
      </c>
      <c r="AV29" s="33" t="n">
        <v>0.0136363504698341</v>
      </c>
      <c r="AW29" s="33" t="n">
        <v>0.0111104080002716</v>
      </c>
      <c r="AX29" s="33" t="n">
        <v>0.0156207523151153</v>
      </c>
      <c r="AY29" s="33" t="n">
        <v>0.0168714709164667</v>
      </c>
      <c r="AZ29" s="33" t="n">
        <v>0.0143196077441044</v>
      </c>
      <c r="BA29" s="33" t="n">
        <v>0.0221645344223396</v>
      </c>
      <c r="BB29" s="33" t="n">
        <v>0.0202456946903373</v>
      </c>
      <c r="BC29" s="33" t="n">
        <v>0.0216185622256578</v>
      </c>
      <c r="BD29" s="33" t="n">
        <v>0.0155637460029699</v>
      </c>
      <c r="BE29" s="33" t="n">
        <v>0.0151811689238998</v>
      </c>
      <c r="BF29" s="33" t="n">
        <v>0.015433310663459</v>
      </c>
      <c r="BG29" s="33" t="n">
        <v>0.016912041214834</v>
      </c>
      <c r="BH29" s="33" t="n">
        <v>0.0158048610725928</v>
      </c>
      <c r="BI29" s="33" t="n">
        <v>0.0185210490759834</v>
      </c>
      <c r="BJ29" s="33" t="n">
        <v>0.0164153025094924</v>
      </c>
      <c r="BK29" s="33" t="n">
        <v>0.0214976806196652</v>
      </c>
      <c r="BL29" s="33" t="n">
        <v>0.0156097118602371</v>
      </c>
      <c r="BM29" s="33" t="n">
        <v>0.0153382890383034</v>
      </c>
      <c r="BN29" s="33" t="n">
        <v>0.0157126429918343</v>
      </c>
      <c r="BO29" s="33" t="n">
        <v>0.0162747143677483</v>
      </c>
      <c r="BP29" s="33" t="n">
        <v>0.0153581115273722</v>
      </c>
      <c r="BQ29" s="33" t="n">
        <v>0.0163349290825475</v>
      </c>
      <c r="BR29" s="33" t="n">
        <v>0.0190328158210909</v>
      </c>
      <c r="BS29" s="33" t="n">
        <v>0.0205948914275475</v>
      </c>
      <c r="BT29" s="33" t="n">
        <v>0.0155419526290418</v>
      </c>
      <c r="BU29" s="33" t="n">
        <v>0.0155419526290418</v>
      </c>
    </row>
    <row r="30" customFormat="false" ht="11.25" hidden="false" customHeight="true" outlineLevel="0" collapsed="false">
      <c r="B30" s="24" t="s">
        <v>111</v>
      </c>
      <c r="C30" s="25" t="s">
        <v>112</v>
      </c>
      <c r="D30" s="24" t="n">
        <v>24</v>
      </c>
      <c r="E30" s="34" t="n">
        <v>0.0191023029665379</v>
      </c>
      <c r="F30" s="34" t="n">
        <v>0.0307874710045347</v>
      </c>
      <c r="G30" s="34" t="n">
        <v>0.0200393386713364</v>
      </c>
      <c r="H30" s="34" t="n">
        <v>0.0187493707827251</v>
      </c>
      <c r="I30" s="34" t="n">
        <v>0.018209753375297</v>
      </c>
      <c r="J30" s="34" t="n">
        <v>0.0188144900853965</v>
      </c>
      <c r="K30" s="34" t="n">
        <v>0.0178605364927117</v>
      </c>
      <c r="L30" s="34" t="n">
        <v>0.0332647806118541</v>
      </c>
      <c r="M30" s="34" t="n">
        <v>0.0210785896877014</v>
      </c>
      <c r="N30" s="34" t="n">
        <v>0.0247105314588766</v>
      </c>
      <c r="O30" s="34" t="n">
        <v>0.0179983810414625</v>
      </c>
      <c r="P30" s="34" t="n">
        <v>0.0213299173544584</v>
      </c>
      <c r="Q30" s="34" t="n">
        <v>0.0202710565164487</v>
      </c>
      <c r="R30" s="34" t="n">
        <v>0.0210934654646981</v>
      </c>
      <c r="S30" s="34" t="n">
        <v>0.0256417489634628</v>
      </c>
      <c r="T30" s="34" t="n">
        <v>0.0226848912221539</v>
      </c>
      <c r="U30" s="34" t="n">
        <v>0.0267988192389313</v>
      </c>
      <c r="V30" s="34" t="n">
        <v>0.0182777103291878</v>
      </c>
      <c r="W30" s="34" t="n">
        <v>0.0145910562497721</v>
      </c>
      <c r="X30" s="34" t="n">
        <v>0.0218755906324376</v>
      </c>
      <c r="Y30" s="34" t="n">
        <v>0.0164278764990019</v>
      </c>
      <c r="Z30" s="34" t="n">
        <v>0.0263919297831939</v>
      </c>
      <c r="AA30" s="34" t="n">
        <v>0.0182918642473842</v>
      </c>
      <c r="AB30" s="34" t="n">
        <v>1.08009865155401</v>
      </c>
      <c r="AC30" s="34" t="n">
        <v>0.0211650294232912</v>
      </c>
      <c r="AD30" s="34" t="n">
        <v>0.0225893082637263</v>
      </c>
      <c r="AE30" s="34" t="n">
        <v>0.0207866906700821</v>
      </c>
      <c r="AF30" s="34" t="n">
        <v>0.0181582332099571</v>
      </c>
      <c r="AG30" s="34" t="n">
        <v>0.0229181139485681</v>
      </c>
      <c r="AH30" s="34" t="n">
        <v>0.0120542712002243</v>
      </c>
      <c r="AI30" s="34" t="n">
        <v>0.0203044172050981</v>
      </c>
      <c r="AJ30" s="34" t="n">
        <v>0.0244091166598032</v>
      </c>
      <c r="AK30" s="34" t="n">
        <v>0.012875795761052</v>
      </c>
      <c r="AL30" s="34" t="n">
        <v>0.0148475565853796</v>
      </c>
      <c r="AM30" s="34" t="n">
        <v>0.012536137157713</v>
      </c>
      <c r="AN30" s="34" t="n">
        <v>0.0214902083047477</v>
      </c>
      <c r="AO30" s="34" t="n">
        <v>0.015077407411884</v>
      </c>
      <c r="AP30" s="34" t="n">
        <v>0.0172157045744429</v>
      </c>
      <c r="AQ30" s="34" t="n">
        <v>0.0187894896924611</v>
      </c>
      <c r="AR30" s="34" t="n">
        <v>0.0177294461100365</v>
      </c>
      <c r="AS30" s="34" t="n">
        <v>0.0176542554185022</v>
      </c>
      <c r="AT30" s="34" t="n">
        <v>0.0223496280373431</v>
      </c>
      <c r="AU30" s="34" t="n">
        <v>0.0178940821225987</v>
      </c>
      <c r="AV30" s="34" t="n">
        <v>0.0172201137031989</v>
      </c>
      <c r="AW30" s="34" t="n">
        <v>0.0137574589401972</v>
      </c>
      <c r="AX30" s="34" t="n">
        <v>0.0192736665895672</v>
      </c>
      <c r="AY30" s="34" t="n">
        <v>0.0188920457300865</v>
      </c>
      <c r="AZ30" s="34" t="n">
        <v>0.0184197439398183</v>
      </c>
      <c r="BA30" s="34" t="n">
        <v>0.0262605691028274</v>
      </c>
      <c r="BB30" s="34" t="n">
        <v>0.0239410648123087</v>
      </c>
      <c r="BC30" s="34" t="n">
        <v>0.0259402456052224</v>
      </c>
      <c r="BD30" s="34" t="n">
        <v>0.0198889951980552</v>
      </c>
      <c r="BE30" s="34" t="n">
        <v>0.019693796197186</v>
      </c>
      <c r="BF30" s="34" t="n">
        <v>0.020585993525597</v>
      </c>
      <c r="BG30" s="34" t="n">
        <v>0.0206775932039575</v>
      </c>
      <c r="BH30" s="34" t="n">
        <v>0.0193238638518619</v>
      </c>
      <c r="BI30" s="34" t="n">
        <v>0.0207174000489363</v>
      </c>
      <c r="BJ30" s="34" t="n">
        <v>0.0193783322312713</v>
      </c>
      <c r="BK30" s="34" t="n">
        <v>0.0200980520007632</v>
      </c>
      <c r="BL30" s="34" t="n">
        <v>0.0204745857441053</v>
      </c>
      <c r="BM30" s="34" t="n">
        <v>0.0204208721071675</v>
      </c>
      <c r="BN30" s="34" t="n">
        <v>0.0211744098887859</v>
      </c>
      <c r="BO30" s="34" t="n">
        <v>0.0214304888372518</v>
      </c>
      <c r="BP30" s="34" t="n">
        <v>0.0358824325029774</v>
      </c>
      <c r="BQ30" s="34" t="n">
        <v>0.0538730078503908</v>
      </c>
      <c r="BR30" s="34" t="n">
        <v>0.0196482323816815</v>
      </c>
      <c r="BS30" s="34" t="n">
        <v>0.021709803797281</v>
      </c>
      <c r="BT30" s="34" t="n">
        <v>0.02089058847368</v>
      </c>
      <c r="BU30" s="34" t="n">
        <v>0.02089058847368</v>
      </c>
    </row>
    <row r="31" customFormat="false" ht="11.25" hidden="false" customHeight="true" outlineLevel="0" collapsed="false">
      <c r="B31" s="19" t="s">
        <v>113</v>
      </c>
      <c r="C31" s="20" t="s">
        <v>114</v>
      </c>
      <c r="D31" s="19" t="n">
        <v>25</v>
      </c>
      <c r="E31" s="33" t="n">
        <v>0.0240727607521873</v>
      </c>
      <c r="F31" s="33" t="n">
        <v>0.026347594897911</v>
      </c>
      <c r="G31" s="33" t="n">
        <v>0.024214240407662</v>
      </c>
      <c r="H31" s="33" t="n">
        <v>0.0324887514800483</v>
      </c>
      <c r="I31" s="33" t="n">
        <v>0.0242292478679779</v>
      </c>
      <c r="J31" s="33" t="n">
        <v>0.0344248149927158</v>
      </c>
      <c r="K31" s="33" t="n">
        <v>0.0333587955275939</v>
      </c>
      <c r="L31" s="33" t="n">
        <v>0.0557629803996766</v>
      </c>
      <c r="M31" s="33" t="n">
        <v>0.0315088133166293</v>
      </c>
      <c r="N31" s="33" t="n">
        <v>0.0611469200652514</v>
      </c>
      <c r="O31" s="33" t="n">
        <v>0.0686346257388653</v>
      </c>
      <c r="P31" s="33" t="n">
        <v>0.0288069191664264</v>
      </c>
      <c r="Q31" s="33" t="n">
        <v>0.0355967164602773</v>
      </c>
      <c r="R31" s="33" t="n">
        <v>0.0319572730629353</v>
      </c>
      <c r="S31" s="33" t="n">
        <v>0.0564476571777233</v>
      </c>
      <c r="T31" s="33" t="n">
        <v>0.0419920210759148</v>
      </c>
      <c r="U31" s="33" t="n">
        <v>0.0493951945144813</v>
      </c>
      <c r="V31" s="33" t="n">
        <v>0.0665625549172942</v>
      </c>
      <c r="W31" s="33" t="n">
        <v>0.0195800148669295</v>
      </c>
      <c r="X31" s="33" t="n">
        <v>0.0308599744614887</v>
      </c>
      <c r="Y31" s="33" t="n">
        <v>0.0331519549574798</v>
      </c>
      <c r="Z31" s="33" t="n">
        <v>0.039407723879766</v>
      </c>
      <c r="AA31" s="33" t="n">
        <v>0.0596625769385149</v>
      </c>
      <c r="AB31" s="33" t="n">
        <v>0.0421014931417342</v>
      </c>
      <c r="AC31" s="33" t="n">
        <v>1.16892190613934</v>
      </c>
      <c r="AD31" s="33" t="n">
        <v>0.0613962848325227</v>
      </c>
      <c r="AE31" s="33" t="n">
        <v>0.0385803030328694</v>
      </c>
      <c r="AF31" s="33" t="n">
        <v>0.0285417919293057</v>
      </c>
      <c r="AG31" s="33" t="n">
        <v>0.0432999919094175</v>
      </c>
      <c r="AH31" s="33" t="n">
        <v>0.0300604325801151</v>
      </c>
      <c r="AI31" s="33" t="n">
        <v>0.0586307130259839</v>
      </c>
      <c r="AJ31" s="33" t="n">
        <v>0.0575432544471703</v>
      </c>
      <c r="AK31" s="33" t="n">
        <v>0.0866904123388044</v>
      </c>
      <c r="AL31" s="33" t="n">
        <v>0.0705512864788199</v>
      </c>
      <c r="AM31" s="33" t="n">
        <v>0.0440756206660271</v>
      </c>
      <c r="AN31" s="33" t="n">
        <v>0.064112168028836</v>
      </c>
      <c r="AO31" s="33" t="n">
        <v>0.0441727902063308</v>
      </c>
      <c r="AP31" s="33" t="n">
        <v>0.0220307101575727</v>
      </c>
      <c r="AQ31" s="33" t="n">
        <v>0.033342378827922</v>
      </c>
      <c r="AR31" s="33" t="n">
        <v>0.0600877970896354</v>
      </c>
      <c r="AS31" s="33" t="n">
        <v>0.0401866451965003</v>
      </c>
      <c r="AT31" s="33" t="n">
        <v>0.0340776344119388</v>
      </c>
      <c r="AU31" s="33" t="n">
        <v>0.0469454562786532</v>
      </c>
      <c r="AV31" s="33" t="n">
        <v>0.0225439525202618</v>
      </c>
      <c r="AW31" s="33" t="n">
        <v>0.0395270885197835</v>
      </c>
      <c r="AX31" s="33" t="n">
        <v>0.0254031395940985</v>
      </c>
      <c r="AY31" s="33" t="n">
        <v>0.0248117405185217</v>
      </c>
      <c r="AZ31" s="33" t="n">
        <v>0.0308376777175243</v>
      </c>
      <c r="BA31" s="33" t="n">
        <v>0.0381037444828004</v>
      </c>
      <c r="BB31" s="33" t="n">
        <v>0.0308315828636054</v>
      </c>
      <c r="BC31" s="33" t="n">
        <v>0.0334697266866017</v>
      </c>
      <c r="BD31" s="33" t="n">
        <v>0.0230965420821564</v>
      </c>
      <c r="BE31" s="33" t="n">
        <v>0.021501808806994</v>
      </c>
      <c r="BF31" s="33" t="n">
        <v>0.0217964929653614</v>
      </c>
      <c r="BG31" s="33" t="n">
        <v>0.025756469628512</v>
      </c>
      <c r="BH31" s="33" t="n">
        <v>0.022870166672621</v>
      </c>
      <c r="BI31" s="33" t="n">
        <v>0.0256900077231196</v>
      </c>
      <c r="BJ31" s="33" t="n">
        <v>0.0306493982194521</v>
      </c>
      <c r="BK31" s="33" t="n">
        <v>0.0260959383474162</v>
      </c>
      <c r="BL31" s="33" t="n">
        <v>0.0225325959837383</v>
      </c>
      <c r="BM31" s="33" t="n">
        <v>0.0225527456755772</v>
      </c>
      <c r="BN31" s="33" t="n">
        <v>0.0225443764624157</v>
      </c>
      <c r="BO31" s="33" t="n">
        <v>0.0226180140564312</v>
      </c>
      <c r="BP31" s="33" t="n">
        <v>0.0280678187304254</v>
      </c>
      <c r="BQ31" s="33" t="n">
        <v>0.023778002619426</v>
      </c>
      <c r="BR31" s="33" t="n">
        <v>0.0240900032515002</v>
      </c>
      <c r="BS31" s="33" t="n">
        <v>0.0242336745993682</v>
      </c>
      <c r="BT31" s="33" t="n">
        <v>0.0212014777312373</v>
      </c>
      <c r="BU31" s="33" t="n">
        <v>0.0212014777312373</v>
      </c>
    </row>
    <row r="32" customFormat="false" ht="11.25" hidden="false" customHeight="true" outlineLevel="0" collapsed="false">
      <c r="B32" s="24" t="s">
        <v>115</v>
      </c>
      <c r="C32" s="25" t="s">
        <v>116</v>
      </c>
      <c r="D32" s="24" t="n">
        <v>26</v>
      </c>
      <c r="E32" s="34" t="n">
        <v>0.0166890124162168</v>
      </c>
      <c r="F32" s="34" t="n">
        <v>0.0236231142932237</v>
      </c>
      <c r="G32" s="34" t="n">
        <v>0.0108349403647667</v>
      </c>
      <c r="H32" s="34" t="n">
        <v>0.0128253435555626</v>
      </c>
      <c r="I32" s="34" t="n">
        <v>0.00904776111441554</v>
      </c>
      <c r="J32" s="34" t="n">
        <v>0.0110928340424118</v>
      </c>
      <c r="K32" s="34" t="n">
        <v>0.011528804079376</v>
      </c>
      <c r="L32" s="34" t="n">
        <v>0.0198384139303033</v>
      </c>
      <c r="M32" s="34" t="n">
        <v>0.0162229128621107</v>
      </c>
      <c r="N32" s="34" t="n">
        <v>0.0204139137357981</v>
      </c>
      <c r="O32" s="34" t="n">
        <v>0.0400671356350818</v>
      </c>
      <c r="P32" s="34" t="n">
        <v>0.0123064243293787</v>
      </c>
      <c r="Q32" s="34" t="n">
        <v>0.0115532719590426</v>
      </c>
      <c r="R32" s="34" t="n">
        <v>0.010105220773069</v>
      </c>
      <c r="S32" s="34" t="n">
        <v>0.0123464078062026</v>
      </c>
      <c r="T32" s="34" t="n">
        <v>0.0116213553200057</v>
      </c>
      <c r="U32" s="34" t="n">
        <v>0.0169794961772967</v>
      </c>
      <c r="V32" s="34" t="n">
        <v>0.00956055548651578</v>
      </c>
      <c r="W32" s="34" t="n">
        <v>0.00725907282418683</v>
      </c>
      <c r="X32" s="34" t="n">
        <v>0.013897510071</v>
      </c>
      <c r="Y32" s="34" t="n">
        <v>0.0134953131142354</v>
      </c>
      <c r="Z32" s="34" t="n">
        <v>0.0131773695272594</v>
      </c>
      <c r="AA32" s="34" t="n">
        <v>0.017967993698781</v>
      </c>
      <c r="AB32" s="34" t="n">
        <v>0.013074424768131</v>
      </c>
      <c r="AC32" s="34" t="n">
        <v>0.0167157996266088</v>
      </c>
      <c r="AD32" s="34" t="n">
        <v>1.11877211665621</v>
      </c>
      <c r="AE32" s="34" t="n">
        <v>0.0151536281745751</v>
      </c>
      <c r="AF32" s="34" t="n">
        <v>0.0136295030438454</v>
      </c>
      <c r="AG32" s="34" t="n">
        <v>0.0145155774932705</v>
      </c>
      <c r="AH32" s="34" t="n">
        <v>0.00603793838862971</v>
      </c>
      <c r="AI32" s="34" t="n">
        <v>0.0159550517487892</v>
      </c>
      <c r="AJ32" s="34" t="n">
        <v>0.0149196701996626</v>
      </c>
      <c r="AK32" s="34" t="n">
        <v>0.022127912114037</v>
      </c>
      <c r="AL32" s="34" t="n">
        <v>0.0103600056523502</v>
      </c>
      <c r="AM32" s="34" t="n">
        <v>0.0111578882455718</v>
      </c>
      <c r="AN32" s="34" t="n">
        <v>0.018374739069354</v>
      </c>
      <c r="AO32" s="34" t="n">
        <v>0.0107765763590642</v>
      </c>
      <c r="AP32" s="34" t="n">
        <v>0.0147817843908989</v>
      </c>
      <c r="AQ32" s="34" t="n">
        <v>0.0277267211600481</v>
      </c>
      <c r="AR32" s="34" t="n">
        <v>0.110144067789006</v>
      </c>
      <c r="AS32" s="34" t="n">
        <v>0.0105886540895426</v>
      </c>
      <c r="AT32" s="34" t="n">
        <v>0.0104150055617487</v>
      </c>
      <c r="AU32" s="34" t="n">
        <v>0.00851460509799364</v>
      </c>
      <c r="AV32" s="34" t="n">
        <v>0.00790748513904944</v>
      </c>
      <c r="AW32" s="34" t="n">
        <v>0.00670215491834773</v>
      </c>
      <c r="AX32" s="34" t="n">
        <v>0.00986314920321843</v>
      </c>
      <c r="AY32" s="34" t="n">
        <v>0.0197010001803987</v>
      </c>
      <c r="AZ32" s="34" t="n">
        <v>0.0158257276015681</v>
      </c>
      <c r="BA32" s="34" t="n">
        <v>0.0122739270702017</v>
      </c>
      <c r="BB32" s="34" t="n">
        <v>0.0115453474538645</v>
      </c>
      <c r="BC32" s="34" t="n">
        <v>0.0140003863730615</v>
      </c>
      <c r="BD32" s="34" t="n">
        <v>0.00904512190905391</v>
      </c>
      <c r="BE32" s="34" t="n">
        <v>0.00836816102398504</v>
      </c>
      <c r="BF32" s="34" t="n">
        <v>0.0127085859074511</v>
      </c>
      <c r="BG32" s="34" t="n">
        <v>0.00914026236619038</v>
      </c>
      <c r="BH32" s="34" t="n">
        <v>0.00935449474605448</v>
      </c>
      <c r="BI32" s="34" t="n">
        <v>0.00927401398155024</v>
      </c>
      <c r="BJ32" s="34" t="n">
        <v>0.00893223108786678</v>
      </c>
      <c r="BK32" s="34" t="n">
        <v>0.010664348156329</v>
      </c>
      <c r="BL32" s="34" t="n">
        <v>0.00845258663382253</v>
      </c>
      <c r="BM32" s="34" t="n">
        <v>0.0105868135006718</v>
      </c>
      <c r="BN32" s="34" t="n">
        <v>0.0091430892131689</v>
      </c>
      <c r="BO32" s="34" t="n">
        <v>0.00914704231416816</v>
      </c>
      <c r="BP32" s="34" t="n">
        <v>0.0116175261504802</v>
      </c>
      <c r="BQ32" s="34" t="n">
        <v>0.00862336356670245</v>
      </c>
      <c r="BR32" s="34" t="n">
        <v>0.0100332108916323</v>
      </c>
      <c r="BS32" s="34" t="n">
        <v>0.0113503326872031</v>
      </c>
      <c r="BT32" s="34" t="n">
        <v>0.00807522917092118</v>
      </c>
      <c r="BU32" s="34" t="n">
        <v>0.00807522917092118</v>
      </c>
    </row>
    <row r="33" customFormat="false" ht="11.25" hidden="false" customHeight="true" outlineLevel="0" collapsed="false">
      <c r="B33" s="19" t="s">
        <v>117</v>
      </c>
      <c r="C33" s="20" t="s">
        <v>118</v>
      </c>
      <c r="D33" s="19" t="n">
        <v>27</v>
      </c>
      <c r="E33" s="33" t="n">
        <v>0.0138821442319487</v>
      </c>
      <c r="F33" s="33" t="n">
        <v>0.017280505490855</v>
      </c>
      <c r="G33" s="33" t="n">
        <v>0.014203779510529</v>
      </c>
      <c r="H33" s="33" t="n">
        <v>0.0240258187896014</v>
      </c>
      <c r="I33" s="33" t="n">
        <v>0.0919206933770871</v>
      </c>
      <c r="J33" s="33" t="n">
        <v>0.0236666374489008</v>
      </c>
      <c r="K33" s="33" t="n">
        <v>0.0343352762770286</v>
      </c>
      <c r="L33" s="33" t="n">
        <v>0.0292871223615092</v>
      </c>
      <c r="M33" s="33" t="n">
        <v>0.0173641847600043</v>
      </c>
      <c r="N33" s="33" t="n">
        <v>0.0226094708799555</v>
      </c>
      <c r="O33" s="33" t="n">
        <v>0.0335331281796282</v>
      </c>
      <c r="P33" s="33" t="n">
        <v>0.016370919877053</v>
      </c>
      <c r="Q33" s="33" t="n">
        <v>0.0172063936584699</v>
      </c>
      <c r="R33" s="33" t="n">
        <v>0.0163907675905865</v>
      </c>
      <c r="S33" s="33" t="n">
        <v>0.0206751008047159</v>
      </c>
      <c r="T33" s="33" t="n">
        <v>0.0249305091949326</v>
      </c>
      <c r="U33" s="33" t="n">
        <v>0.0272267420189938</v>
      </c>
      <c r="V33" s="33" t="n">
        <v>0.0172785622059895</v>
      </c>
      <c r="W33" s="33" t="n">
        <v>0.0355864909639553</v>
      </c>
      <c r="X33" s="33" t="n">
        <v>0.0170551028874861</v>
      </c>
      <c r="Y33" s="33" t="n">
        <v>0.0169913289941762</v>
      </c>
      <c r="Z33" s="33" t="n">
        <v>0.0204511444965465</v>
      </c>
      <c r="AA33" s="33" t="n">
        <v>0.021069566491506</v>
      </c>
      <c r="AB33" s="33" t="n">
        <v>0.0208082931631118</v>
      </c>
      <c r="AC33" s="33" t="n">
        <v>0.0289817601562711</v>
      </c>
      <c r="AD33" s="33" t="n">
        <v>0.0352488244554188</v>
      </c>
      <c r="AE33" s="33" t="n">
        <v>1.13264515381101</v>
      </c>
      <c r="AF33" s="33" t="n">
        <v>0.0407072700160415</v>
      </c>
      <c r="AG33" s="33" t="n">
        <v>0.258156785158197</v>
      </c>
      <c r="AH33" s="33" t="n">
        <v>0.0150058189322523</v>
      </c>
      <c r="AI33" s="33" t="n">
        <v>0.0783982978130144</v>
      </c>
      <c r="AJ33" s="33" t="n">
        <v>0.116735902428504</v>
      </c>
      <c r="AK33" s="33" t="n">
        <v>0.0874360211433821</v>
      </c>
      <c r="AL33" s="33" t="n">
        <v>0.12926677425095</v>
      </c>
      <c r="AM33" s="33" t="n">
        <v>0.0456392240056713</v>
      </c>
      <c r="AN33" s="33" t="n">
        <v>0.0439028595498416</v>
      </c>
      <c r="AO33" s="33" t="n">
        <v>0.0533124482407594</v>
      </c>
      <c r="AP33" s="33" t="n">
        <v>0.0199705087235879</v>
      </c>
      <c r="AQ33" s="33" t="n">
        <v>0.0213799323669808</v>
      </c>
      <c r="AR33" s="33" t="n">
        <v>0.0590791708087939</v>
      </c>
      <c r="AS33" s="33" t="n">
        <v>0.0267419985723539</v>
      </c>
      <c r="AT33" s="33" t="n">
        <v>0.0187272316735918</v>
      </c>
      <c r="AU33" s="33" t="n">
        <v>0.0237322574269723</v>
      </c>
      <c r="AV33" s="33" t="n">
        <v>0.0174849041579998</v>
      </c>
      <c r="AW33" s="33" t="n">
        <v>0.0145347348127958</v>
      </c>
      <c r="AX33" s="33" t="n">
        <v>0.0156744172767961</v>
      </c>
      <c r="AY33" s="33" t="n">
        <v>0.0163250942477668</v>
      </c>
      <c r="AZ33" s="33" t="n">
        <v>0.0177901662966116</v>
      </c>
      <c r="BA33" s="33" t="n">
        <v>0.0207796536975025</v>
      </c>
      <c r="BB33" s="33" t="n">
        <v>0.0178875709055438</v>
      </c>
      <c r="BC33" s="33" t="n">
        <v>0.0199476705028113</v>
      </c>
      <c r="BD33" s="33" t="n">
        <v>0.0137510490532088</v>
      </c>
      <c r="BE33" s="33" t="n">
        <v>0.0122628872039557</v>
      </c>
      <c r="BF33" s="33" t="n">
        <v>0.0125105025213844</v>
      </c>
      <c r="BG33" s="33" t="n">
        <v>0.0138880793380516</v>
      </c>
      <c r="BH33" s="33" t="n">
        <v>0.0140174182523505</v>
      </c>
      <c r="BI33" s="33" t="n">
        <v>0.014319144339348</v>
      </c>
      <c r="BJ33" s="33" t="n">
        <v>0.0203302945792372</v>
      </c>
      <c r="BK33" s="33" t="n">
        <v>0.0148215953783402</v>
      </c>
      <c r="BL33" s="33" t="n">
        <v>0.0138919137204972</v>
      </c>
      <c r="BM33" s="33" t="n">
        <v>0.0140696849519563</v>
      </c>
      <c r="BN33" s="33" t="n">
        <v>0.012754976286791</v>
      </c>
      <c r="BO33" s="33" t="n">
        <v>0.013313921208511</v>
      </c>
      <c r="BP33" s="33" t="n">
        <v>0.0142996572293991</v>
      </c>
      <c r="BQ33" s="33" t="n">
        <v>0.0125774562273182</v>
      </c>
      <c r="BR33" s="33" t="n">
        <v>0.0152110847377805</v>
      </c>
      <c r="BS33" s="33" t="n">
        <v>0.0139626762462408</v>
      </c>
      <c r="BT33" s="33" t="n">
        <v>0.0119637953798059</v>
      </c>
      <c r="BU33" s="33" t="n">
        <v>0.0119637953798059</v>
      </c>
    </row>
    <row r="34" customFormat="false" ht="11.25" hidden="false" customHeight="true" outlineLevel="0" collapsed="false">
      <c r="B34" s="24" t="s">
        <v>119</v>
      </c>
      <c r="C34" s="25" t="s">
        <v>120</v>
      </c>
      <c r="D34" s="24" t="n">
        <v>28</v>
      </c>
      <c r="E34" s="34" t="n">
        <v>0.00857829963033142</v>
      </c>
      <c r="F34" s="34" t="n">
        <v>0.00853082729102931</v>
      </c>
      <c r="G34" s="34" t="n">
        <v>0.00763630798736787</v>
      </c>
      <c r="H34" s="34" t="n">
        <v>0.0102903601993238</v>
      </c>
      <c r="I34" s="34" t="n">
        <v>0.0117408114102135</v>
      </c>
      <c r="J34" s="34" t="n">
        <v>0.0105509774687916</v>
      </c>
      <c r="K34" s="34" t="n">
        <v>0.0179385374314739</v>
      </c>
      <c r="L34" s="34" t="n">
        <v>0.0161078228503925</v>
      </c>
      <c r="M34" s="34" t="n">
        <v>0.0099553911845871</v>
      </c>
      <c r="N34" s="34" t="n">
        <v>0.0141743841842313</v>
      </c>
      <c r="O34" s="34" t="n">
        <v>0.0126410855920735</v>
      </c>
      <c r="P34" s="34" t="n">
        <v>0.00959963092403151</v>
      </c>
      <c r="Q34" s="34" t="n">
        <v>0.0102443853946053</v>
      </c>
      <c r="R34" s="34" t="n">
        <v>0.00980962533471024</v>
      </c>
      <c r="S34" s="34" t="n">
        <v>0.0120341769906575</v>
      </c>
      <c r="T34" s="34" t="n">
        <v>0.012456407254748</v>
      </c>
      <c r="U34" s="34" t="n">
        <v>0.0192599350732398</v>
      </c>
      <c r="V34" s="34" t="n">
        <v>0.0286623535975424</v>
      </c>
      <c r="W34" s="34" t="n">
        <v>0.00753501125791998</v>
      </c>
      <c r="X34" s="34" t="n">
        <v>0.00992098719950005</v>
      </c>
      <c r="Y34" s="34" t="n">
        <v>0.0152847517315232</v>
      </c>
      <c r="Z34" s="34" t="n">
        <v>0.0152005357697122</v>
      </c>
      <c r="AA34" s="34" t="n">
        <v>0.0110511220623012</v>
      </c>
      <c r="AB34" s="34" t="n">
        <v>0.0121161465128615</v>
      </c>
      <c r="AC34" s="34" t="n">
        <v>0.0130017247058687</v>
      </c>
      <c r="AD34" s="34" t="n">
        <v>0.0149203975905622</v>
      </c>
      <c r="AE34" s="34" t="n">
        <v>0.0347987505870164</v>
      </c>
      <c r="AF34" s="34" t="n">
        <v>1.24671820204279</v>
      </c>
      <c r="AG34" s="34" t="n">
        <v>0.0550570340586866</v>
      </c>
      <c r="AH34" s="34" t="n">
        <v>0.0116778248644083</v>
      </c>
      <c r="AI34" s="34" t="n">
        <v>0.146941361609879</v>
      </c>
      <c r="AJ34" s="34" t="n">
        <v>0.0378104163712927</v>
      </c>
      <c r="AK34" s="34" t="n">
        <v>0.0327988913371394</v>
      </c>
      <c r="AL34" s="34" t="n">
        <v>0.0747707903633948</v>
      </c>
      <c r="AM34" s="34" t="n">
        <v>0.0418691338711351</v>
      </c>
      <c r="AN34" s="34" t="n">
        <v>0.0498182255510219</v>
      </c>
      <c r="AO34" s="34" t="n">
        <v>0.0377992293315651</v>
      </c>
      <c r="AP34" s="34" t="n">
        <v>0.0109357047667151</v>
      </c>
      <c r="AQ34" s="34" t="n">
        <v>0.0118953490173112</v>
      </c>
      <c r="AR34" s="34" t="n">
        <v>0.0206440401818483</v>
      </c>
      <c r="AS34" s="34" t="n">
        <v>0.0190548435286269</v>
      </c>
      <c r="AT34" s="34" t="n">
        <v>0.0101793400152326</v>
      </c>
      <c r="AU34" s="34" t="n">
        <v>0.011679610659212</v>
      </c>
      <c r="AV34" s="34" t="n">
        <v>0.00958397104266657</v>
      </c>
      <c r="AW34" s="34" t="n">
        <v>0.00658734754024003</v>
      </c>
      <c r="AX34" s="34" t="n">
        <v>0.00909360241858228</v>
      </c>
      <c r="AY34" s="34" t="n">
        <v>0.00911576805674749</v>
      </c>
      <c r="AZ34" s="34" t="n">
        <v>0.00893027168475948</v>
      </c>
      <c r="BA34" s="34" t="n">
        <v>0.0132884409368801</v>
      </c>
      <c r="BB34" s="34" t="n">
        <v>0.0107140961590483</v>
      </c>
      <c r="BC34" s="34" t="n">
        <v>0.0118313643640717</v>
      </c>
      <c r="BD34" s="34" t="n">
        <v>0.00811776497805926</v>
      </c>
      <c r="BE34" s="34" t="n">
        <v>0.00732646456617925</v>
      </c>
      <c r="BF34" s="34" t="n">
        <v>0.00741588946173626</v>
      </c>
      <c r="BG34" s="34" t="n">
        <v>0.00872993354477349</v>
      </c>
      <c r="BH34" s="34" t="n">
        <v>0.0081281149002626</v>
      </c>
      <c r="BI34" s="34" t="n">
        <v>0.00908066774783992</v>
      </c>
      <c r="BJ34" s="34" t="n">
        <v>0.00942526756061912</v>
      </c>
      <c r="BK34" s="34" t="n">
        <v>0.00881272513518256</v>
      </c>
      <c r="BL34" s="34" t="n">
        <v>0.00791967735423785</v>
      </c>
      <c r="BM34" s="34" t="n">
        <v>0.00774445691982906</v>
      </c>
      <c r="BN34" s="34" t="n">
        <v>0.00742029287881354</v>
      </c>
      <c r="BO34" s="34" t="n">
        <v>0.00811354436623778</v>
      </c>
      <c r="BP34" s="34" t="n">
        <v>0.00839436646930086</v>
      </c>
      <c r="BQ34" s="34" t="n">
        <v>0.00838709212826902</v>
      </c>
      <c r="BR34" s="34" t="n">
        <v>0.0102631011182066</v>
      </c>
      <c r="BS34" s="34" t="n">
        <v>0.00891731580085383</v>
      </c>
      <c r="BT34" s="34" t="n">
        <v>0.00701920706442858</v>
      </c>
      <c r="BU34" s="34" t="n">
        <v>0.00701920706442858</v>
      </c>
    </row>
    <row r="35" customFormat="false" ht="11.25" hidden="false" customHeight="true" outlineLevel="0" collapsed="false">
      <c r="B35" s="19" t="s">
        <v>121</v>
      </c>
      <c r="C35" s="20" t="s">
        <v>122</v>
      </c>
      <c r="D35" s="19" t="n">
        <v>29</v>
      </c>
      <c r="E35" s="33" t="n">
        <v>0.0169805972744143</v>
      </c>
      <c r="F35" s="33" t="n">
        <v>0.0213582695185704</v>
      </c>
      <c r="G35" s="33" t="n">
        <v>0.0178298386146453</v>
      </c>
      <c r="H35" s="33" t="n">
        <v>0.0226710625542899</v>
      </c>
      <c r="I35" s="33" t="n">
        <v>0.0304893822505578</v>
      </c>
      <c r="J35" s="33" t="n">
        <v>0.0316991009534237</v>
      </c>
      <c r="K35" s="33" t="n">
        <v>0.0411229878834621</v>
      </c>
      <c r="L35" s="33" t="n">
        <v>0.0413350774041419</v>
      </c>
      <c r="M35" s="33" t="n">
        <v>0.0211708450144199</v>
      </c>
      <c r="N35" s="33" t="n">
        <v>0.0323589439236975</v>
      </c>
      <c r="O35" s="33" t="n">
        <v>0.0848266015156522</v>
      </c>
      <c r="P35" s="33" t="n">
        <v>0.020341227453783</v>
      </c>
      <c r="Q35" s="33" t="n">
        <v>0.0208741642338353</v>
      </c>
      <c r="R35" s="33" t="n">
        <v>0.0204774971609831</v>
      </c>
      <c r="S35" s="33" t="n">
        <v>0.0251360660366276</v>
      </c>
      <c r="T35" s="33" t="n">
        <v>0.0430992629421176</v>
      </c>
      <c r="U35" s="33" t="n">
        <v>0.0290699309485169</v>
      </c>
      <c r="V35" s="33" t="n">
        <v>0.0211775619864432</v>
      </c>
      <c r="W35" s="33" t="n">
        <v>0.0189087097885777</v>
      </c>
      <c r="X35" s="33" t="n">
        <v>0.0213573809912642</v>
      </c>
      <c r="Y35" s="33" t="n">
        <v>0.019683758553303</v>
      </c>
      <c r="Z35" s="33" t="n">
        <v>0.0313706856827736</v>
      </c>
      <c r="AA35" s="33" t="n">
        <v>0.0407419127331228</v>
      </c>
      <c r="AB35" s="33" t="n">
        <v>0.0259094239802874</v>
      </c>
      <c r="AC35" s="33" t="n">
        <v>0.024227239431166</v>
      </c>
      <c r="AD35" s="33" t="n">
        <v>0.0268431669714433</v>
      </c>
      <c r="AE35" s="33" t="n">
        <v>0.0472635706643894</v>
      </c>
      <c r="AF35" s="33" t="n">
        <v>0.0305389511818927</v>
      </c>
      <c r="AG35" s="33" t="n">
        <v>1.11871261910128</v>
      </c>
      <c r="AH35" s="33" t="n">
        <v>0.0234359550552762</v>
      </c>
      <c r="AI35" s="33" t="n">
        <v>0.063048335175299</v>
      </c>
      <c r="AJ35" s="33" t="n">
        <v>0.0759449083878359</v>
      </c>
      <c r="AK35" s="33" t="n">
        <v>0.0495402165037306</v>
      </c>
      <c r="AL35" s="33" t="n">
        <v>0.0495143374954511</v>
      </c>
      <c r="AM35" s="33" t="n">
        <v>0.059659979915175</v>
      </c>
      <c r="AN35" s="33" t="n">
        <v>0.0433321782802377</v>
      </c>
      <c r="AO35" s="33" t="n">
        <v>0.0675134684768353</v>
      </c>
      <c r="AP35" s="33" t="n">
        <v>0.0261010436711027</v>
      </c>
      <c r="AQ35" s="33" t="n">
        <v>0.0270465591943319</v>
      </c>
      <c r="AR35" s="33" t="n">
        <v>0.063082066228328</v>
      </c>
      <c r="AS35" s="33" t="n">
        <v>0.0221578480925529</v>
      </c>
      <c r="AT35" s="33" t="n">
        <v>0.0208356555520516</v>
      </c>
      <c r="AU35" s="33" t="n">
        <v>0.0189517460975329</v>
      </c>
      <c r="AV35" s="33" t="n">
        <v>0.0191318087220877</v>
      </c>
      <c r="AW35" s="33" t="n">
        <v>0.0139814824868506</v>
      </c>
      <c r="AX35" s="33" t="n">
        <v>0.0180805006129207</v>
      </c>
      <c r="AY35" s="33" t="n">
        <v>0.0246465841503391</v>
      </c>
      <c r="AZ35" s="33" t="n">
        <v>0.032255060900003</v>
      </c>
      <c r="BA35" s="33" t="n">
        <v>0.0245717263861601</v>
      </c>
      <c r="BB35" s="33" t="n">
        <v>0.0217754164831637</v>
      </c>
      <c r="BC35" s="33" t="n">
        <v>0.0237979561150508</v>
      </c>
      <c r="BD35" s="33" t="n">
        <v>0.0168446437032004</v>
      </c>
      <c r="BE35" s="33" t="n">
        <v>0.0155335141408233</v>
      </c>
      <c r="BF35" s="33" t="n">
        <v>0.0164092018436445</v>
      </c>
      <c r="BG35" s="33" t="n">
        <v>0.0170944606037664</v>
      </c>
      <c r="BH35" s="33" t="n">
        <v>0.0165348067352725</v>
      </c>
      <c r="BI35" s="33" t="n">
        <v>0.0175512786506286</v>
      </c>
      <c r="BJ35" s="33" t="n">
        <v>0.0176308810302883</v>
      </c>
      <c r="BK35" s="33" t="n">
        <v>0.0189091859570795</v>
      </c>
      <c r="BL35" s="33" t="n">
        <v>0.0189437286199045</v>
      </c>
      <c r="BM35" s="33" t="n">
        <v>0.0180243449471593</v>
      </c>
      <c r="BN35" s="33" t="n">
        <v>0.0162604003208873</v>
      </c>
      <c r="BO35" s="33" t="n">
        <v>0.0162368780451007</v>
      </c>
      <c r="BP35" s="33" t="n">
        <v>0.018163555080999</v>
      </c>
      <c r="BQ35" s="33" t="n">
        <v>0.0157062706335806</v>
      </c>
      <c r="BR35" s="33" t="n">
        <v>0.0177312949931899</v>
      </c>
      <c r="BS35" s="33" t="n">
        <v>0.017951876655362</v>
      </c>
      <c r="BT35" s="33" t="n">
        <v>0.0155141132594695</v>
      </c>
      <c r="BU35" s="33" t="n">
        <v>0.0155141132594695</v>
      </c>
    </row>
    <row r="36" customFormat="false" ht="11.25" hidden="false" customHeight="true" outlineLevel="0" collapsed="false">
      <c r="B36" s="24" t="s">
        <v>123</v>
      </c>
      <c r="C36" s="25" t="s">
        <v>124</v>
      </c>
      <c r="D36" s="24" t="n">
        <v>30</v>
      </c>
      <c r="E36" s="34" t="n">
        <v>0.0159628500031755</v>
      </c>
      <c r="F36" s="34" t="n">
        <v>0.0166108125039182</v>
      </c>
      <c r="G36" s="34" t="n">
        <v>0.0179935825928784</v>
      </c>
      <c r="H36" s="34" t="n">
        <v>0.0188879599636467</v>
      </c>
      <c r="I36" s="34" t="n">
        <v>0.0195810065422639</v>
      </c>
      <c r="J36" s="34" t="n">
        <v>0.0202633634436191</v>
      </c>
      <c r="K36" s="34" t="n">
        <v>0.0206623951368453</v>
      </c>
      <c r="L36" s="34" t="n">
        <v>0.028438532416189</v>
      </c>
      <c r="M36" s="34" t="n">
        <v>0.0197261956346031</v>
      </c>
      <c r="N36" s="34" t="n">
        <v>0.0226963021522815</v>
      </c>
      <c r="O36" s="34" t="n">
        <v>0.0182927569836307</v>
      </c>
      <c r="P36" s="34" t="n">
        <v>0.0204568969074226</v>
      </c>
      <c r="Q36" s="34" t="n">
        <v>0.0189351149370692</v>
      </c>
      <c r="R36" s="34" t="n">
        <v>0.0199312141612905</v>
      </c>
      <c r="S36" s="34" t="n">
        <v>0.0248107779882774</v>
      </c>
      <c r="T36" s="34" t="n">
        <v>0.0224507623374844</v>
      </c>
      <c r="U36" s="34" t="n">
        <v>0.0270315141750112</v>
      </c>
      <c r="V36" s="34" t="n">
        <v>0.0320469486442486</v>
      </c>
      <c r="W36" s="34" t="n">
        <v>0.0145086455703706</v>
      </c>
      <c r="X36" s="34" t="n">
        <v>0.0200333654959879</v>
      </c>
      <c r="Y36" s="34" t="n">
        <v>0.0148629051148492</v>
      </c>
      <c r="Z36" s="34" t="n">
        <v>0.0195442585636804</v>
      </c>
      <c r="AA36" s="34" t="n">
        <v>0.0161709946992831</v>
      </c>
      <c r="AB36" s="34" t="n">
        <v>0.0259986024446983</v>
      </c>
      <c r="AC36" s="34" t="n">
        <v>0.0208226036491567</v>
      </c>
      <c r="AD36" s="34" t="n">
        <v>0.0230056514113254</v>
      </c>
      <c r="AE36" s="34" t="n">
        <v>0.022461076429811</v>
      </c>
      <c r="AF36" s="34" t="n">
        <v>0.0189903549119854</v>
      </c>
      <c r="AG36" s="34" t="n">
        <v>0.0231567039026764</v>
      </c>
      <c r="AH36" s="34" t="n">
        <v>1.20077823783288</v>
      </c>
      <c r="AI36" s="34" t="n">
        <v>0.031312342370129</v>
      </c>
      <c r="AJ36" s="34" t="n">
        <v>0.0348518330643325</v>
      </c>
      <c r="AK36" s="34" t="n">
        <v>0.0165536817995513</v>
      </c>
      <c r="AL36" s="34" t="n">
        <v>0.0182288552732075</v>
      </c>
      <c r="AM36" s="34" t="n">
        <v>0.0154440571780977</v>
      </c>
      <c r="AN36" s="34" t="n">
        <v>0.021970088386494</v>
      </c>
      <c r="AO36" s="34" t="n">
        <v>0.0302924170912465</v>
      </c>
      <c r="AP36" s="34" t="n">
        <v>0.0185642677558194</v>
      </c>
      <c r="AQ36" s="34" t="n">
        <v>0.0187014553262508</v>
      </c>
      <c r="AR36" s="34" t="n">
        <v>0.0188714812090833</v>
      </c>
      <c r="AS36" s="34" t="n">
        <v>0.0177613478059128</v>
      </c>
      <c r="AT36" s="34" t="n">
        <v>0.0220912443480438</v>
      </c>
      <c r="AU36" s="34" t="n">
        <v>0.0177861411979235</v>
      </c>
      <c r="AV36" s="34" t="n">
        <v>0.0185070729633993</v>
      </c>
      <c r="AW36" s="34" t="n">
        <v>0.0148731253040803</v>
      </c>
      <c r="AX36" s="34" t="n">
        <v>0.0218647987751843</v>
      </c>
      <c r="AY36" s="34" t="n">
        <v>0.0180009548528035</v>
      </c>
      <c r="AZ36" s="34" t="n">
        <v>0.0169166790148932</v>
      </c>
      <c r="BA36" s="34" t="n">
        <v>0.0275844843574194</v>
      </c>
      <c r="BB36" s="34" t="n">
        <v>0.0342326371441192</v>
      </c>
      <c r="BC36" s="34" t="n">
        <v>0.0292795519625614</v>
      </c>
      <c r="BD36" s="34" t="n">
        <v>0.0389513271554679</v>
      </c>
      <c r="BE36" s="34" t="n">
        <v>0.0203355278631931</v>
      </c>
      <c r="BF36" s="34" t="n">
        <v>0.0189011283800734</v>
      </c>
      <c r="BG36" s="34" t="n">
        <v>0.0223385175133073</v>
      </c>
      <c r="BH36" s="34" t="n">
        <v>0.034499437127695</v>
      </c>
      <c r="BI36" s="34" t="n">
        <v>0.0265465260507998</v>
      </c>
      <c r="BJ36" s="34" t="n">
        <v>0.0200007641302448</v>
      </c>
      <c r="BK36" s="34" t="n">
        <v>0.0264356045092991</v>
      </c>
      <c r="BL36" s="34" t="n">
        <v>0.0245045419969607</v>
      </c>
      <c r="BM36" s="34" t="n">
        <v>0.019545220276008</v>
      </c>
      <c r="BN36" s="34" t="n">
        <v>0.0210533677223586</v>
      </c>
      <c r="BO36" s="34" t="n">
        <v>0.0204521214566784</v>
      </c>
      <c r="BP36" s="34" t="n">
        <v>0.0205685920714527</v>
      </c>
      <c r="BQ36" s="34" t="n">
        <v>0.017815882465389</v>
      </c>
      <c r="BR36" s="34" t="n">
        <v>0.0214568495674677</v>
      </c>
      <c r="BS36" s="34" t="n">
        <v>0.0246079313848122</v>
      </c>
      <c r="BT36" s="34" t="n">
        <v>0.0189456540665547</v>
      </c>
      <c r="BU36" s="34" t="n">
        <v>0.0189456540665547</v>
      </c>
    </row>
    <row r="37" customFormat="false" ht="11.25" hidden="false" customHeight="true" outlineLevel="0" collapsed="false">
      <c r="B37" s="19" t="s">
        <v>125</v>
      </c>
      <c r="C37" s="20" t="s">
        <v>126</v>
      </c>
      <c r="D37" s="19" t="n">
        <v>31</v>
      </c>
      <c r="E37" s="33" t="n">
        <v>0.0120823940529823</v>
      </c>
      <c r="F37" s="33" t="n">
        <v>0.0133871227725879</v>
      </c>
      <c r="G37" s="33" t="n">
        <v>0.0130362306998579</v>
      </c>
      <c r="H37" s="33" t="n">
        <v>0.0169288195828533</v>
      </c>
      <c r="I37" s="33" t="n">
        <v>0.0159647224488196</v>
      </c>
      <c r="J37" s="33" t="n">
        <v>0.0166501157826513</v>
      </c>
      <c r="K37" s="33" t="n">
        <v>0.0193687360176438</v>
      </c>
      <c r="L37" s="33" t="n">
        <v>0.0226420874036958</v>
      </c>
      <c r="M37" s="33" t="n">
        <v>0.015642961073358</v>
      </c>
      <c r="N37" s="33" t="n">
        <v>0.0180273972497909</v>
      </c>
      <c r="O37" s="33" t="n">
        <v>0.0149017739389695</v>
      </c>
      <c r="P37" s="33" t="n">
        <v>0.0153239719173708</v>
      </c>
      <c r="Q37" s="33" t="n">
        <v>0.016205047972619</v>
      </c>
      <c r="R37" s="33" t="n">
        <v>0.0153039249276388</v>
      </c>
      <c r="S37" s="33" t="n">
        <v>0.0190414210058218</v>
      </c>
      <c r="T37" s="33" t="n">
        <v>0.0194098462777204</v>
      </c>
      <c r="U37" s="33" t="n">
        <v>0.0228936208242406</v>
      </c>
      <c r="V37" s="33" t="n">
        <v>0.0164885706937949</v>
      </c>
      <c r="W37" s="33" t="n">
        <v>0.011263963609066</v>
      </c>
      <c r="X37" s="33" t="n">
        <v>0.0153456040369648</v>
      </c>
      <c r="Y37" s="33" t="n">
        <v>0.0133670423033255</v>
      </c>
      <c r="Z37" s="33" t="n">
        <v>0.0155622004330505</v>
      </c>
      <c r="AA37" s="33" t="n">
        <v>0.0129605873254331</v>
      </c>
      <c r="AB37" s="33" t="n">
        <v>0.0195665209141327</v>
      </c>
      <c r="AC37" s="33" t="n">
        <v>0.0175177120007021</v>
      </c>
      <c r="AD37" s="33" t="n">
        <v>0.0214482121963567</v>
      </c>
      <c r="AE37" s="33" t="n">
        <v>0.0209212247407112</v>
      </c>
      <c r="AF37" s="33" t="n">
        <v>0.0198177937759844</v>
      </c>
      <c r="AG37" s="33" t="n">
        <v>0.0201996043420248</v>
      </c>
      <c r="AH37" s="33" t="n">
        <v>0.0345729483627784</v>
      </c>
      <c r="AI37" s="33" t="n">
        <v>1.14903229261953</v>
      </c>
      <c r="AJ37" s="33" t="n">
        <v>0.0496698703793203</v>
      </c>
      <c r="AK37" s="33" t="n">
        <v>0.0231438148511077</v>
      </c>
      <c r="AL37" s="33" t="n">
        <v>0.027621581606984</v>
      </c>
      <c r="AM37" s="33" t="n">
        <v>0.0202826607357087</v>
      </c>
      <c r="AN37" s="33" t="n">
        <v>0.0206433599370385</v>
      </c>
      <c r="AO37" s="33" t="n">
        <v>0.0530265078985105</v>
      </c>
      <c r="AP37" s="33" t="n">
        <v>0.0391947375798131</v>
      </c>
      <c r="AQ37" s="33" t="n">
        <v>0.0189520678119419</v>
      </c>
      <c r="AR37" s="33" t="n">
        <v>0.0334952247159872</v>
      </c>
      <c r="AS37" s="33" t="n">
        <v>0.0176898678765748</v>
      </c>
      <c r="AT37" s="33" t="n">
        <v>0.0173124050021526</v>
      </c>
      <c r="AU37" s="33" t="n">
        <v>0.0186073340629104</v>
      </c>
      <c r="AV37" s="33" t="n">
        <v>0.0163571358369368</v>
      </c>
      <c r="AW37" s="33" t="n">
        <v>0.0108616462054605</v>
      </c>
      <c r="AX37" s="33" t="n">
        <v>0.015690303589411</v>
      </c>
      <c r="AY37" s="33" t="n">
        <v>0.0161869579371739</v>
      </c>
      <c r="AZ37" s="33" t="n">
        <v>0.0128598031745428</v>
      </c>
      <c r="BA37" s="33" t="n">
        <v>0.0205901346115216</v>
      </c>
      <c r="BB37" s="33" t="n">
        <v>0.0197250836692993</v>
      </c>
      <c r="BC37" s="33" t="n">
        <v>0.0249176899914969</v>
      </c>
      <c r="BD37" s="33" t="n">
        <v>0.0144241282195514</v>
      </c>
      <c r="BE37" s="33" t="n">
        <v>0.0130273429378651</v>
      </c>
      <c r="BF37" s="33" t="n">
        <v>0.0136131327083711</v>
      </c>
      <c r="BG37" s="33" t="n">
        <v>0.0174739327541673</v>
      </c>
      <c r="BH37" s="33" t="n">
        <v>0.0145612992611208</v>
      </c>
      <c r="BI37" s="33" t="n">
        <v>0.015468667174309</v>
      </c>
      <c r="BJ37" s="33" t="n">
        <v>0.0147236763857715</v>
      </c>
      <c r="BK37" s="33" t="n">
        <v>0.0176266748512807</v>
      </c>
      <c r="BL37" s="33" t="n">
        <v>0.0136240171460832</v>
      </c>
      <c r="BM37" s="33" t="n">
        <v>0.0133682673059373</v>
      </c>
      <c r="BN37" s="33" t="n">
        <v>0.0130486991095328</v>
      </c>
      <c r="BO37" s="33" t="n">
        <v>0.0137569367988819</v>
      </c>
      <c r="BP37" s="33" t="n">
        <v>0.0133587202213251</v>
      </c>
      <c r="BQ37" s="33" t="n">
        <v>0.0120528014132728</v>
      </c>
      <c r="BR37" s="33" t="n">
        <v>0.017069756179202</v>
      </c>
      <c r="BS37" s="33" t="n">
        <v>0.0202807364436964</v>
      </c>
      <c r="BT37" s="33" t="n">
        <v>0.0125656413257378</v>
      </c>
      <c r="BU37" s="33" t="n">
        <v>0.0125656413257378</v>
      </c>
    </row>
    <row r="38" customFormat="false" ht="11.25" hidden="false" customHeight="true" outlineLevel="0" collapsed="false">
      <c r="B38" s="24" t="s">
        <v>127</v>
      </c>
      <c r="C38" s="25" t="s">
        <v>128</v>
      </c>
      <c r="D38" s="24" t="n">
        <v>32</v>
      </c>
      <c r="E38" s="34" t="n">
        <v>0.00645505811587876</v>
      </c>
      <c r="F38" s="34" t="n">
        <v>0.00694721676665638</v>
      </c>
      <c r="G38" s="34" t="n">
        <v>0.00675766958473921</v>
      </c>
      <c r="H38" s="34" t="n">
        <v>0.0190219684596859</v>
      </c>
      <c r="I38" s="34" t="n">
        <v>0.0397815598144899</v>
      </c>
      <c r="J38" s="34" t="n">
        <v>0.0527605068495594</v>
      </c>
      <c r="K38" s="34" t="n">
        <v>0.0705223512883547</v>
      </c>
      <c r="L38" s="34" t="n">
        <v>0.0135666572506932</v>
      </c>
      <c r="M38" s="34" t="n">
        <v>0.00977674561733816</v>
      </c>
      <c r="N38" s="34" t="n">
        <v>0.0106004386245557</v>
      </c>
      <c r="O38" s="34" t="n">
        <v>0.0104887001862227</v>
      </c>
      <c r="P38" s="34" t="n">
        <v>0.00853640312678344</v>
      </c>
      <c r="Q38" s="34" t="n">
        <v>0.00903096594834371</v>
      </c>
      <c r="R38" s="34" t="n">
        <v>0.00874575102284744</v>
      </c>
      <c r="S38" s="34" t="n">
        <v>0.0112885045476005</v>
      </c>
      <c r="T38" s="34" t="n">
        <v>0.015456479601238</v>
      </c>
      <c r="U38" s="34" t="n">
        <v>0.0171522784271443</v>
      </c>
      <c r="V38" s="34" t="n">
        <v>0.0161797468096801</v>
      </c>
      <c r="W38" s="34" t="n">
        <v>0.0160496755374101</v>
      </c>
      <c r="X38" s="34" t="n">
        <v>0.00919335498028532</v>
      </c>
      <c r="Y38" s="34" t="n">
        <v>0.00912144463348339</v>
      </c>
      <c r="Z38" s="34" t="n">
        <v>0.0100643087914138</v>
      </c>
      <c r="AA38" s="34" t="n">
        <v>0.00840333931004622</v>
      </c>
      <c r="AB38" s="34" t="n">
        <v>0.0116342559079381</v>
      </c>
      <c r="AC38" s="34" t="n">
        <v>0.0114190471551043</v>
      </c>
      <c r="AD38" s="34" t="n">
        <v>0.015724111277035</v>
      </c>
      <c r="AE38" s="34" t="n">
        <v>0.032029517195958</v>
      </c>
      <c r="AF38" s="34" t="n">
        <v>0.022115787868172</v>
      </c>
      <c r="AG38" s="34" t="n">
        <v>0.0187332049509674</v>
      </c>
      <c r="AH38" s="34" t="n">
        <v>0.00764438214893189</v>
      </c>
      <c r="AI38" s="34" t="n">
        <v>0.0219318691109986</v>
      </c>
      <c r="AJ38" s="34" t="n">
        <v>1.15019851877343</v>
      </c>
      <c r="AK38" s="34" t="n">
        <v>0.0178702695333068</v>
      </c>
      <c r="AL38" s="34" t="n">
        <v>0.012971813470413</v>
      </c>
      <c r="AM38" s="34" t="n">
        <v>0.0183137853457656</v>
      </c>
      <c r="AN38" s="34" t="n">
        <v>0.0120780853232009</v>
      </c>
      <c r="AO38" s="34" t="n">
        <v>0.128448067524795</v>
      </c>
      <c r="AP38" s="34" t="n">
        <v>0.00899816006764544</v>
      </c>
      <c r="AQ38" s="34" t="n">
        <v>0.0107599706623248</v>
      </c>
      <c r="AR38" s="34" t="n">
        <v>0.0163326539099599</v>
      </c>
      <c r="AS38" s="34" t="n">
        <v>0.00984521140509612</v>
      </c>
      <c r="AT38" s="34" t="n">
        <v>0.00920431560104835</v>
      </c>
      <c r="AU38" s="34" t="n">
        <v>0.00997167360934364</v>
      </c>
      <c r="AV38" s="34" t="n">
        <v>0.0235094934388331</v>
      </c>
      <c r="AW38" s="34" t="n">
        <v>0.00982300252466747</v>
      </c>
      <c r="AX38" s="34" t="n">
        <v>0.0116465682154373</v>
      </c>
      <c r="AY38" s="34" t="n">
        <v>0.00719939919843513</v>
      </c>
      <c r="AZ38" s="34" t="n">
        <v>0.00711230796276513</v>
      </c>
      <c r="BA38" s="34" t="n">
        <v>0.0143368167687524</v>
      </c>
      <c r="BB38" s="34" t="n">
        <v>0.00977005755964682</v>
      </c>
      <c r="BC38" s="34" t="n">
        <v>0.0111081981196353</v>
      </c>
      <c r="BD38" s="34" t="n">
        <v>0.00797704925846736</v>
      </c>
      <c r="BE38" s="34" t="n">
        <v>0.00622452780694318</v>
      </c>
      <c r="BF38" s="34" t="n">
        <v>0.00593528464182226</v>
      </c>
      <c r="BG38" s="34" t="n">
        <v>0.00735958290225151</v>
      </c>
      <c r="BH38" s="34" t="n">
        <v>0.00732779568269861</v>
      </c>
      <c r="BI38" s="34" t="n">
        <v>0.00789751139355524</v>
      </c>
      <c r="BJ38" s="34" t="n">
        <v>0.00956487552765162</v>
      </c>
      <c r="BK38" s="34" t="n">
        <v>0.0123199760117606</v>
      </c>
      <c r="BL38" s="34" t="n">
        <v>0.00717916445089764</v>
      </c>
      <c r="BM38" s="34" t="n">
        <v>0.00669885647322835</v>
      </c>
      <c r="BN38" s="34" t="n">
        <v>0.00622260707530484</v>
      </c>
      <c r="BO38" s="34" t="n">
        <v>0.00642148761912026</v>
      </c>
      <c r="BP38" s="34" t="n">
        <v>0.00806365794207962</v>
      </c>
      <c r="BQ38" s="34" t="n">
        <v>0.00616553074837251</v>
      </c>
      <c r="BR38" s="34" t="n">
        <v>0.00861651566627652</v>
      </c>
      <c r="BS38" s="34" t="n">
        <v>0.00734844515247666</v>
      </c>
      <c r="BT38" s="34" t="n">
        <v>0.00572819606729354</v>
      </c>
      <c r="BU38" s="34" t="n">
        <v>0.00572819606729354</v>
      </c>
    </row>
    <row r="39" customFormat="false" ht="11.25" hidden="false" customHeight="true" outlineLevel="0" collapsed="false">
      <c r="B39" s="19" t="s">
        <v>129</v>
      </c>
      <c r="C39" s="20" t="s">
        <v>130</v>
      </c>
      <c r="D39" s="19" t="n">
        <v>33</v>
      </c>
      <c r="E39" s="33" t="n">
        <v>0.0203584442664831</v>
      </c>
      <c r="F39" s="33" t="n">
        <v>0.0210363607457143</v>
      </c>
      <c r="G39" s="33" t="n">
        <v>0.0233453736609251</v>
      </c>
      <c r="H39" s="33" t="n">
        <v>0.0215425000694858</v>
      </c>
      <c r="I39" s="33" t="n">
        <v>0.0199799407134095</v>
      </c>
      <c r="J39" s="33" t="n">
        <v>0.0230603500376225</v>
      </c>
      <c r="K39" s="33" t="n">
        <v>0.0217493505401348</v>
      </c>
      <c r="L39" s="33" t="n">
        <v>0.0337041011402841</v>
      </c>
      <c r="M39" s="33" t="n">
        <v>0.0249919766970891</v>
      </c>
      <c r="N39" s="33" t="n">
        <v>0.0271410268139513</v>
      </c>
      <c r="O39" s="33" t="n">
        <v>0.021326541226456</v>
      </c>
      <c r="P39" s="33" t="n">
        <v>0.0242905626467374</v>
      </c>
      <c r="Q39" s="33" t="n">
        <v>0.0228393312101053</v>
      </c>
      <c r="R39" s="33" t="n">
        <v>0.024162811619695</v>
      </c>
      <c r="S39" s="33" t="n">
        <v>0.0294903748843904</v>
      </c>
      <c r="T39" s="33" t="n">
        <v>0.0265660619859687</v>
      </c>
      <c r="U39" s="33" t="n">
        <v>0.0309629901157956</v>
      </c>
      <c r="V39" s="33" t="n">
        <v>0.0215176585395402</v>
      </c>
      <c r="W39" s="33" t="n">
        <v>0.0166831058713853</v>
      </c>
      <c r="X39" s="33" t="n">
        <v>0.0246126053921201</v>
      </c>
      <c r="Y39" s="33" t="n">
        <v>0.0174096674075618</v>
      </c>
      <c r="Z39" s="33" t="n">
        <v>0.0228245768153884</v>
      </c>
      <c r="AA39" s="33" t="n">
        <v>0.0189397921583799</v>
      </c>
      <c r="AB39" s="33" t="n">
        <v>0.0307070958606871</v>
      </c>
      <c r="AC39" s="33" t="n">
        <v>0.0241358534506706</v>
      </c>
      <c r="AD39" s="33" t="n">
        <v>0.0266489667471401</v>
      </c>
      <c r="AE39" s="33" t="n">
        <v>0.0248537067319524</v>
      </c>
      <c r="AF39" s="33" t="n">
        <v>0.0215614448136196</v>
      </c>
      <c r="AG39" s="33" t="n">
        <v>0.0269868203036545</v>
      </c>
      <c r="AH39" s="33" t="n">
        <v>0.0147556499895277</v>
      </c>
      <c r="AI39" s="33" t="n">
        <v>0.0259494109403473</v>
      </c>
      <c r="AJ39" s="33" t="n">
        <v>0.0306405253157712</v>
      </c>
      <c r="AK39" s="33" t="n">
        <v>1.0540354546545</v>
      </c>
      <c r="AL39" s="33" t="n">
        <v>0.0205720015933252</v>
      </c>
      <c r="AM39" s="33" t="n">
        <v>0.0162370127835222</v>
      </c>
      <c r="AN39" s="33" t="n">
        <v>0.0252080560186182</v>
      </c>
      <c r="AO39" s="33" t="n">
        <v>0.019575714420561</v>
      </c>
      <c r="AP39" s="33" t="n">
        <v>0.0210857185013504</v>
      </c>
      <c r="AQ39" s="33" t="n">
        <v>0.0227153322300426</v>
      </c>
      <c r="AR39" s="33" t="n">
        <v>0.0213723153952209</v>
      </c>
      <c r="AS39" s="33" t="n">
        <v>0.0250536045039524</v>
      </c>
      <c r="AT39" s="33" t="n">
        <v>0.0264497324083249</v>
      </c>
      <c r="AU39" s="33" t="n">
        <v>0.0246133183713433</v>
      </c>
      <c r="AV39" s="33" t="n">
        <v>0.0207586649890081</v>
      </c>
      <c r="AW39" s="33" t="n">
        <v>0.0163486811244586</v>
      </c>
      <c r="AX39" s="33" t="n">
        <v>0.0232995393539216</v>
      </c>
      <c r="AY39" s="33" t="n">
        <v>0.0220059866333753</v>
      </c>
      <c r="AZ39" s="33" t="n">
        <v>0.021074881636665</v>
      </c>
      <c r="BA39" s="33" t="n">
        <v>0.0310217730014934</v>
      </c>
      <c r="BB39" s="33" t="n">
        <v>0.0283232626591726</v>
      </c>
      <c r="BC39" s="33" t="n">
        <v>0.0306885734644476</v>
      </c>
      <c r="BD39" s="33" t="n">
        <v>0.0237328121975846</v>
      </c>
      <c r="BE39" s="33" t="n">
        <v>0.0235763110755014</v>
      </c>
      <c r="BF39" s="33" t="n">
        <v>0.0247211858498921</v>
      </c>
      <c r="BG39" s="33" t="n">
        <v>0.0246702758048321</v>
      </c>
      <c r="BH39" s="33" t="n">
        <v>0.0230020104888461</v>
      </c>
      <c r="BI39" s="33" t="n">
        <v>0.0241785693386367</v>
      </c>
      <c r="BJ39" s="33" t="n">
        <v>0.0234923545483097</v>
      </c>
      <c r="BK39" s="33" t="n">
        <v>0.0238006193258159</v>
      </c>
      <c r="BL39" s="33" t="n">
        <v>0.0246227710442557</v>
      </c>
      <c r="BM39" s="33" t="n">
        <v>0.0238038337457679</v>
      </c>
      <c r="BN39" s="33" t="n">
        <v>0.0241829381030307</v>
      </c>
      <c r="BO39" s="33" t="n">
        <v>0.0235641807074166</v>
      </c>
      <c r="BP39" s="33" t="n">
        <v>0.0223621121910029</v>
      </c>
      <c r="BQ39" s="33" t="n">
        <v>0.0213466250017049</v>
      </c>
      <c r="BR39" s="33" t="n">
        <v>0.0230829374347293</v>
      </c>
      <c r="BS39" s="33" t="n">
        <v>0.0215391228551003</v>
      </c>
      <c r="BT39" s="33" t="n">
        <v>0.0251167158125277</v>
      </c>
      <c r="BU39" s="33" t="n">
        <v>0.0251167158125277</v>
      </c>
    </row>
    <row r="40" customFormat="false" ht="11.25" hidden="false" customHeight="true" outlineLevel="0" collapsed="false">
      <c r="B40" s="24" t="s">
        <v>131</v>
      </c>
      <c r="C40" s="25" t="s">
        <v>132</v>
      </c>
      <c r="D40" s="24" t="n">
        <v>34</v>
      </c>
      <c r="E40" s="34" t="n">
        <v>0.0157790967581691</v>
      </c>
      <c r="F40" s="34" t="n">
        <v>0.0160079918778479</v>
      </c>
      <c r="G40" s="34" t="n">
        <v>0.0173417571444214</v>
      </c>
      <c r="H40" s="34" t="n">
        <v>0.0197505181451203</v>
      </c>
      <c r="I40" s="34" t="n">
        <v>0.0182405324746367</v>
      </c>
      <c r="J40" s="34" t="n">
        <v>0.0228925410302257</v>
      </c>
      <c r="K40" s="34" t="n">
        <v>0.0230116765731085</v>
      </c>
      <c r="L40" s="34" t="n">
        <v>0.0303534473457776</v>
      </c>
      <c r="M40" s="34" t="n">
        <v>0.0215137815706848</v>
      </c>
      <c r="N40" s="34" t="n">
        <v>0.0249442077657403</v>
      </c>
      <c r="O40" s="34" t="n">
        <v>0.0206012551306172</v>
      </c>
      <c r="P40" s="34" t="n">
        <v>0.0196053338956632</v>
      </c>
      <c r="Q40" s="34" t="n">
        <v>0.0194740408891329</v>
      </c>
      <c r="R40" s="34" t="n">
        <v>0.0193984230261377</v>
      </c>
      <c r="S40" s="34" t="n">
        <v>0.0249676022430699</v>
      </c>
      <c r="T40" s="34" t="n">
        <v>0.023577928280668</v>
      </c>
      <c r="U40" s="34" t="n">
        <v>0.0278071207366058</v>
      </c>
      <c r="V40" s="34" t="n">
        <v>0.0175777260974114</v>
      </c>
      <c r="W40" s="34" t="n">
        <v>0.0143312420313509</v>
      </c>
      <c r="X40" s="34" t="n">
        <v>0.020121172294595</v>
      </c>
      <c r="Y40" s="34" t="n">
        <v>0.0164746452178839</v>
      </c>
      <c r="Z40" s="34" t="n">
        <v>0.0202977542266059</v>
      </c>
      <c r="AA40" s="34" t="n">
        <v>0.0176034146811644</v>
      </c>
      <c r="AB40" s="34" t="n">
        <v>0.0266649752265369</v>
      </c>
      <c r="AC40" s="34" t="n">
        <v>0.0223468369080275</v>
      </c>
      <c r="AD40" s="34" t="n">
        <v>0.0247669676911</v>
      </c>
      <c r="AE40" s="34" t="n">
        <v>0.0243971984171518</v>
      </c>
      <c r="AF40" s="34" t="n">
        <v>0.0188047529363774</v>
      </c>
      <c r="AG40" s="34" t="n">
        <v>0.0254580732451866</v>
      </c>
      <c r="AH40" s="34" t="n">
        <v>0.0149472148218991</v>
      </c>
      <c r="AI40" s="34" t="n">
        <v>0.0237820577687409</v>
      </c>
      <c r="AJ40" s="34" t="n">
        <v>0.0350885372524639</v>
      </c>
      <c r="AK40" s="34" t="n">
        <v>0.303037392558286</v>
      </c>
      <c r="AL40" s="34" t="n">
        <v>1.15297643626941</v>
      </c>
      <c r="AM40" s="34" t="n">
        <v>0.0168773368140283</v>
      </c>
      <c r="AN40" s="34" t="n">
        <v>0.0213454446017133</v>
      </c>
      <c r="AO40" s="34" t="n">
        <v>0.0197084175029729</v>
      </c>
      <c r="AP40" s="34" t="n">
        <v>0.0162599987649037</v>
      </c>
      <c r="AQ40" s="34" t="n">
        <v>0.0190963919105076</v>
      </c>
      <c r="AR40" s="34" t="n">
        <v>0.0176673299611813</v>
      </c>
      <c r="AS40" s="34" t="n">
        <v>0.139442222571626</v>
      </c>
      <c r="AT40" s="34" t="n">
        <v>0.0229707106645841</v>
      </c>
      <c r="AU40" s="34" t="n">
        <v>0.0676318925993286</v>
      </c>
      <c r="AV40" s="34" t="n">
        <v>0.0168192271616216</v>
      </c>
      <c r="AW40" s="34" t="n">
        <v>0.0134202376953092</v>
      </c>
      <c r="AX40" s="34" t="n">
        <v>0.0205495581535815</v>
      </c>
      <c r="AY40" s="34" t="n">
        <v>0.0161268391745555</v>
      </c>
      <c r="AZ40" s="34" t="n">
        <v>0.0165575977388756</v>
      </c>
      <c r="BA40" s="34" t="n">
        <v>0.0252354162315539</v>
      </c>
      <c r="BB40" s="34" t="n">
        <v>0.0220553396963634</v>
      </c>
      <c r="BC40" s="34" t="n">
        <v>0.0230837379016203</v>
      </c>
      <c r="BD40" s="34" t="n">
        <v>0.0167323143745166</v>
      </c>
      <c r="BE40" s="34" t="n">
        <v>0.0160198189844407</v>
      </c>
      <c r="BF40" s="34" t="n">
        <v>0.0162806530716216</v>
      </c>
      <c r="BG40" s="34" t="n">
        <v>0.017271243061951</v>
      </c>
      <c r="BH40" s="34" t="n">
        <v>0.0179540297931196</v>
      </c>
      <c r="BI40" s="34" t="n">
        <v>0.0177883328430632</v>
      </c>
      <c r="BJ40" s="34" t="n">
        <v>0.0253474936600764</v>
      </c>
      <c r="BK40" s="34" t="n">
        <v>0.0169159972262852</v>
      </c>
      <c r="BL40" s="34" t="n">
        <v>0.0179629581227984</v>
      </c>
      <c r="BM40" s="34" t="n">
        <v>0.0178908840257517</v>
      </c>
      <c r="BN40" s="34" t="n">
        <v>0.0173409952394457</v>
      </c>
      <c r="BO40" s="34" t="n">
        <v>0.0168335259449987</v>
      </c>
      <c r="BP40" s="34" t="n">
        <v>0.018570876253094</v>
      </c>
      <c r="BQ40" s="34" t="n">
        <v>0.0153320015287473</v>
      </c>
      <c r="BR40" s="34" t="n">
        <v>0.0171324496974723</v>
      </c>
      <c r="BS40" s="34" t="n">
        <v>0.0162449811654132</v>
      </c>
      <c r="BT40" s="34" t="n">
        <v>0.0163399628342807</v>
      </c>
      <c r="BU40" s="34" t="n">
        <v>0.0163399628342807</v>
      </c>
    </row>
    <row r="41" customFormat="false" ht="11.25" hidden="false" customHeight="true" outlineLevel="0" collapsed="false">
      <c r="B41" s="19" t="s">
        <v>133</v>
      </c>
      <c r="C41" s="20" t="s">
        <v>134</v>
      </c>
      <c r="D41" s="19" t="n">
        <v>35</v>
      </c>
      <c r="E41" s="33" t="n">
        <v>0.00228902032191995</v>
      </c>
      <c r="F41" s="33" t="n">
        <v>0.00237017774565511</v>
      </c>
      <c r="G41" s="33" t="n">
        <v>0.00258292810296328</v>
      </c>
      <c r="H41" s="33" t="n">
        <v>0.00317946862263489</v>
      </c>
      <c r="I41" s="33" t="n">
        <v>0.002852315130951</v>
      </c>
      <c r="J41" s="33" t="n">
        <v>0.00305280619452364</v>
      </c>
      <c r="K41" s="33" t="n">
        <v>0.0034861108536728</v>
      </c>
      <c r="L41" s="33" t="n">
        <v>0.00414924573430381</v>
      </c>
      <c r="M41" s="33" t="n">
        <v>0.00298588502223364</v>
      </c>
      <c r="N41" s="33" t="n">
        <v>0.00330644856330609</v>
      </c>
      <c r="O41" s="33" t="n">
        <v>0.00281535873294704</v>
      </c>
      <c r="P41" s="33" t="n">
        <v>0.00287469964303062</v>
      </c>
      <c r="Q41" s="33" t="n">
        <v>0.00276567434804919</v>
      </c>
      <c r="R41" s="33" t="n">
        <v>0.00299363998384537</v>
      </c>
      <c r="S41" s="33" t="n">
        <v>0.00359177171817029</v>
      </c>
      <c r="T41" s="33" t="n">
        <v>0.00357517367292733</v>
      </c>
      <c r="U41" s="33" t="n">
        <v>0.00433751633459092</v>
      </c>
      <c r="V41" s="33" t="n">
        <v>0.0035236322927306</v>
      </c>
      <c r="W41" s="33" t="n">
        <v>0.00213124858844143</v>
      </c>
      <c r="X41" s="33" t="n">
        <v>0.00294954158018259</v>
      </c>
      <c r="Y41" s="33" t="n">
        <v>0.0023025259264177</v>
      </c>
      <c r="Z41" s="33" t="n">
        <v>0.00287020760849817</v>
      </c>
      <c r="AA41" s="33" t="n">
        <v>0.00242494702143935</v>
      </c>
      <c r="AB41" s="33" t="n">
        <v>0.00380873270808002</v>
      </c>
      <c r="AC41" s="33" t="n">
        <v>0.00305722180106543</v>
      </c>
      <c r="AD41" s="33" t="n">
        <v>0.00374097319071836</v>
      </c>
      <c r="AE41" s="33" t="n">
        <v>0.00431657192244404</v>
      </c>
      <c r="AF41" s="33" t="n">
        <v>0.00328719239922682</v>
      </c>
      <c r="AG41" s="33" t="n">
        <v>0.00395470893587563</v>
      </c>
      <c r="AH41" s="33" t="n">
        <v>0.00177229367679414</v>
      </c>
      <c r="AI41" s="33" t="n">
        <v>0.00342242086915213</v>
      </c>
      <c r="AJ41" s="33" t="n">
        <v>0.00445487127944637</v>
      </c>
      <c r="AK41" s="33" t="n">
        <v>0.00228275422025468</v>
      </c>
      <c r="AL41" s="33" t="n">
        <v>0.00259576209873341</v>
      </c>
      <c r="AM41" s="33" t="n">
        <v>1.14553498499973</v>
      </c>
      <c r="AN41" s="33" t="n">
        <v>0.00327713970229295</v>
      </c>
      <c r="AO41" s="33" t="n">
        <v>0.0167888335219291</v>
      </c>
      <c r="AP41" s="33" t="n">
        <v>0.00244306514670299</v>
      </c>
      <c r="AQ41" s="33" t="n">
        <v>0.00277296745438787</v>
      </c>
      <c r="AR41" s="33" t="n">
        <v>0.00270119752366398</v>
      </c>
      <c r="AS41" s="33" t="n">
        <v>0.00298849947214266</v>
      </c>
      <c r="AT41" s="33" t="n">
        <v>0.00308568758864559</v>
      </c>
      <c r="AU41" s="33" t="n">
        <v>0.00384429907392038</v>
      </c>
      <c r="AV41" s="33" t="n">
        <v>0.00355965477138593</v>
      </c>
      <c r="AW41" s="33" t="n">
        <v>0.00222594653521014</v>
      </c>
      <c r="AX41" s="33" t="n">
        <v>0.00302553999450308</v>
      </c>
      <c r="AY41" s="33" t="n">
        <v>0.00246550711453149</v>
      </c>
      <c r="AZ41" s="33" t="n">
        <v>0.00243577994004802</v>
      </c>
      <c r="BA41" s="33" t="n">
        <v>0.00407740752587106</v>
      </c>
      <c r="BB41" s="33" t="n">
        <v>0.00329671484997794</v>
      </c>
      <c r="BC41" s="33" t="n">
        <v>0.00353294293457527</v>
      </c>
      <c r="BD41" s="33" t="n">
        <v>0.00274996749162119</v>
      </c>
      <c r="BE41" s="33" t="n">
        <v>0.00254056949343499</v>
      </c>
      <c r="BF41" s="33" t="n">
        <v>0.002612639135044</v>
      </c>
      <c r="BG41" s="33" t="n">
        <v>0.00275594125727162</v>
      </c>
      <c r="BH41" s="33" t="n">
        <v>0.0028082191418527</v>
      </c>
      <c r="BI41" s="33" t="n">
        <v>0.00278426580050801</v>
      </c>
      <c r="BJ41" s="33" t="n">
        <v>0.00292795721975216</v>
      </c>
      <c r="BK41" s="33" t="n">
        <v>0.00269396812323313</v>
      </c>
      <c r="BL41" s="33" t="n">
        <v>0.00273402679310551</v>
      </c>
      <c r="BM41" s="33" t="n">
        <v>0.00273585125796325</v>
      </c>
      <c r="BN41" s="33" t="n">
        <v>0.00258922577878202</v>
      </c>
      <c r="BO41" s="33" t="n">
        <v>0.00256941751487562</v>
      </c>
      <c r="BP41" s="33" t="n">
        <v>0.00258001304145768</v>
      </c>
      <c r="BQ41" s="33" t="n">
        <v>0.00248237120402277</v>
      </c>
      <c r="BR41" s="33" t="n">
        <v>0.00279490201201524</v>
      </c>
      <c r="BS41" s="33" t="n">
        <v>0.00281418475740332</v>
      </c>
      <c r="BT41" s="33" t="n">
        <v>0.00263075261995459</v>
      </c>
      <c r="BU41" s="33" t="n">
        <v>0.00263075261995459</v>
      </c>
    </row>
    <row r="42" customFormat="false" ht="11.25" hidden="false" customHeight="true" outlineLevel="0" collapsed="false">
      <c r="B42" s="24" t="s">
        <v>135</v>
      </c>
      <c r="C42" s="25" t="s">
        <v>136</v>
      </c>
      <c r="D42" s="24" t="n">
        <v>36</v>
      </c>
      <c r="E42" s="34" t="n">
        <v>0.0164075790206678</v>
      </c>
      <c r="F42" s="34" t="n">
        <v>0.0170184808838884</v>
      </c>
      <c r="G42" s="34" t="n">
        <v>0.0187105164813511</v>
      </c>
      <c r="H42" s="34" t="n">
        <v>0.0178366283368607</v>
      </c>
      <c r="I42" s="34" t="n">
        <v>0.016657672720355</v>
      </c>
      <c r="J42" s="34" t="n">
        <v>0.0186386942878719</v>
      </c>
      <c r="K42" s="34" t="n">
        <v>0.0179364775539555</v>
      </c>
      <c r="L42" s="34" t="n">
        <v>0.0277748174676039</v>
      </c>
      <c r="M42" s="34" t="n">
        <v>0.0195026969276252</v>
      </c>
      <c r="N42" s="34" t="n">
        <v>0.022456731571699</v>
      </c>
      <c r="O42" s="34" t="n">
        <v>0.0183777504342693</v>
      </c>
      <c r="P42" s="34" t="n">
        <v>0.0198225616800271</v>
      </c>
      <c r="Q42" s="34" t="n">
        <v>0.0202985042439559</v>
      </c>
      <c r="R42" s="34" t="n">
        <v>0.0352157115552133</v>
      </c>
      <c r="S42" s="34" t="n">
        <v>0.0287515758224158</v>
      </c>
      <c r="T42" s="34" t="n">
        <v>0.0226122860844122</v>
      </c>
      <c r="U42" s="34" t="n">
        <v>0.0256926881526692</v>
      </c>
      <c r="V42" s="34" t="n">
        <v>0.0180811542044274</v>
      </c>
      <c r="W42" s="34" t="n">
        <v>0.0136065744012218</v>
      </c>
      <c r="X42" s="34" t="n">
        <v>0.019914495300061</v>
      </c>
      <c r="Y42" s="34" t="n">
        <v>0.0148765656621347</v>
      </c>
      <c r="Z42" s="34" t="n">
        <v>0.0193701477587498</v>
      </c>
      <c r="AA42" s="34" t="n">
        <v>0.0161731416315948</v>
      </c>
      <c r="AB42" s="34" t="n">
        <v>0.0255974030453813</v>
      </c>
      <c r="AC42" s="34" t="n">
        <v>0.0214406962928961</v>
      </c>
      <c r="AD42" s="34" t="n">
        <v>0.0231225963244959</v>
      </c>
      <c r="AE42" s="34" t="n">
        <v>0.0205044278115715</v>
      </c>
      <c r="AF42" s="34" t="n">
        <v>0.017743351413155</v>
      </c>
      <c r="AG42" s="34" t="n">
        <v>0.0227970133051338</v>
      </c>
      <c r="AH42" s="34" t="n">
        <v>0.0125380389361426</v>
      </c>
      <c r="AI42" s="34" t="n">
        <v>0.020525202905717</v>
      </c>
      <c r="AJ42" s="34" t="n">
        <v>0.0270212566185008</v>
      </c>
      <c r="AK42" s="34" t="n">
        <v>0.0157945323341507</v>
      </c>
      <c r="AL42" s="34" t="n">
        <v>0.0193353726870892</v>
      </c>
      <c r="AM42" s="34" t="n">
        <v>0.0134181130206159</v>
      </c>
      <c r="AN42" s="34" t="n">
        <v>1.04764848156206</v>
      </c>
      <c r="AO42" s="34" t="n">
        <v>0.0168863615211002</v>
      </c>
      <c r="AP42" s="34" t="n">
        <v>0.0167257025717962</v>
      </c>
      <c r="AQ42" s="34" t="n">
        <v>0.0185736651930042</v>
      </c>
      <c r="AR42" s="34" t="n">
        <v>0.0188238469206677</v>
      </c>
      <c r="AS42" s="34" t="n">
        <v>0.0179156220315185</v>
      </c>
      <c r="AT42" s="34" t="n">
        <v>0.0214937129643921</v>
      </c>
      <c r="AU42" s="34" t="n">
        <v>0.0176660453585308</v>
      </c>
      <c r="AV42" s="34" t="n">
        <v>0.0199076551356089</v>
      </c>
      <c r="AW42" s="34" t="n">
        <v>0.0136193253414923</v>
      </c>
      <c r="AX42" s="34" t="n">
        <v>0.0195698653510342</v>
      </c>
      <c r="AY42" s="34" t="n">
        <v>0.0180642726147307</v>
      </c>
      <c r="AZ42" s="34" t="n">
        <v>0.0171804446469225</v>
      </c>
      <c r="BA42" s="34" t="n">
        <v>0.025454850331703</v>
      </c>
      <c r="BB42" s="34" t="n">
        <v>0.0240408667787636</v>
      </c>
      <c r="BC42" s="34" t="n">
        <v>0.0249636075455571</v>
      </c>
      <c r="BD42" s="34" t="n">
        <v>0.0193881668975004</v>
      </c>
      <c r="BE42" s="34" t="n">
        <v>0.0190003451096228</v>
      </c>
      <c r="BF42" s="34" t="n">
        <v>0.0197051087547772</v>
      </c>
      <c r="BG42" s="34" t="n">
        <v>0.0204944277711371</v>
      </c>
      <c r="BH42" s="34" t="n">
        <v>0.0218933460663205</v>
      </c>
      <c r="BI42" s="34" t="n">
        <v>0.0217739141647775</v>
      </c>
      <c r="BJ42" s="34" t="n">
        <v>0.0245853560149373</v>
      </c>
      <c r="BK42" s="34" t="n">
        <v>0.0194708984023335</v>
      </c>
      <c r="BL42" s="34" t="n">
        <v>0.01990464622386</v>
      </c>
      <c r="BM42" s="34" t="n">
        <v>0.0197159457634383</v>
      </c>
      <c r="BN42" s="34" t="n">
        <v>0.0210314212017373</v>
      </c>
      <c r="BO42" s="34" t="n">
        <v>0.0190318670351101</v>
      </c>
      <c r="BP42" s="34" t="n">
        <v>0.030266511122008</v>
      </c>
      <c r="BQ42" s="34" t="n">
        <v>0.0517253603079896</v>
      </c>
      <c r="BR42" s="34" t="n">
        <v>0.0212122418111824</v>
      </c>
      <c r="BS42" s="34" t="n">
        <v>0.0178862749791384</v>
      </c>
      <c r="BT42" s="34" t="n">
        <v>0.0198067027245525</v>
      </c>
      <c r="BU42" s="34" t="n">
        <v>0.0198067027245525</v>
      </c>
    </row>
    <row r="43" customFormat="false" ht="11.25" hidden="false" customHeight="true" outlineLevel="0" collapsed="false">
      <c r="B43" s="19" t="s">
        <v>137</v>
      </c>
      <c r="C43" s="20" t="s">
        <v>138</v>
      </c>
      <c r="D43" s="19" t="n">
        <v>37</v>
      </c>
      <c r="E43" s="33" t="n">
        <v>0.0131060293868755</v>
      </c>
      <c r="F43" s="33" t="n">
        <v>0.0134488018466499</v>
      </c>
      <c r="G43" s="33" t="n">
        <v>0.0142185016241209</v>
      </c>
      <c r="H43" s="33" t="n">
        <v>0.0543388389021712</v>
      </c>
      <c r="I43" s="33" t="n">
        <v>0.0363907755092736</v>
      </c>
      <c r="J43" s="33" t="n">
        <v>0.0294937156561269</v>
      </c>
      <c r="K43" s="33" t="n">
        <v>0.056885804713065</v>
      </c>
      <c r="L43" s="33" t="n">
        <v>0.0297675369679846</v>
      </c>
      <c r="M43" s="33" t="n">
        <v>0.0277406964113722</v>
      </c>
      <c r="N43" s="33" t="n">
        <v>0.0227197468962666</v>
      </c>
      <c r="O43" s="33" t="n">
        <v>0.0239224546597591</v>
      </c>
      <c r="P43" s="33" t="n">
        <v>0.0185387547281967</v>
      </c>
      <c r="Q43" s="33" t="n">
        <v>0.0205931337831831</v>
      </c>
      <c r="R43" s="33" t="n">
        <v>0.0205041316970527</v>
      </c>
      <c r="S43" s="33" t="n">
        <v>0.0251940784255603</v>
      </c>
      <c r="T43" s="33" t="n">
        <v>0.0430910905201259</v>
      </c>
      <c r="U43" s="33" t="n">
        <v>0.0606141060198954</v>
      </c>
      <c r="V43" s="33" t="n">
        <v>0.0782072974436396</v>
      </c>
      <c r="W43" s="33" t="n">
        <v>0.0210505806071184</v>
      </c>
      <c r="X43" s="33" t="n">
        <v>0.0237681707460683</v>
      </c>
      <c r="Y43" s="33" t="n">
        <v>0.0247192992620641</v>
      </c>
      <c r="Z43" s="33" t="n">
        <v>0.0255092188963825</v>
      </c>
      <c r="AA43" s="33" t="n">
        <v>0.0201355538122152</v>
      </c>
      <c r="AB43" s="33" t="n">
        <v>0.0294678156041842</v>
      </c>
      <c r="AC43" s="33" t="n">
        <v>0.0254699531807016</v>
      </c>
      <c r="AD43" s="33" t="n">
        <v>0.0535625383415936</v>
      </c>
      <c r="AE43" s="33" t="n">
        <v>0.0918857701859706</v>
      </c>
      <c r="AF43" s="33" t="n">
        <v>0.0578628656193611</v>
      </c>
      <c r="AG43" s="33" t="n">
        <v>0.0438554234450595</v>
      </c>
      <c r="AH43" s="33" t="n">
        <v>0.0119676319211665</v>
      </c>
      <c r="AI43" s="33" t="n">
        <v>0.0330059350441187</v>
      </c>
      <c r="AJ43" s="33" t="n">
        <v>0.0401761911338335</v>
      </c>
      <c r="AK43" s="33" t="n">
        <v>0.0211160288305333</v>
      </c>
      <c r="AL43" s="33" t="n">
        <v>0.0292588433578749</v>
      </c>
      <c r="AM43" s="33" t="n">
        <v>0.0225126198788698</v>
      </c>
      <c r="AN43" s="33" t="n">
        <v>0.0316514166938105</v>
      </c>
      <c r="AO43" s="33" t="n">
        <v>1.02742902761574</v>
      </c>
      <c r="AP43" s="33" t="n">
        <v>0.0179750643786328</v>
      </c>
      <c r="AQ43" s="33" t="n">
        <v>0.0288855148439919</v>
      </c>
      <c r="AR43" s="33" t="n">
        <v>0.0235510338842058</v>
      </c>
      <c r="AS43" s="33" t="n">
        <v>0.0183916981650351</v>
      </c>
      <c r="AT43" s="33" t="n">
        <v>0.0204228487069247</v>
      </c>
      <c r="AU43" s="33" t="n">
        <v>0.0187571590651843</v>
      </c>
      <c r="AV43" s="33" t="n">
        <v>0.0855720070968036</v>
      </c>
      <c r="AW43" s="33" t="n">
        <v>0.0333720795942609</v>
      </c>
      <c r="AX43" s="33" t="n">
        <v>0.037164330278933</v>
      </c>
      <c r="AY43" s="33" t="n">
        <v>0.0136092512006623</v>
      </c>
      <c r="AZ43" s="33" t="n">
        <v>0.0148758131545744</v>
      </c>
      <c r="BA43" s="33" t="n">
        <v>0.0504604554972461</v>
      </c>
      <c r="BB43" s="33" t="n">
        <v>0.0228635746017005</v>
      </c>
      <c r="BC43" s="33" t="n">
        <v>0.0219450236486219</v>
      </c>
      <c r="BD43" s="33" t="n">
        <v>0.0214414530496166</v>
      </c>
      <c r="BE43" s="33" t="n">
        <v>0.0121177129707758</v>
      </c>
      <c r="BF43" s="33" t="n">
        <v>0.0107387669982725</v>
      </c>
      <c r="BG43" s="33" t="n">
        <v>0.0171483364654464</v>
      </c>
      <c r="BH43" s="33" t="n">
        <v>0.0151702558201706</v>
      </c>
      <c r="BI43" s="33" t="n">
        <v>0.0194364772732835</v>
      </c>
      <c r="BJ43" s="33" t="n">
        <v>0.033768303450147</v>
      </c>
      <c r="BK43" s="33" t="n">
        <v>0.0176068139238196</v>
      </c>
      <c r="BL43" s="33" t="n">
        <v>0.0173681549346365</v>
      </c>
      <c r="BM43" s="33" t="n">
        <v>0.0130379348320175</v>
      </c>
      <c r="BN43" s="33" t="n">
        <v>0.011474554756383</v>
      </c>
      <c r="BO43" s="33" t="n">
        <v>0.0123009425326889</v>
      </c>
      <c r="BP43" s="33" t="n">
        <v>0.0175313133665225</v>
      </c>
      <c r="BQ43" s="33" t="n">
        <v>0.0132313602928791</v>
      </c>
      <c r="BR43" s="33" t="n">
        <v>0.0268668540098759</v>
      </c>
      <c r="BS43" s="33" t="n">
        <v>0.0170131589554745</v>
      </c>
      <c r="BT43" s="33" t="n">
        <v>0.00998032293516514</v>
      </c>
      <c r="BU43" s="33" t="n">
        <v>0.00998032293516514</v>
      </c>
    </row>
    <row r="44" customFormat="false" ht="11.25" hidden="false" customHeight="true" outlineLevel="0" collapsed="false">
      <c r="B44" s="24" t="s">
        <v>139</v>
      </c>
      <c r="C44" s="25" t="s">
        <v>140</v>
      </c>
      <c r="D44" s="24" t="n">
        <v>38</v>
      </c>
      <c r="E44" s="34" t="n">
        <v>0.103993283518618</v>
      </c>
      <c r="F44" s="34" t="n">
        <v>0.122494284597468</v>
      </c>
      <c r="G44" s="34" t="n">
        <v>0.0981245943277638</v>
      </c>
      <c r="H44" s="34" t="n">
        <v>0.124114209359037</v>
      </c>
      <c r="I44" s="34" t="n">
        <v>0.0787162248530225</v>
      </c>
      <c r="J44" s="34" t="n">
        <v>0.0946463977708607</v>
      </c>
      <c r="K44" s="34" t="n">
        <v>0.112455763214224</v>
      </c>
      <c r="L44" s="34" t="n">
        <v>0.167652616830385</v>
      </c>
      <c r="M44" s="34" t="n">
        <v>0.108108122252229</v>
      </c>
      <c r="N44" s="34" t="n">
        <v>0.135695048992102</v>
      </c>
      <c r="O44" s="34" t="n">
        <v>0.100598065585006</v>
      </c>
      <c r="P44" s="34" t="n">
        <v>0.113135214188759</v>
      </c>
      <c r="Q44" s="34" t="n">
        <v>0.141199657585736</v>
      </c>
      <c r="R44" s="34" t="n">
        <v>0.112098701627733</v>
      </c>
      <c r="S44" s="34" t="n">
        <v>0.136064313978369</v>
      </c>
      <c r="T44" s="34" t="n">
        <v>0.149130802496864</v>
      </c>
      <c r="U44" s="34" t="n">
        <v>0.163232936736395</v>
      </c>
      <c r="V44" s="34" t="n">
        <v>0.091773511116902</v>
      </c>
      <c r="W44" s="34" t="n">
        <v>0.0658119046388656</v>
      </c>
      <c r="X44" s="34" t="n">
        <v>0.113272441575696</v>
      </c>
      <c r="Y44" s="34" t="n">
        <v>0.111429762535793</v>
      </c>
      <c r="Z44" s="34" t="n">
        <v>0.110428245307907</v>
      </c>
      <c r="AA44" s="34" t="n">
        <v>0.0880673198043277</v>
      </c>
      <c r="AB44" s="34" t="n">
        <v>0.130609100431674</v>
      </c>
      <c r="AC44" s="34" t="n">
        <v>0.133377767162236</v>
      </c>
      <c r="AD44" s="34" t="n">
        <v>0.164185620143182</v>
      </c>
      <c r="AE44" s="34" t="n">
        <v>0.136220041535145</v>
      </c>
      <c r="AF44" s="34" t="n">
        <v>0.149441692549189</v>
      </c>
      <c r="AG44" s="34" t="n">
        <v>0.136413285316546</v>
      </c>
      <c r="AH44" s="34" t="n">
        <v>0.0622338054951533</v>
      </c>
      <c r="AI44" s="34" t="n">
        <v>0.12002043909313</v>
      </c>
      <c r="AJ44" s="34" t="n">
        <v>0.132482010851609</v>
      </c>
      <c r="AK44" s="34" t="n">
        <v>0.0748527964831268</v>
      </c>
      <c r="AL44" s="34" t="n">
        <v>0.0928919322062565</v>
      </c>
      <c r="AM44" s="34" t="n">
        <v>0.0690796201021407</v>
      </c>
      <c r="AN44" s="34" t="n">
        <v>0.11375413903928</v>
      </c>
      <c r="AO44" s="34" t="n">
        <v>0.0758291136163099</v>
      </c>
      <c r="AP44" s="34" t="n">
        <v>1.52214923100941</v>
      </c>
      <c r="AQ44" s="34" t="n">
        <v>0.149473495363874</v>
      </c>
      <c r="AR44" s="34" t="n">
        <v>0.0881485227782183</v>
      </c>
      <c r="AS44" s="34" t="n">
        <v>0.0932902658238549</v>
      </c>
      <c r="AT44" s="34" t="n">
        <v>0.127645976374794</v>
      </c>
      <c r="AU44" s="34" t="n">
        <v>0.0855295193618112</v>
      </c>
      <c r="AV44" s="34" t="n">
        <v>0.0791729171153343</v>
      </c>
      <c r="AW44" s="34" t="n">
        <v>0.065572046779207</v>
      </c>
      <c r="AX44" s="34" t="n">
        <v>0.0977542143577809</v>
      </c>
      <c r="AY44" s="34" t="n">
        <v>0.184342704342897</v>
      </c>
      <c r="AZ44" s="34" t="n">
        <v>0.0962958361683779</v>
      </c>
      <c r="BA44" s="34" t="n">
        <v>0.136766181506706</v>
      </c>
      <c r="BB44" s="34" t="n">
        <v>0.131597354137836</v>
      </c>
      <c r="BC44" s="34" t="n">
        <v>0.144872759456002</v>
      </c>
      <c r="BD44" s="34" t="n">
        <v>0.0936690559535861</v>
      </c>
      <c r="BE44" s="34" t="n">
        <v>0.0893275203478486</v>
      </c>
      <c r="BF44" s="34" t="n">
        <v>0.0849902742770394</v>
      </c>
      <c r="BG44" s="34" t="n">
        <v>0.0985416811460351</v>
      </c>
      <c r="BH44" s="34" t="n">
        <v>0.0872830209876498</v>
      </c>
      <c r="BI44" s="34" t="n">
        <v>0.101119555549702</v>
      </c>
      <c r="BJ44" s="34" t="n">
        <v>0.0881717406071612</v>
      </c>
      <c r="BK44" s="34" t="n">
        <v>0.131260077434648</v>
      </c>
      <c r="BL44" s="34" t="n">
        <v>0.0895735906403349</v>
      </c>
      <c r="BM44" s="34" t="n">
        <v>0.0930304979129886</v>
      </c>
      <c r="BN44" s="34" t="n">
        <v>0.0897876193634656</v>
      </c>
      <c r="BO44" s="34" t="n">
        <v>0.114973385728038</v>
      </c>
      <c r="BP44" s="34" t="n">
        <v>0.0911861122852761</v>
      </c>
      <c r="BQ44" s="34" t="n">
        <v>0.0861816894574854</v>
      </c>
      <c r="BR44" s="34" t="n">
        <v>0.131252923008744</v>
      </c>
      <c r="BS44" s="34" t="n">
        <v>0.112372170432231</v>
      </c>
      <c r="BT44" s="34" t="n">
        <v>0.0828558320168431</v>
      </c>
      <c r="BU44" s="34" t="n">
        <v>0.0828558320168431</v>
      </c>
    </row>
    <row r="45" customFormat="false" ht="11.25" hidden="false" customHeight="true" outlineLevel="0" collapsed="false">
      <c r="B45" s="19" t="s">
        <v>141</v>
      </c>
      <c r="C45" s="20" t="s">
        <v>142</v>
      </c>
      <c r="D45" s="19" t="n">
        <v>39</v>
      </c>
      <c r="E45" s="33" t="n">
        <v>0.0179432766862134</v>
      </c>
      <c r="F45" s="33" t="n">
        <v>0.0182480113025721</v>
      </c>
      <c r="G45" s="33" t="n">
        <v>0.0186440812511194</v>
      </c>
      <c r="H45" s="33" t="n">
        <v>0.0216661904210741</v>
      </c>
      <c r="I45" s="33" t="n">
        <v>0.0207230008319559</v>
      </c>
      <c r="J45" s="33" t="n">
        <v>0.0225055040028881</v>
      </c>
      <c r="K45" s="33" t="n">
        <v>0.0244255264828558</v>
      </c>
      <c r="L45" s="33" t="n">
        <v>0.0333466596426175</v>
      </c>
      <c r="M45" s="33" t="n">
        <v>0.0229361951886648</v>
      </c>
      <c r="N45" s="33" t="n">
        <v>0.0273322629713624</v>
      </c>
      <c r="O45" s="33" t="n">
        <v>0.0286217995060532</v>
      </c>
      <c r="P45" s="33" t="n">
        <v>0.022908944316046</v>
      </c>
      <c r="Q45" s="33" t="n">
        <v>0.0234709304322687</v>
      </c>
      <c r="R45" s="33" t="n">
        <v>0.0228126747102214</v>
      </c>
      <c r="S45" s="33" t="n">
        <v>0.0288610587652965</v>
      </c>
      <c r="T45" s="33" t="n">
        <v>0.0341377584870372</v>
      </c>
      <c r="U45" s="33" t="n">
        <v>0.0350049731084142</v>
      </c>
      <c r="V45" s="33" t="n">
        <v>0.0201252677747435</v>
      </c>
      <c r="W45" s="33" t="n">
        <v>0.017212109597377</v>
      </c>
      <c r="X45" s="33" t="n">
        <v>0.0231609163102874</v>
      </c>
      <c r="Y45" s="33" t="n">
        <v>0.0224354897698201</v>
      </c>
      <c r="Z45" s="33" t="n">
        <v>0.0294462475838729</v>
      </c>
      <c r="AA45" s="33" t="n">
        <v>0.022039276446384</v>
      </c>
      <c r="AB45" s="33" t="n">
        <v>0.0298605279209234</v>
      </c>
      <c r="AC45" s="33" t="n">
        <v>0.0297996567656484</v>
      </c>
      <c r="AD45" s="33" t="n">
        <v>0.0367173212362205</v>
      </c>
      <c r="AE45" s="33" t="n">
        <v>0.0654286771022057</v>
      </c>
      <c r="AF45" s="33" t="n">
        <v>0.0580974646896085</v>
      </c>
      <c r="AG45" s="33" t="n">
        <v>0.0375403001152954</v>
      </c>
      <c r="AH45" s="33" t="n">
        <v>0.014242072637127</v>
      </c>
      <c r="AI45" s="33" t="n">
        <v>0.030278935359683</v>
      </c>
      <c r="AJ45" s="33" t="n">
        <v>0.0328416938461547</v>
      </c>
      <c r="AK45" s="33" t="n">
        <v>0.0199279519998154</v>
      </c>
      <c r="AL45" s="33" t="n">
        <v>0.0260189700971516</v>
      </c>
      <c r="AM45" s="33" t="n">
        <v>0.0187364168572152</v>
      </c>
      <c r="AN45" s="33" t="n">
        <v>0.0268536154566877</v>
      </c>
      <c r="AO45" s="33" t="n">
        <v>0.0186093726373736</v>
      </c>
      <c r="AP45" s="33" t="n">
        <v>0.0178545352741479</v>
      </c>
      <c r="AQ45" s="33" t="n">
        <v>1.03344948219373</v>
      </c>
      <c r="AR45" s="33" t="n">
        <v>0.0218997504705028</v>
      </c>
      <c r="AS45" s="33" t="n">
        <v>0.022052351282287</v>
      </c>
      <c r="AT45" s="33" t="n">
        <v>0.027825649221785</v>
      </c>
      <c r="AU45" s="33" t="n">
        <v>0.020495051488027</v>
      </c>
      <c r="AV45" s="33" t="n">
        <v>0.0187523192329834</v>
      </c>
      <c r="AW45" s="33" t="n">
        <v>0.0162830879888206</v>
      </c>
      <c r="AX45" s="33" t="n">
        <v>0.026563146928017</v>
      </c>
      <c r="AY45" s="33" t="n">
        <v>0.0433389295135968</v>
      </c>
      <c r="AZ45" s="33" t="n">
        <v>0.0246567485776591</v>
      </c>
      <c r="BA45" s="33" t="n">
        <v>0.0304091270873093</v>
      </c>
      <c r="BB45" s="33" t="n">
        <v>0.028078235448131</v>
      </c>
      <c r="BC45" s="33" t="n">
        <v>0.0307060025445704</v>
      </c>
      <c r="BD45" s="33" t="n">
        <v>0.0215674966480288</v>
      </c>
      <c r="BE45" s="33" t="n">
        <v>0.020856579922509</v>
      </c>
      <c r="BF45" s="33" t="n">
        <v>0.0198561421500161</v>
      </c>
      <c r="BG45" s="33" t="n">
        <v>0.0243746330089648</v>
      </c>
      <c r="BH45" s="33" t="n">
        <v>0.0202486772368577</v>
      </c>
      <c r="BI45" s="33" t="n">
        <v>0.0222717502002755</v>
      </c>
      <c r="BJ45" s="33" t="n">
        <v>0.0206445247006069</v>
      </c>
      <c r="BK45" s="33" t="n">
        <v>0.0443524274856508</v>
      </c>
      <c r="BL45" s="33" t="n">
        <v>0.0207602195374074</v>
      </c>
      <c r="BM45" s="33" t="n">
        <v>0.0316292268544659</v>
      </c>
      <c r="BN45" s="33" t="n">
        <v>0.0237993051012692</v>
      </c>
      <c r="BO45" s="33" t="n">
        <v>0.0224260150138507</v>
      </c>
      <c r="BP45" s="33" t="n">
        <v>0.0279210866973557</v>
      </c>
      <c r="BQ45" s="33" t="n">
        <v>0.0260079264888807</v>
      </c>
      <c r="BR45" s="33" t="n">
        <v>0.0238300256068356</v>
      </c>
      <c r="BS45" s="33" t="n">
        <v>0.034650983420231</v>
      </c>
      <c r="BT45" s="33" t="n">
        <v>0.0190282652129549</v>
      </c>
      <c r="BU45" s="33" t="n">
        <v>0.0190282652129549</v>
      </c>
    </row>
    <row r="46" customFormat="false" ht="11.25" hidden="false" customHeight="true" outlineLevel="0" collapsed="false">
      <c r="B46" s="24" t="s">
        <v>143</v>
      </c>
      <c r="C46" s="25" t="s">
        <v>144</v>
      </c>
      <c r="D46" s="24" t="n">
        <v>40</v>
      </c>
      <c r="E46" s="34" t="n">
        <v>0.00670890893558415</v>
      </c>
      <c r="F46" s="34" t="n">
        <v>0.00782210586396484</v>
      </c>
      <c r="G46" s="34" t="n">
        <v>0.00712464754224157</v>
      </c>
      <c r="H46" s="34" t="n">
        <v>0.00827417126919999</v>
      </c>
      <c r="I46" s="34" t="n">
        <v>0.0166375125470926</v>
      </c>
      <c r="J46" s="34" t="n">
        <v>0.0356485847393452</v>
      </c>
      <c r="K46" s="34" t="n">
        <v>0.0294509703061125</v>
      </c>
      <c r="L46" s="34" t="n">
        <v>0.0136081366296577</v>
      </c>
      <c r="M46" s="34" t="n">
        <v>0.00934865202733478</v>
      </c>
      <c r="N46" s="34" t="n">
        <v>0.0107305866430332</v>
      </c>
      <c r="O46" s="34" t="n">
        <v>0.00933064378222279</v>
      </c>
      <c r="P46" s="34" t="n">
        <v>0.00921919479455991</v>
      </c>
      <c r="Q46" s="34" t="n">
        <v>0.00927763995439874</v>
      </c>
      <c r="R46" s="34" t="n">
        <v>0.00898197129386157</v>
      </c>
      <c r="S46" s="34" t="n">
        <v>0.0111770702333922</v>
      </c>
      <c r="T46" s="34" t="n">
        <v>0.0102378791547999</v>
      </c>
      <c r="U46" s="34" t="n">
        <v>0.0132955005724651</v>
      </c>
      <c r="V46" s="34" t="n">
        <v>0.00917632814931954</v>
      </c>
      <c r="W46" s="34" t="n">
        <v>0.00897447757673961</v>
      </c>
      <c r="X46" s="34" t="n">
        <v>0.00932500637051965</v>
      </c>
      <c r="Y46" s="34" t="n">
        <v>0.00803188708399305</v>
      </c>
      <c r="Z46" s="34" t="n">
        <v>0.00983062258938795</v>
      </c>
      <c r="AA46" s="34" t="n">
        <v>0.00775091866167603</v>
      </c>
      <c r="AB46" s="34" t="n">
        <v>0.0117382172971187</v>
      </c>
      <c r="AC46" s="34" t="n">
        <v>0.00999261567559073</v>
      </c>
      <c r="AD46" s="34" t="n">
        <v>0.0115218491131099</v>
      </c>
      <c r="AE46" s="34" t="n">
        <v>0.0209614705281368</v>
      </c>
      <c r="AF46" s="34" t="n">
        <v>0.0477763101323904</v>
      </c>
      <c r="AG46" s="34" t="n">
        <v>0.0148264394985769</v>
      </c>
      <c r="AH46" s="34" t="n">
        <v>0.00692578324515311</v>
      </c>
      <c r="AI46" s="34" t="n">
        <v>0.0146454013962009</v>
      </c>
      <c r="AJ46" s="34" t="n">
        <v>0.0138318877244335</v>
      </c>
      <c r="AK46" s="34" t="n">
        <v>0.00970404721343976</v>
      </c>
      <c r="AL46" s="34" t="n">
        <v>0.0105319160861099</v>
      </c>
      <c r="AM46" s="34" t="n">
        <v>0.0127772716197698</v>
      </c>
      <c r="AN46" s="34" t="n">
        <v>0.0108081160955035</v>
      </c>
      <c r="AO46" s="34" t="n">
        <v>0.00772648418137536</v>
      </c>
      <c r="AP46" s="34" t="n">
        <v>0.00718499727467632</v>
      </c>
      <c r="AQ46" s="34" t="n">
        <v>0.059765888011662</v>
      </c>
      <c r="AR46" s="34" t="n">
        <v>1.11387126190956</v>
      </c>
      <c r="AS46" s="34" t="n">
        <v>0.0110354801631856</v>
      </c>
      <c r="AT46" s="34" t="n">
        <v>0.0111810129793611</v>
      </c>
      <c r="AU46" s="34" t="n">
        <v>0.00931027596598342</v>
      </c>
      <c r="AV46" s="34" t="n">
        <v>0.00981665544154462</v>
      </c>
      <c r="AW46" s="34" t="n">
        <v>0.00956865010387555</v>
      </c>
      <c r="AX46" s="34" t="n">
        <v>0.0209411911680804</v>
      </c>
      <c r="AY46" s="34" t="n">
        <v>0.0208516614134938</v>
      </c>
      <c r="AZ46" s="34" t="n">
        <v>0.00983624167010989</v>
      </c>
      <c r="BA46" s="34" t="n">
        <v>0.0127624611685242</v>
      </c>
      <c r="BB46" s="34" t="n">
        <v>0.0173429938558373</v>
      </c>
      <c r="BC46" s="34" t="n">
        <v>0.0369109970982403</v>
      </c>
      <c r="BD46" s="34" t="n">
        <v>0.0144276655239444</v>
      </c>
      <c r="BE46" s="34" t="n">
        <v>0.0100248812221186</v>
      </c>
      <c r="BF46" s="34" t="n">
        <v>0.00981349901769167</v>
      </c>
      <c r="BG46" s="34" t="n">
        <v>0.0102374665069185</v>
      </c>
      <c r="BH46" s="34" t="n">
        <v>0.0194754484889095</v>
      </c>
      <c r="BI46" s="34" t="n">
        <v>0.0114345673980652</v>
      </c>
      <c r="BJ46" s="34" t="n">
        <v>0.011973466060726</v>
      </c>
      <c r="BK46" s="34" t="n">
        <v>0.0202041039765452</v>
      </c>
      <c r="BL46" s="34" t="n">
        <v>0.00804263252308137</v>
      </c>
      <c r="BM46" s="34" t="n">
        <v>0.0257662114177539</v>
      </c>
      <c r="BN46" s="34" t="n">
        <v>0.0118976850548941</v>
      </c>
      <c r="BO46" s="34" t="n">
        <v>0.0123446054169623</v>
      </c>
      <c r="BP46" s="34" t="n">
        <v>0.02782944035027</v>
      </c>
      <c r="BQ46" s="34" t="n">
        <v>0.00729908977046754</v>
      </c>
      <c r="BR46" s="34" t="n">
        <v>0.013146757064909</v>
      </c>
      <c r="BS46" s="34" t="n">
        <v>0.0118514060090313</v>
      </c>
      <c r="BT46" s="34" t="n">
        <v>0.00653590660600377</v>
      </c>
      <c r="BU46" s="34" t="n">
        <v>0.00653590660600377</v>
      </c>
    </row>
    <row r="47" customFormat="false" ht="11.25" hidden="false" customHeight="true" outlineLevel="0" collapsed="false">
      <c r="B47" s="19" t="s">
        <v>145</v>
      </c>
      <c r="C47" s="20" t="s">
        <v>146</v>
      </c>
      <c r="D47" s="19" t="n">
        <v>41</v>
      </c>
      <c r="E47" s="33" t="n">
        <v>0.0387455789070918</v>
      </c>
      <c r="F47" s="33" t="n">
        <v>0.0395827525244252</v>
      </c>
      <c r="G47" s="33" t="n">
        <v>0.0432931436523576</v>
      </c>
      <c r="H47" s="33" t="n">
        <v>0.0484995602256321</v>
      </c>
      <c r="I47" s="33" t="n">
        <v>0.0419532067968488</v>
      </c>
      <c r="J47" s="33" t="n">
        <v>0.0693384690090332</v>
      </c>
      <c r="K47" s="33" t="n">
        <v>0.0581889713612472</v>
      </c>
      <c r="L47" s="33" t="n">
        <v>0.0709288976594117</v>
      </c>
      <c r="M47" s="33" t="n">
        <v>0.0487386470075081</v>
      </c>
      <c r="N47" s="33" t="n">
        <v>0.0568152287653739</v>
      </c>
      <c r="O47" s="33" t="n">
        <v>0.0447823583056695</v>
      </c>
      <c r="P47" s="33" t="n">
        <v>0.0481732730542763</v>
      </c>
      <c r="Q47" s="33" t="n">
        <v>0.046075059811962</v>
      </c>
      <c r="R47" s="33" t="n">
        <v>0.0473989002979937</v>
      </c>
      <c r="S47" s="33" t="n">
        <v>0.0600934701356237</v>
      </c>
      <c r="T47" s="33" t="n">
        <v>0.0539753758189961</v>
      </c>
      <c r="U47" s="33" t="n">
        <v>0.0650553907067504</v>
      </c>
      <c r="V47" s="33" t="n">
        <v>0.0414525888379444</v>
      </c>
      <c r="W47" s="33" t="n">
        <v>0.0333491746005338</v>
      </c>
      <c r="X47" s="33" t="n">
        <v>0.0484048518061688</v>
      </c>
      <c r="Y47" s="33" t="n">
        <v>0.0364960216882962</v>
      </c>
      <c r="Z47" s="33" t="n">
        <v>0.0472217624119909</v>
      </c>
      <c r="AA47" s="33" t="n">
        <v>0.0385812992937765</v>
      </c>
      <c r="AB47" s="33" t="n">
        <v>0.0634927782447822</v>
      </c>
      <c r="AC47" s="33" t="n">
        <v>0.0536892055975035</v>
      </c>
      <c r="AD47" s="33" t="n">
        <v>0.0635696176824216</v>
      </c>
      <c r="AE47" s="33" t="n">
        <v>0.0593852585929615</v>
      </c>
      <c r="AF47" s="33" t="n">
        <v>0.0469370253388776</v>
      </c>
      <c r="AG47" s="33" t="n">
        <v>0.0571620705471071</v>
      </c>
      <c r="AH47" s="33" t="n">
        <v>0.0397829944316029</v>
      </c>
      <c r="AI47" s="33" t="n">
        <v>0.0507550658616677</v>
      </c>
      <c r="AJ47" s="33" t="n">
        <v>0.103276603889896</v>
      </c>
      <c r="AK47" s="33" t="n">
        <v>0.0396030775600917</v>
      </c>
      <c r="AL47" s="33" t="n">
        <v>0.0374353918313849</v>
      </c>
      <c r="AM47" s="33" t="n">
        <v>0.0305273778502169</v>
      </c>
      <c r="AN47" s="33" t="n">
        <v>0.0510664725452213</v>
      </c>
      <c r="AO47" s="33" t="n">
        <v>0.0404302462404961</v>
      </c>
      <c r="AP47" s="33" t="n">
        <v>0.0401691722563984</v>
      </c>
      <c r="AQ47" s="33" t="n">
        <v>0.0622376211033934</v>
      </c>
      <c r="AR47" s="33" t="n">
        <v>0.042346842474576</v>
      </c>
      <c r="AS47" s="33" t="n">
        <v>1.05558880993283</v>
      </c>
      <c r="AT47" s="33" t="n">
        <v>0.0585875473897499</v>
      </c>
      <c r="AU47" s="33" t="n">
        <v>0.0861724843378129</v>
      </c>
      <c r="AV47" s="33" t="n">
        <v>0.0413792248512468</v>
      </c>
      <c r="AW47" s="33" t="n">
        <v>0.0339857753615372</v>
      </c>
      <c r="AX47" s="33" t="n">
        <v>0.0519843746022577</v>
      </c>
      <c r="AY47" s="33" t="n">
        <v>0.0403523132367809</v>
      </c>
      <c r="AZ47" s="33" t="n">
        <v>0.0406264142409426</v>
      </c>
      <c r="BA47" s="33" t="n">
        <v>0.0624715538500925</v>
      </c>
      <c r="BB47" s="33" t="n">
        <v>0.0577643330929173</v>
      </c>
      <c r="BC47" s="33" t="n">
        <v>0.059250388955131</v>
      </c>
      <c r="BD47" s="33" t="n">
        <v>0.043101779898698</v>
      </c>
      <c r="BE47" s="33" t="n">
        <v>0.0417125142687932</v>
      </c>
      <c r="BF47" s="33" t="n">
        <v>0.0426779696001094</v>
      </c>
      <c r="BG47" s="33" t="n">
        <v>0.0439679506978857</v>
      </c>
      <c r="BH47" s="33" t="n">
        <v>0.0440820809059421</v>
      </c>
      <c r="BI47" s="33" t="n">
        <v>0.0460182312480756</v>
      </c>
      <c r="BJ47" s="33" t="n">
        <v>0.0772280929190866</v>
      </c>
      <c r="BK47" s="33" t="n">
        <v>0.0436273175532385</v>
      </c>
      <c r="BL47" s="33" t="n">
        <v>0.052560834498484</v>
      </c>
      <c r="BM47" s="33" t="n">
        <v>0.0459450226576396</v>
      </c>
      <c r="BN47" s="33" t="n">
        <v>0.0442848415768833</v>
      </c>
      <c r="BO47" s="33" t="n">
        <v>0.0424424319593961</v>
      </c>
      <c r="BP47" s="33" t="n">
        <v>0.0522941174374682</v>
      </c>
      <c r="BQ47" s="33" t="n">
        <v>0.0427005584756513</v>
      </c>
      <c r="BR47" s="33" t="n">
        <v>0.0439643243558538</v>
      </c>
      <c r="BS47" s="33" t="n">
        <v>0.0401859324411214</v>
      </c>
      <c r="BT47" s="33" t="n">
        <v>0.043025138165681</v>
      </c>
      <c r="BU47" s="33" t="n">
        <v>0.043025138165681</v>
      </c>
    </row>
    <row r="48" customFormat="false" ht="11.25" hidden="false" customHeight="true" outlineLevel="0" collapsed="false">
      <c r="B48" s="24" t="s">
        <v>147</v>
      </c>
      <c r="C48" s="25" t="s">
        <v>148</v>
      </c>
      <c r="D48" s="24" t="n">
        <v>42</v>
      </c>
      <c r="E48" s="34" t="n">
        <v>0.241948004162262</v>
      </c>
      <c r="F48" s="34" t="n">
        <v>0.278139015495981</v>
      </c>
      <c r="G48" s="34" t="n">
        <v>0.226646396323641</v>
      </c>
      <c r="H48" s="34" t="n">
        <v>0.30199437247544</v>
      </c>
      <c r="I48" s="34" t="n">
        <v>0.25039218647166</v>
      </c>
      <c r="J48" s="34" t="n">
        <v>0.268435532609021</v>
      </c>
      <c r="K48" s="34" t="n">
        <v>0.332063784515851</v>
      </c>
      <c r="L48" s="34" t="n">
        <v>1.02244632520327</v>
      </c>
      <c r="M48" s="34" t="n">
        <v>0.403891371284578</v>
      </c>
      <c r="N48" s="34" t="n">
        <v>0.682936998850502</v>
      </c>
      <c r="O48" s="34" t="n">
        <v>0.355051753944573</v>
      </c>
      <c r="P48" s="34" t="n">
        <v>0.574064534654179</v>
      </c>
      <c r="Q48" s="34" t="n">
        <v>0.5553430256379</v>
      </c>
      <c r="R48" s="34" t="n">
        <v>0.571508487142071</v>
      </c>
      <c r="S48" s="34" t="n">
        <v>0.84479715543242</v>
      </c>
      <c r="T48" s="34" t="n">
        <v>0.58018877199003</v>
      </c>
      <c r="U48" s="34" t="n">
        <v>0.888638309970285</v>
      </c>
      <c r="V48" s="34" t="n">
        <v>0.347534808701982</v>
      </c>
      <c r="W48" s="34" t="n">
        <v>0.251342707965971</v>
      </c>
      <c r="X48" s="34" t="n">
        <v>0.45995159956503</v>
      </c>
      <c r="Y48" s="34" t="n">
        <v>0.371553943051005</v>
      </c>
      <c r="Z48" s="34" t="n">
        <v>0.614955208988296</v>
      </c>
      <c r="AA48" s="34" t="n">
        <v>0.34896080462598</v>
      </c>
      <c r="AB48" s="34" t="n">
        <v>0.762149030290179</v>
      </c>
      <c r="AC48" s="34" t="n">
        <v>0.639293705893068</v>
      </c>
      <c r="AD48" s="34" t="n">
        <v>0.639390499593591</v>
      </c>
      <c r="AE48" s="34" t="n">
        <v>0.564417994420306</v>
      </c>
      <c r="AF48" s="34" t="n">
        <v>0.42349722289254</v>
      </c>
      <c r="AG48" s="34" t="n">
        <v>0.688520117731236</v>
      </c>
      <c r="AH48" s="34" t="n">
        <v>0.357138826841443</v>
      </c>
      <c r="AI48" s="34" t="n">
        <v>0.645665900336884</v>
      </c>
      <c r="AJ48" s="34" t="n">
        <v>0.833404126211417</v>
      </c>
      <c r="AK48" s="34" t="n">
        <v>0.252516203210518</v>
      </c>
      <c r="AL48" s="34" t="n">
        <v>0.273423923271238</v>
      </c>
      <c r="AM48" s="34" t="n">
        <v>0.287770324561716</v>
      </c>
      <c r="AN48" s="34" t="n">
        <v>0.529821726283437</v>
      </c>
      <c r="AO48" s="34" t="n">
        <v>0.288364888249726</v>
      </c>
      <c r="AP48" s="34" t="n">
        <v>0.208771344376671</v>
      </c>
      <c r="AQ48" s="34" t="n">
        <v>0.234256979887739</v>
      </c>
      <c r="AR48" s="34" t="n">
        <v>0.294531708623852</v>
      </c>
      <c r="AS48" s="34" t="n">
        <v>0.222559692408227</v>
      </c>
      <c r="AT48" s="34" t="n">
        <v>1.38323324467718</v>
      </c>
      <c r="AU48" s="34" t="n">
        <v>0.232526398298781</v>
      </c>
      <c r="AV48" s="34" t="n">
        <v>0.218906357678803</v>
      </c>
      <c r="AW48" s="34" t="n">
        <v>0.188536902096036</v>
      </c>
      <c r="AX48" s="34" t="n">
        <v>0.226981426239253</v>
      </c>
      <c r="AY48" s="34" t="n">
        <v>0.247654423750313</v>
      </c>
      <c r="AZ48" s="34" t="n">
        <v>0.30600035310891</v>
      </c>
      <c r="BA48" s="34" t="n">
        <v>0.7528000491574</v>
      </c>
      <c r="BB48" s="34" t="n">
        <v>0.578116889635773</v>
      </c>
      <c r="BC48" s="34" t="n">
        <v>0.675488629748262</v>
      </c>
      <c r="BD48" s="34" t="n">
        <v>0.286502966742762</v>
      </c>
      <c r="BE48" s="34" t="n">
        <v>0.222834173140121</v>
      </c>
      <c r="BF48" s="34" t="n">
        <v>0.214521869384951</v>
      </c>
      <c r="BG48" s="34" t="n">
        <v>0.276295903342611</v>
      </c>
      <c r="BH48" s="34" t="n">
        <v>0.23429416861682</v>
      </c>
      <c r="BI48" s="34" t="n">
        <v>0.373134221667087</v>
      </c>
      <c r="BJ48" s="34" t="n">
        <v>0.229342837372736</v>
      </c>
      <c r="BK48" s="34" t="n">
        <v>0.269728026002283</v>
      </c>
      <c r="BL48" s="34" t="n">
        <v>0.252078067694963</v>
      </c>
      <c r="BM48" s="34" t="n">
        <v>0.221702183211887</v>
      </c>
      <c r="BN48" s="34" t="n">
        <v>0.223046986277483</v>
      </c>
      <c r="BO48" s="34" t="n">
        <v>0.232212291407056</v>
      </c>
      <c r="BP48" s="34" t="n">
        <v>0.240875001891078</v>
      </c>
      <c r="BQ48" s="34" t="n">
        <v>0.230549517560586</v>
      </c>
      <c r="BR48" s="34" t="n">
        <v>0.240395775067354</v>
      </c>
      <c r="BS48" s="34" t="n">
        <v>0.233625074065591</v>
      </c>
      <c r="BT48" s="34" t="n">
        <v>0.210954064863295</v>
      </c>
      <c r="BU48" s="34" t="n">
        <v>0.210954064863295</v>
      </c>
    </row>
    <row r="49" customFormat="false" ht="11.25" hidden="false" customHeight="true" outlineLevel="0" collapsed="false">
      <c r="B49" s="19" t="s">
        <v>149</v>
      </c>
      <c r="C49" s="20" t="s">
        <v>150</v>
      </c>
      <c r="D49" s="19" t="n">
        <v>43</v>
      </c>
      <c r="E49" s="33" t="n">
        <v>0.11411116496427</v>
      </c>
      <c r="F49" s="33" t="n">
        <v>0.109090494641297</v>
      </c>
      <c r="G49" s="33" t="n">
        <v>0.117780605083316</v>
      </c>
      <c r="H49" s="33" t="n">
        <v>0.163796511836357</v>
      </c>
      <c r="I49" s="33" t="n">
        <v>0.130993404527855</v>
      </c>
      <c r="J49" s="33" t="n">
        <v>0.13784017581736</v>
      </c>
      <c r="K49" s="33" t="n">
        <v>0.173309599475177</v>
      </c>
      <c r="L49" s="33" t="n">
        <v>0.267165836820005</v>
      </c>
      <c r="M49" s="33" t="n">
        <v>0.189742063353687</v>
      </c>
      <c r="N49" s="33" t="n">
        <v>0.228118994668571</v>
      </c>
      <c r="O49" s="33" t="n">
        <v>0.181533901357163</v>
      </c>
      <c r="P49" s="33" t="n">
        <v>0.147490628688547</v>
      </c>
      <c r="Q49" s="33" t="n">
        <v>0.159721870867475</v>
      </c>
      <c r="R49" s="33" t="n">
        <v>0.145141420859039</v>
      </c>
      <c r="S49" s="33" t="n">
        <v>0.199942304015353</v>
      </c>
      <c r="T49" s="33" t="n">
        <v>0.20222752325059</v>
      </c>
      <c r="U49" s="33" t="n">
        <v>0.241462055500013</v>
      </c>
      <c r="V49" s="33" t="n">
        <v>0.121526486422662</v>
      </c>
      <c r="W49" s="33" t="n">
        <v>0.11163675977188</v>
      </c>
      <c r="X49" s="33" t="n">
        <v>0.158096119684373</v>
      </c>
      <c r="Y49" s="33" t="n">
        <v>0.156984612215609</v>
      </c>
      <c r="Z49" s="33" t="n">
        <v>0.174492278779051</v>
      </c>
      <c r="AA49" s="33" t="n">
        <v>0.159119942801694</v>
      </c>
      <c r="AB49" s="33" t="n">
        <v>0.225688726239114</v>
      </c>
      <c r="AC49" s="33" t="n">
        <v>0.181946488799688</v>
      </c>
      <c r="AD49" s="33" t="n">
        <v>0.195932235634465</v>
      </c>
      <c r="AE49" s="33" t="n">
        <v>0.199418325667663</v>
      </c>
      <c r="AF49" s="33" t="n">
        <v>0.130498427439463</v>
      </c>
      <c r="AG49" s="33" t="n">
        <v>0.19810944961409</v>
      </c>
      <c r="AH49" s="33" t="n">
        <v>0.09589288046996</v>
      </c>
      <c r="AI49" s="33" t="n">
        <v>0.164989276670091</v>
      </c>
      <c r="AJ49" s="33" t="n">
        <v>0.187132001760468</v>
      </c>
      <c r="AK49" s="33" t="n">
        <v>0.128892990676328</v>
      </c>
      <c r="AL49" s="33" t="n">
        <v>0.123971499152269</v>
      </c>
      <c r="AM49" s="33" t="n">
        <v>0.099241667651235</v>
      </c>
      <c r="AN49" s="33" t="n">
        <v>0.159807254061577</v>
      </c>
      <c r="AO49" s="33" t="n">
        <v>0.0886124149850066</v>
      </c>
      <c r="AP49" s="33" t="n">
        <v>0.103983624057507</v>
      </c>
      <c r="AQ49" s="33" t="n">
        <v>0.0947043390959386</v>
      </c>
      <c r="AR49" s="33" t="n">
        <v>0.104682411432193</v>
      </c>
      <c r="AS49" s="33" t="n">
        <v>0.0968889171490511</v>
      </c>
      <c r="AT49" s="33" t="n">
        <v>0.180502387999282</v>
      </c>
      <c r="AU49" s="33" t="n">
        <v>1.29328450706104</v>
      </c>
      <c r="AV49" s="33" t="n">
        <v>0.110891843412365</v>
      </c>
      <c r="AW49" s="33" t="n">
        <v>0.0892067127577169</v>
      </c>
      <c r="AX49" s="33" t="n">
        <v>0.16366077745796</v>
      </c>
      <c r="AY49" s="33" t="n">
        <v>0.0942497674490331</v>
      </c>
      <c r="AZ49" s="33" t="n">
        <v>0.113542070474802</v>
      </c>
      <c r="BA49" s="33" t="n">
        <v>0.18563234340026</v>
      </c>
      <c r="BB49" s="33" t="n">
        <v>0.142319693198486</v>
      </c>
      <c r="BC49" s="33" t="n">
        <v>0.144279849292498</v>
      </c>
      <c r="BD49" s="33" t="n">
        <v>0.0937610417310088</v>
      </c>
      <c r="BE49" s="33" t="n">
        <v>0.0861296885303579</v>
      </c>
      <c r="BF49" s="33" t="n">
        <v>0.0822809409277423</v>
      </c>
      <c r="BG49" s="33" t="n">
        <v>0.0976391296628173</v>
      </c>
      <c r="BH49" s="33" t="n">
        <v>0.105284276628296</v>
      </c>
      <c r="BI49" s="33" t="n">
        <v>0.107668680448792</v>
      </c>
      <c r="BJ49" s="33" t="n">
        <v>0.0999033440487878</v>
      </c>
      <c r="BK49" s="33" t="n">
        <v>0.0924886717126104</v>
      </c>
      <c r="BL49" s="33" t="n">
        <v>0.0914513209800018</v>
      </c>
      <c r="BM49" s="33" t="n">
        <v>0.0877223475147389</v>
      </c>
      <c r="BN49" s="33" t="n">
        <v>0.0875325795259401</v>
      </c>
      <c r="BO49" s="33" t="n">
        <v>0.0994865771942701</v>
      </c>
      <c r="BP49" s="33" t="n">
        <v>0.0937672903960691</v>
      </c>
      <c r="BQ49" s="33" t="n">
        <v>0.0815285998192286</v>
      </c>
      <c r="BR49" s="33" t="n">
        <v>0.0944432754358881</v>
      </c>
      <c r="BS49" s="33" t="n">
        <v>0.105874190660576</v>
      </c>
      <c r="BT49" s="33" t="n">
        <v>0.081383280628002</v>
      </c>
      <c r="BU49" s="33" t="n">
        <v>0.081383280628002</v>
      </c>
    </row>
    <row r="50" customFormat="false" ht="11.25" hidden="false" customHeight="true" outlineLevel="0" collapsed="false">
      <c r="B50" s="24" t="s">
        <v>151</v>
      </c>
      <c r="C50" s="25" t="s">
        <v>152</v>
      </c>
      <c r="D50" s="24" t="n">
        <v>44</v>
      </c>
      <c r="E50" s="34" t="n">
        <v>0.00491025600332763</v>
      </c>
      <c r="F50" s="34" t="n">
        <v>0.00483289434489242</v>
      </c>
      <c r="G50" s="34" t="n">
        <v>0.00417414687944325</v>
      </c>
      <c r="H50" s="34" t="n">
        <v>0.00505628825843348</v>
      </c>
      <c r="I50" s="34" t="n">
        <v>0.0397172290201014</v>
      </c>
      <c r="J50" s="34" t="n">
        <v>0.00484997796137552</v>
      </c>
      <c r="K50" s="34" t="n">
        <v>0.00653590001503413</v>
      </c>
      <c r="L50" s="34" t="n">
        <v>0.015345485818465</v>
      </c>
      <c r="M50" s="34" t="n">
        <v>0.00807148916549717</v>
      </c>
      <c r="N50" s="34" t="n">
        <v>0.00919921944111932</v>
      </c>
      <c r="O50" s="34" t="n">
        <v>0.00503964087845817</v>
      </c>
      <c r="P50" s="34" t="n">
        <v>0.00642761046367537</v>
      </c>
      <c r="Q50" s="34" t="n">
        <v>0.00644724479757633</v>
      </c>
      <c r="R50" s="34" t="n">
        <v>0.00560532151262638</v>
      </c>
      <c r="S50" s="34" t="n">
        <v>0.00756295277483087</v>
      </c>
      <c r="T50" s="34" t="n">
        <v>0.0154495453577284</v>
      </c>
      <c r="U50" s="34" t="n">
        <v>0.0316171272851051</v>
      </c>
      <c r="V50" s="34" t="n">
        <v>0.0066031652687792</v>
      </c>
      <c r="W50" s="34" t="n">
        <v>0.0148579173537509</v>
      </c>
      <c r="X50" s="34" t="n">
        <v>0.00601399906224531</v>
      </c>
      <c r="Y50" s="34" t="n">
        <v>0.0124424728744491</v>
      </c>
      <c r="Z50" s="34" t="n">
        <v>0.00661476785936938</v>
      </c>
      <c r="AA50" s="34" t="n">
        <v>0.00717050472997204</v>
      </c>
      <c r="AB50" s="34" t="n">
        <v>0.00693796164815417</v>
      </c>
      <c r="AC50" s="34" t="n">
        <v>0.00796853319213384</v>
      </c>
      <c r="AD50" s="34" t="n">
        <v>0.00898179171127107</v>
      </c>
      <c r="AE50" s="34" t="n">
        <v>0.00950581211352454</v>
      </c>
      <c r="AF50" s="34" t="n">
        <v>0.00555990445100647</v>
      </c>
      <c r="AG50" s="34" t="n">
        <v>0.00764207509170446</v>
      </c>
      <c r="AH50" s="34" t="n">
        <v>0.00374897814019464</v>
      </c>
      <c r="AI50" s="34" t="n">
        <v>0.00674419148875763</v>
      </c>
      <c r="AJ50" s="34" t="n">
        <v>0.00949186585429924</v>
      </c>
      <c r="AK50" s="34" t="n">
        <v>0.00545056004568572</v>
      </c>
      <c r="AL50" s="34" t="n">
        <v>0.00556442168140481</v>
      </c>
      <c r="AM50" s="34" t="n">
        <v>0.00658061281975714</v>
      </c>
      <c r="AN50" s="34" t="n">
        <v>0.00649576129517283</v>
      </c>
      <c r="AO50" s="34" t="n">
        <v>0.00403596142511961</v>
      </c>
      <c r="AP50" s="34" t="n">
        <v>0.00492929281190586</v>
      </c>
      <c r="AQ50" s="34" t="n">
        <v>0.00450737624823911</v>
      </c>
      <c r="AR50" s="34" t="n">
        <v>0.00467366994421173</v>
      </c>
      <c r="AS50" s="34" t="n">
        <v>0.00398762444061848</v>
      </c>
      <c r="AT50" s="34" t="n">
        <v>0.00668604948721718</v>
      </c>
      <c r="AU50" s="34" t="n">
        <v>0.00929302457962665</v>
      </c>
      <c r="AV50" s="34" t="n">
        <v>1.06715186498602</v>
      </c>
      <c r="AW50" s="34" t="n">
        <v>0.00469609198088269</v>
      </c>
      <c r="AX50" s="34" t="n">
        <v>0.0049546584381337</v>
      </c>
      <c r="AY50" s="34" t="n">
        <v>0.00440696704079598</v>
      </c>
      <c r="AZ50" s="34" t="n">
        <v>0.00501756459397473</v>
      </c>
      <c r="BA50" s="34" t="n">
        <v>0.00743918006882834</v>
      </c>
      <c r="BB50" s="34" t="n">
        <v>0.00560110426900401</v>
      </c>
      <c r="BC50" s="34" t="n">
        <v>0.00597043574904417</v>
      </c>
      <c r="BD50" s="34" t="n">
        <v>0.00415418833168994</v>
      </c>
      <c r="BE50" s="34" t="n">
        <v>0.00375207010421543</v>
      </c>
      <c r="BF50" s="34" t="n">
        <v>0.00365893374100725</v>
      </c>
      <c r="BG50" s="34" t="n">
        <v>0.00426859647742871</v>
      </c>
      <c r="BH50" s="34" t="n">
        <v>0.00401361069931467</v>
      </c>
      <c r="BI50" s="34" t="n">
        <v>0.00454275857324826</v>
      </c>
      <c r="BJ50" s="34" t="n">
        <v>0.00416217242200949</v>
      </c>
      <c r="BK50" s="34" t="n">
        <v>0.0051289344284701</v>
      </c>
      <c r="BL50" s="34" t="n">
        <v>0.00397370080325896</v>
      </c>
      <c r="BM50" s="34" t="n">
        <v>0.00387990394747809</v>
      </c>
      <c r="BN50" s="34" t="n">
        <v>0.00378667960777013</v>
      </c>
      <c r="BO50" s="34" t="n">
        <v>0.00409430070994151</v>
      </c>
      <c r="BP50" s="34" t="n">
        <v>0.00386468219741794</v>
      </c>
      <c r="BQ50" s="34" t="n">
        <v>0.00361059374113443</v>
      </c>
      <c r="BR50" s="34" t="n">
        <v>0.00435589659353481</v>
      </c>
      <c r="BS50" s="34" t="n">
        <v>0.00411365547689639</v>
      </c>
      <c r="BT50" s="34" t="n">
        <v>0.00360451375972335</v>
      </c>
      <c r="BU50" s="34" t="n">
        <v>0.00360451375972335</v>
      </c>
    </row>
    <row r="51" customFormat="false" ht="11.25" hidden="false" customHeight="true" outlineLevel="0" collapsed="false">
      <c r="B51" s="19" t="s">
        <v>153</v>
      </c>
      <c r="C51" s="20" t="s">
        <v>154</v>
      </c>
      <c r="D51" s="19" t="n">
        <v>45</v>
      </c>
      <c r="E51" s="33" t="n">
        <v>0.00370714132664274</v>
      </c>
      <c r="F51" s="33" t="n">
        <v>0.00377861251341149</v>
      </c>
      <c r="G51" s="33" t="n">
        <v>0.00382261601293341</v>
      </c>
      <c r="H51" s="33" t="n">
        <v>0.00424897951041845</v>
      </c>
      <c r="I51" s="33" t="n">
        <v>0.0133620909626849</v>
      </c>
      <c r="J51" s="33" t="n">
        <v>0.00423913021106325</v>
      </c>
      <c r="K51" s="33" t="n">
        <v>0.00527565121318908</v>
      </c>
      <c r="L51" s="33" t="n">
        <v>0.0075938933792328</v>
      </c>
      <c r="M51" s="33" t="n">
        <v>0.00474286856014369</v>
      </c>
      <c r="N51" s="33" t="n">
        <v>0.00597477023446676</v>
      </c>
      <c r="O51" s="33" t="n">
        <v>0.00464925346207072</v>
      </c>
      <c r="P51" s="33" t="n">
        <v>0.00558504186958977</v>
      </c>
      <c r="Q51" s="33" t="n">
        <v>0.00494709169654148</v>
      </c>
      <c r="R51" s="33" t="n">
        <v>0.00495929250736509</v>
      </c>
      <c r="S51" s="33" t="n">
        <v>0.00650922699559259</v>
      </c>
      <c r="T51" s="33" t="n">
        <v>0.00593895374491292</v>
      </c>
      <c r="U51" s="33" t="n">
        <v>0.00715512552571552</v>
      </c>
      <c r="V51" s="33" t="n">
        <v>0.00425036929127156</v>
      </c>
      <c r="W51" s="33" t="n">
        <v>0.0061561402267893</v>
      </c>
      <c r="X51" s="33" t="n">
        <v>0.00479911524820346</v>
      </c>
      <c r="Y51" s="33" t="n">
        <v>0.00474552801022683</v>
      </c>
      <c r="Z51" s="33" t="n">
        <v>0.00653600568962362</v>
      </c>
      <c r="AA51" s="33" t="n">
        <v>0.00408842754138914</v>
      </c>
      <c r="AB51" s="33" t="n">
        <v>0.00694508219108646</v>
      </c>
      <c r="AC51" s="33" t="n">
        <v>0.00534533454224284</v>
      </c>
      <c r="AD51" s="33" t="n">
        <v>0.00610984505476752</v>
      </c>
      <c r="AE51" s="33" t="n">
        <v>0.00544285142853438</v>
      </c>
      <c r="AF51" s="33" t="n">
        <v>0.00451728450107245</v>
      </c>
      <c r="AG51" s="33" t="n">
        <v>0.00579936489425635</v>
      </c>
      <c r="AH51" s="33" t="n">
        <v>0.00405610493382765</v>
      </c>
      <c r="AI51" s="33" t="n">
        <v>0.00595723484655479</v>
      </c>
      <c r="AJ51" s="33" t="n">
        <v>0.0066087318727933</v>
      </c>
      <c r="AK51" s="33" t="n">
        <v>0.00381197990967065</v>
      </c>
      <c r="AL51" s="33" t="n">
        <v>0.0038345772093232</v>
      </c>
      <c r="AM51" s="33" t="n">
        <v>0.00330115377771838</v>
      </c>
      <c r="AN51" s="33" t="n">
        <v>0.00507531516153619</v>
      </c>
      <c r="AO51" s="33" t="n">
        <v>0.00365239352577511</v>
      </c>
      <c r="AP51" s="33" t="n">
        <v>0.00468736841110051</v>
      </c>
      <c r="AQ51" s="33" t="n">
        <v>0.00421263799550617</v>
      </c>
      <c r="AR51" s="33" t="n">
        <v>0.00464603745812756</v>
      </c>
      <c r="AS51" s="33" t="n">
        <v>0.00412293699699511</v>
      </c>
      <c r="AT51" s="33" t="n">
        <v>0.00621846579429551</v>
      </c>
      <c r="AU51" s="33" t="n">
        <v>0.00466333802975285</v>
      </c>
      <c r="AV51" s="33" t="n">
        <v>0.00598219146625314</v>
      </c>
      <c r="AW51" s="33" t="n">
        <v>1.00392779167209</v>
      </c>
      <c r="AX51" s="33" t="n">
        <v>0.00674945771051322</v>
      </c>
      <c r="AY51" s="33" t="n">
        <v>0.00496653076463018</v>
      </c>
      <c r="AZ51" s="33" t="n">
        <v>0.00391643119579398</v>
      </c>
      <c r="BA51" s="33" t="n">
        <v>0.00652376165280094</v>
      </c>
      <c r="BB51" s="33" t="n">
        <v>0.00729268157709633</v>
      </c>
      <c r="BC51" s="33" t="n">
        <v>0.00670186843228843</v>
      </c>
      <c r="BD51" s="33" t="n">
        <v>0.00610468637785991</v>
      </c>
      <c r="BE51" s="33" t="n">
        <v>0.00535050805090242</v>
      </c>
      <c r="BF51" s="33" t="n">
        <v>0.003790993068683</v>
      </c>
      <c r="BG51" s="33" t="n">
        <v>0.00600769477822537</v>
      </c>
      <c r="BH51" s="33" t="n">
        <v>0.00577454404396235</v>
      </c>
      <c r="BI51" s="33" t="n">
        <v>0.00749171589202715</v>
      </c>
      <c r="BJ51" s="33" t="n">
        <v>0.00462454666224666</v>
      </c>
      <c r="BK51" s="33" t="n">
        <v>0.00465887708022855</v>
      </c>
      <c r="BL51" s="33" t="n">
        <v>0.00432106722623804</v>
      </c>
      <c r="BM51" s="33" t="n">
        <v>0.0047100786696016</v>
      </c>
      <c r="BN51" s="33" t="n">
        <v>0.00416615301847152</v>
      </c>
      <c r="BO51" s="33" t="n">
        <v>0.0108559947368225</v>
      </c>
      <c r="BP51" s="33" t="n">
        <v>0.00544191782884196</v>
      </c>
      <c r="BQ51" s="33" t="n">
        <v>0.00365017117679104</v>
      </c>
      <c r="BR51" s="33" t="n">
        <v>0.00515879949717422</v>
      </c>
      <c r="BS51" s="33" t="n">
        <v>0.0254973433517013</v>
      </c>
      <c r="BT51" s="33" t="n">
        <v>0.00368670735848944</v>
      </c>
      <c r="BU51" s="33" t="n">
        <v>0.00368670735848944</v>
      </c>
    </row>
    <row r="52" customFormat="false" ht="11.25" hidden="false" customHeight="true" outlineLevel="0" collapsed="false">
      <c r="B52" s="24" t="s">
        <v>155</v>
      </c>
      <c r="C52" s="25" t="s">
        <v>156</v>
      </c>
      <c r="D52" s="24" t="n">
        <v>46</v>
      </c>
      <c r="E52" s="34" t="n">
        <v>0.0321424240532632</v>
      </c>
      <c r="F52" s="34" t="n">
        <v>0.0300226236736129</v>
      </c>
      <c r="G52" s="34" t="n">
        <v>0.0367361561033937</v>
      </c>
      <c r="H52" s="34" t="n">
        <v>0.0337595133311668</v>
      </c>
      <c r="I52" s="34" t="n">
        <v>0.0564438392927652</v>
      </c>
      <c r="J52" s="34" t="n">
        <v>0.0574698241546793</v>
      </c>
      <c r="K52" s="34" t="n">
        <v>0.0655824515224955</v>
      </c>
      <c r="L52" s="34" t="n">
        <v>0.0727664824692766</v>
      </c>
      <c r="M52" s="34" t="n">
        <v>0.0778967130055473</v>
      </c>
      <c r="N52" s="34" t="n">
        <v>0.0600152758443491</v>
      </c>
      <c r="O52" s="34" t="n">
        <v>0.0649160543853105</v>
      </c>
      <c r="P52" s="34" t="n">
        <v>0.0418586195001531</v>
      </c>
      <c r="Q52" s="34" t="n">
        <v>0.0416837827258167</v>
      </c>
      <c r="R52" s="34" t="n">
        <v>0.0393151732077773</v>
      </c>
      <c r="S52" s="34" t="n">
        <v>0.0530671936925415</v>
      </c>
      <c r="T52" s="34" t="n">
        <v>0.0539221571769374</v>
      </c>
      <c r="U52" s="34" t="n">
        <v>0.0761932084063447</v>
      </c>
      <c r="V52" s="34" t="n">
        <v>0.0398657226436032</v>
      </c>
      <c r="W52" s="34" t="n">
        <v>0.0374469506607889</v>
      </c>
      <c r="X52" s="34" t="n">
        <v>0.0538514182941958</v>
      </c>
      <c r="Y52" s="34" t="n">
        <v>0.0388109725703327</v>
      </c>
      <c r="Z52" s="34" t="n">
        <v>0.0515201230490697</v>
      </c>
      <c r="AA52" s="34" t="n">
        <v>0.041932624716303</v>
      </c>
      <c r="AB52" s="34" t="n">
        <v>0.0580546017711983</v>
      </c>
      <c r="AC52" s="34" t="n">
        <v>0.0442907012886737</v>
      </c>
      <c r="AD52" s="34" t="n">
        <v>0.0483815294367188</v>
      </c>
      <c r="AE52" s="34" t="n">
        <v>0.0725925251959755</v>
      </c>
      <c r="AF52" s="34" t="n">
        <v>0.0391966860907388</v>
      </c>
      <c r="AG52" s="34" t="n">
        <v>0.0610091541969618</v>
      </c>
      <c r="AH52" s="34" t="n">
        <v>0.0310211379136002</v>
      </c>
      <c r="AI52" s="34" t="n">
        <v>0.05467437662058</v>
      </c>
      <c r="AJ52" s="34" t="n">
        <v>0.0536509247876546</v>
      </c>
      <c r="AK52" s="34" t="n">
        <v>0.0497020895381663</v>
      </c>
      <c r="AL52" s="34" t="n">
        <v>0.0376078335984208</v>
      </c>
      <c r="AM52" s="34" t="n">
        <v>0.0315666555736188</v>
      </c>
      <c r="AN52" s="34" t="n">
        <v>0.044748353579436</v>
      </c>
      <c r="AO52" s="34" t="n">
        <v>0.029171910373776</v>
      </c>
      <c r="AP52" s="34" t="n">
        <v>0.0287385514412697</v>
      </c>
      <c r="AQ52" s="34" t="n">
        <v>0.0279181304206694</v>
      </c>
      <c r="AR52" s="34" t="n">
        <v>0.0313333033571508</v>
      </c>
      <c r="AS52" s="34" t="n">
        <v>0.0312628881474502</v>
      </c>
      <c r="AT52" s="34" t="n">
        <v>0.0530438091687837</v>
      </c>
      <c r="AU52" s="34" t="n">
        <v>0.0590516359767888</v>
      </c>
      <c r="AV52" s="34" t="n">
        <v>0.163975600220668</v>
      </c>
      <c r="AW52" s="34" t="n">
        <v>0.173025844336411</v>
      </c>
      <c r="AX52" s="34" t="n">
        <v>1.07167704482688</v>
      </c>
      <c r="AY52" s="34" t="n">
        <v>0.0310448121218377</v>
      </c>
      <c r="AZ52" s="34" t="n">
        <v>0.0343849619454954</v>
      </c>
      <c r="BA52" s="34" t="n">
        <v>0.0511394862523673</v>
      </c>
      <c r="BB52" s="34" t="n">
        <v>0.042564279428978</v>
      </c>
      <c r="BC52" s="34" t="n">
        <v>0.0471945486614544</v>
      </c>
      <c r="BD52" s="34" t="n">
        <v>0.0299300151219144</v>
      </c>
      <c r="BE52" s="34" t="n">
        <v>0.0330237444497889</v>
      </c>
      <c r="BF52" s="34" t="n">
        <v>0.0268606351266992</v>
      </c>
      <c r="BG52" s="34" t="n">
        <v>0.0325260567288132</v>
      </c>
      <c r="BH52" s="34" t="n">
        <v>0.0309736516727905</v>
      </c>
      <c r="BI52" s="34" t="n">
        <v>0.0355174360968344</v>
      </c>
      <c r="BJ52" s="34" t="n">
        <v>0.0320989581555022</v>
      </c>
      <c r="BK52" s="34" t="n">
        <v>0.0318075225628301</v>
      </c>
      <c r="BL52" s="34" t="n">
        <v>0.0301440056929937</v>
      </c>
      <c r="BM52" s="34" t="n">
        <v>0.0313815568900838</v>
      </c>
      <c r="BN52" s="34" t="n">
        <v>0.0276843668730955</v>
      </c>
      <c r="BO52" s="34" t="n">
        <v>0.0325054050705918</v>
      </c>
      <c r="BP52" s="34" t="n">
        <v>0.0295808499579849</v>
      </c>
      <c r="BQ52" s="34" t="n">
        <v>0.0265965908527322</v>
      </c>
      <c r="BR52" s="34" t="n">
        <v>0.0300524203845248</v>
      </c>
      <c r="BS52" s="34" t="n">
        <v>0.0405840998047691</v>
      </c>
      <c r="BT52" s="34" t="n">
        <v>0.0262342900349291</v>
      </c>
      <c r="BU52" s="34" t="n">
        <v>0.0262342900349291</v>
      </c>
    </row>
    <row r="53" customFormat="false" ht="11.25" hidden="false" customHeight="true" outlineLevel="0" collapsed="false">
      <c r="B53" s="19" t="s">
        <v>157</v>
      </c>
      <c r="C53" s="20" t="s">
        <v>158</v>
      </c>
      <c r="D53" s="19" t="n">
        <v>47</v>
      </c>
      <c r="E53" s="33" t="n">
        <v>0.00304258570742204</v>
      </c>
      <c r="F53" s="33" t="n">
        <v>0.0031870922172026</v>
      </c>
      <c r="G53" s="33" t="n">
        <v>0.00325805737094008</v>
      </c>
      <c r="H53" s="33" t="n">
        <v>0.00370029367697116</v>
      </c>
      <c r="I53" s="33" t="n">
        <v>0.00432244331092069</v>
      </c>
      <c r="J53" s="33" t="n">
        <v>0.00398004034724471</v>
      </c>
      <c r="K53" s="33" t="n">
        <v>0.00418219754826736</v>
      </c>
      <c r="L53" s="33" t="n">
        <v>0.00684215137498875</v>
      </c>
      <c r="M53" s="33" t="n">
        <v>0.00420690433263729</v>
      </c>
      <c r="N53" s="33" t="n">
        <v>0.0053204780646092</v>
      </c>
      <c r="O53" s="33" t="n">
        <v>0.00408569173496565</v>
      </c>
      <c r="P53" s="33" t="n">
        <v>0.00533089964003056</v>
      </c>
      <c r="Q53" s="33" t="n">
        <v>0.00427310953607708</v>
      </c>
      <c r="R53" s="33" t="n">
        <v>0.00432715558650538</v>
      </c>
      <c r="S53" s="33" t="n">
        <v>0.0056182003821339</v>
      </c>
      <c r="T53" s="33" t="n">
        <v>0.00467313042803625</v>
      </c>
      <c r="U53" s="33" t="n">
        <v>0.00623079501988799</v>
      </c>
      <c r="V53" s="33" t="n">
        <v>0.00370167876319183</v>
      </c>
      <c r="W53" s="33" t="n">
        <v>0.00304991240712192</v>
      </c>
      <c r="X53" s="33" t="n">
        <v>0.00418786562942185</v>
      </c>
      <c r="Y53" s="33" t="n">
        <v>0.00361320245717591</v>
      </c>
      <c r="Z53" s="33" t="n">
        <v>0.00521889126489172</v>
      </c>
      <c r="AA53" s="33" t="n">
        <v>0.00373986860108661</v>
      </c>
      <c r="AB53" s="33" t="n">
        <v>0.00692781824147799</v>
      </c>
      <c r="AC53" s="33" t="n">
        <v>0.00488849948856627</v>
      </c>
      <c r="AD53" s="33" t="n">
        <v>0.00524565365754235</v>
      </c>
      <c r="AE53" s="33" t="n">
        <v>0.00530098841366182</v>
      </c>
      <c r="AF53" s="33" t="n">
        <v>0.00412748879949398</v>
      </c>
      <c r="AG53" s="33" t="n">
        <v>0.0059242672299781</v>
      </c>
      <c r="AH53" s="33" t="n">
        <v>0.00344031993059911</v>
      </c>
      <c r="AI53" s="33" t="n">
        <v>0.00534838301977154</v>
      </c>
      <c r="AJ53" s="33" t="n">
        <v>0.00664467899337188</v>
      </c>
      <c r="AK53" s="33" t="n">
        <v>0.00328623311464489</v>
      </c>
      <c r="AL53" s="33" t="n">
        <v>0.00355453017652427</v>
      </c>
      <c r="AM53" s="33" t="n">
        <v>0.00325345091908976</v>
      </c>
      <c r="AN53" s="33" t="n">
        <v>0.00502194992143975</v>
      </c>
      <c r="AO53" s="33" t="n">
        <v>0.00343354807723573</v>
      </c>
      <c r="AP53" s="33" t="n">
        <v>0.00349162327390681</v>
      </c>
      <c r="AQ53" s="33" t="n">
        <v>0.00339209440352805</v>
      </c>
      <c r="AR53" s="33" t="n">
        <v>0.00434587552999569</v>
      </c>
      <c r="AS53" s="33" t="n">
        <v>0.00421994314219995</v>
      </c>
      <c r="AT53" s="33" t="n">
        <v>0.00564770880614429</v>
      </c>
      <c r="AU53" s="33" t="n">
        <v>0.00361600925589394</v>
      </c>
      <c r="AV53" s="33" t="n">
        <v>0.00331589804040633</v>
      </c>
      <c r="AW53" s="33" t="n">
        <v>0.00368331122116958</v>
      </c>
      <c r="AX53" s="33" t="n">
        <v>0.00447584737928762</v>
      </c>
      <c r="AY53" s="33" t="n">
        <v>1.00339839233325</v>
      </c>
      <c r="AZ53" s="33" t="n">
        <v>0.0033747110348189</v>
      </c>
      <c r="BA53" s="33" t="n">
        <v>0.00711901603537129</v>
      </c>
      <c r="BB53" s="33" t="n">
        <v>0.00679645699208168</v>
      </c>
      <c r="BC53" s="33" t="n">
        <v>0.00583613815468126</v>
      </c>
      <c r="BD53" s="33" t="n">
        <v>0.00549206884763957</v>
      </c>
      <c r="BE53" s="33" t="n">
        <v>0.0041552181329638</v>
      </c>
      <c r="BF53" s="33" t="n">
        <v>0.00327029625576765</v>
      </c>
      <c r="BG53" s="33" t="n">
        <v>0.00442444217032743</v>
      </c>
      <c r="BH53" s="33" t="n">
        <v>0.00554533242594422</v>
      </c>
      <c r="BI53" s="33" t="n">
        <v>0.00540925732442322</v>
      </c>
      <c r="BJ53" s="33" t="n">
        <v>0.00477690755482258</v>
      </c>
      <c r="BK53" s="33" t="n">
        <v>0.00385611592226218</v>
      </c>
      <c r="BL53" s="33" t="n">
        <v>0.00400878896770898</v>
      </c>
      <c r="BM53" s="33" t="n">
        <v>0.00495347170467245</v>
      </c>
      <c r="BN53" s="33" t="n">
        <v>0.00362401966631225</v>
      </c>
      <c r="BO53" s="33" t="n">
        <v>0.00496218180546144</v>
      </c>
      <c r="BP53" s="33" t="n">
        <v>0.00482073309312318</v>
      </c>
      <c r="BQ53" s="33" t="n">
        <v>0.0032168473217502</v>
      </c>
      <c r="BR53" s="33" t="n">
        <v>0.00534982057335146</v>
      </c>
      <c r="BS53" s="33" t="n">
        <v>0.0263883988127373</v>
      </c>
      <c r="BT53" s="33" t="n">
        <v>0.00318851683873069</v>
      </c>
      <c r="BU53" s="33" t="n">
        <v>0.00318851683873069</v>
      </c>
    </row>
    <row r="54" customFormat="false" ht="11.25" hidden="false" customHeight="true" outlineLevel="0" collapsed="false">
      <c r="B54" s="24" t="s">
        <v>159</v>
      </c>
      <c r="C54" s="25" t="s">
        <v>160</v>
      </c>
      <c r="D54" s="24" t="n">
        <v>48</v>
      </c>
      <c r="E54" s="34" t="n">
        <v>0.053458688605803</v>
      </c>
      <c r="F54" s="34" t="n">
        <v>0.0552928530518981</v>
      </c>
      <c r="G54" s="34" t="n">
        <v>0.0611489117335131</v>
      </c>
      <c r="H54" s="34" t="n">
        <v>0.0564182834365793</v>
      </c>
      <c r="I54" s="34" t="n">
        <v>0.0532718970283228</v>
      </c>
      <c r="J54" s="34" t="n">
        <v>0.0590989237604168</v>
      </c>
      <c r="K54" s="34" t="n">
        <v>0.0562893895504412</v>
      </c>
      <c r="L54" s="34" t="n">
        <v>0.0887278330889347</v>
      </c>
      <c r="M54" s="34" t="n">
        <v>0.0630578788094772</v>
      </c>
      <c r="N54" s="34" t="n">
        <v>0.0716681184357527</v>
      </c>
      <c r="O54" s="34" t="n">
        <v>0.0563992691287766</v>
      </c>
      <c r="P54" s="34" t="n">
        <v>0.0644917229113994</v>
      </c>
      <c r="Q54" s="34" t="n">
        <v>0.0600885084725221</v>
      </c>
      <c r="R54" s="34" t="n">
        <v>0.0637519064968634</v>
      </c>
      <c r="S54" s="34" t="n">
        <v>0.0777426541857159</v>
      </c>
      <c r="T54" s="34" t="n">
        <v>0.0696270257125027</v>
      </c>
      <c r="U54" s="34" t="n">
        <v>0.0815984599007612</v>
      </c>
      <c r="V54" s="34" t="n">
        <v>0.0570010377149583</v>
      </c>
      <c r="W54" s="34" t="n">
        <v>0.0441058972829541</v>
      </c>
      <c r="X54" s="34" t="n">
        <v>0.0648130028813893</v>
      </c>
      <c r="Y54" s="34" t="n">
        <v>0.0464861877619399</v>
      </c>
      <c r="Z54" s="34" t="n">
        <v>0.0613211255436405</v>
      </c>
      <c r="AA54" s="34" t="n">
        <v>0.0499846623445245</v>
      </c>
      <c r="AB54" s="34" t="n">
        <v>0.085027455887282</v>
      </c>
      <c r="AC54" s="34" t="n">
        <v>0.0633793330046447</v>
      </c>
      <c r="AD54" s="34" t="n">
        <v>0.0698328229300047</v>
      </c>
      <c r="AE54" s="34" t="n">
        <v>0.0649042854467344</v>
      </c>
      <c r="AF54" s="34" t="n">
        <v>0.0573888470152381</v>
      </c>
      <c r="AG54" s="34" t="n">
        <v>0.0712780223793576</v>
      </c>
      <c r="AH54" s="34" t="n">
        <v>0.0380000397448071</v>
      </c>
      <c r="AI54" s="34" t="n">
        <v>0.0629793107559267</v>
      </c>
      <c r="AJ54" s="34" t="n">
        <v>0.0766186751967711</v>
      </c>
      <c r="AK54" s="34" t="n">
        <v>0.0423458677925317</v>
      </c>
      <c r="AL54" s="34" t="n">
        <v>0.046469532414708</v>
      </c>
      <c r="AM54" s="34" t="n">
        <v>0.0392559203538578</v>
      </c>
      <c r="AN54" s="34" t="n">
        <v>0.0660355565929953</v>
      </c>
      <c r="AO54" s="34" t="n">
        <v>0.0477700325116882</v>
      </c>
      <c r="AP54" s="34" t="n">
        <v>0.0553280839630723</v>
      </c>
      <c r="AQ54" s="34" t="n">
        <v>0.0590437342518058</v>
      </c>
      <c r="AR54" s="34" t="n">
        <v>0.0550938349576866</v>
      </c>
      <c r="AS54" s="34" t="n">
        <v>0.0565599444640241</v>
      </c>
      <c r="AT54" s="34" t="n">
        <v>0.0702042197120368</v>
      </c>
      <c r="AU54" s="34" t="n">
        <v>0.0561371752141622</v>
      </c>
      <c r="AV54" s="34" t="n">
        <v>0.0544820020053762</v>
      </c>
      <c r="AW54" s="34" t="n">
        <v>0.0568131224977782</v>
      </c>
      <c r="AX54" s="34" t="n">
        <v>0.0615777143645957</v>
      </c>
      <c r="AY54" s="34" t="n">
        <v>0.0663745502301574</v>
      </c>
      <c r="AZ54" s="34" t="n">
        <v>1.05558059048473</v>
      </c>
      <c r="BA54" s="34" t="n">
        <v>0.0823617941446902</v>
      </c>
      <c r="BB54" s="34" t="n">
        <v>0.0927477461327968</v>
      </c>
      <c r="BC54" s="34" t="n">
        <v>0.0834868082094324</v>
      </c>
      <c r="BD54" s="34" t="n">
        <v>0.0635732960310937</v>
      </c>
      <c r="BE54" s="34" t="n">
        <v>0.0663589388696749</v>
      </c>
      <c r="BF54" s="34" t="n">
        <v>0.0650738342808026</v>
      </c>
      <c r="BG54" s="34" t="n">
        <v>0.0715898415893648</v>
      </c>
      <c r="BH54" s="34" t="n">
        <v>0.0598621694385586</v>
      </c>
      <c r="BI54" s="34" t="n">
        <v>0.0710794783825598</v>
      </c>
      <c r="BJ54" s="34" t="n">
        <v>0.061058959537173</v>
      </c>
      <c r="BK54" s="34" t="n">
        <v>0.0671348791025358</v>
      </c>
      <c r="BL54" s="34" t="n">
        <v>0.0649769640948967</v>
      </c>
      <c r="BM54" s="34" t="n">
        <v>0.0732097817609071</v>
      </c>
      <c r="BN54" s="34" t="n">
        <v>0.0680740542526754</v>
      </c>
      <c r="BO54" s="34" t="n">
        <v>0.0647629671302635</v>
      </c>
      <c r="BP54" s="34" t="n">
        <v>0.0824893447150018</v>
      </c>
      <c r="BQ54" s="34" t="n">
        <v>0.0684986593996983</v>
      </c>
      <c r="BR54" s="34" t="n">
        <v>0.0625761880692033</v>
      </c>
      <c r="BS54" s="34" t="n">
        <v>0.117297773454499</v>
      </c>
      <c r="BT54" s="34" t="n">
        <v>0.0658207298408963</v>
      </c>
      <c r="BU54" s="34" t="n">
        <v>0.0658207298408963</v>
      </c>
    </row>
    <row r="55" customFormat="false" ht="11.25" hidden="false" customHeight="true" outlineLevel="0" collapsed="false">
      <c r="B55" s="19" t="s">
        <v>161</v>
      </c>
      <c r="C55" s="20" t="s">
        <v>162</v>
      </c>
      <c r="D55" s="19" t="n">
        <v>49</v>
      </c>
      <c r="E55" s="33" t="n">
        <v>0.0031896408346504</v>
      </c>
      <c r="F55" s="33" t="n">
        <v>0.00333097544111535</v>
      </c>
      <c r="G55" s="33" t="n">
        <v>0.00349995656107394</v>
      </c>
      <c r="H55" s="33" t="n">
        <v>0.00346440333480452</v>
      </c>
      <c r="I55" s="33" t="n">
        <v>0.00323859659876724</v>
      </c>
      <c r="J55" s="33" t="n">
        <v>0.00347937040442498</v>
      </c>
      <c r="K55" s="33" t="n">
        <v>0.00345287596305917</v>
      </c>
      <c r="L55" s="33" t="n">
        <v>0.00600380902563759</v>
      </c>
      <c r="M55" s="33" t="n">
        <v>0.00398363574558583</v>
      </c>
      <c r="N55" s="33" t="n">
        <v>0.00482686173789022</v>
      </c>
      <c r="O55" s="33" t="n">
        <v>0.00500875465085352</v>
      </c>
      <c r="P55" s="33" t="n">
        <v>0.00446853368987295</v>
      </c>
      <c r="Q55" s="33" t="n">
        <v>0.00391417840696792</v>
      </c>
      <c r="R55" s="33" t="n">
        <v>0.00410811087001572</v>
      </c>
      <c r="S55" s="33" t="n">
        <v>0.0053916984525293</v>
      </c>
      <c r="T55" s="33" t="n">
        <v>0.00438334091299086</v>
      </c>
      <c r="U55" s="33" t="n">
        <v>0.00551460809581714</v>
      </c>
      <c r="V55" s="33" t="n">
        <v>0.00456814897807023</v>
      </c>
      <c r="W55" s="33" t="n">
        <v>0.00270804385766234</v>
      </c>
      <c r="X55" s="33" t="n">
        <v>0.00404458449850804</v>
      </c>
      <c r="Y55" s="33" t="n">
        <v>0.00380315023742465</v>
      </c>
      <c r="Z55" s="33" t="n">
        <v>0.00417238064076585</v>
      </c>
      <c r="AA55" s="33" t="n">
        <v>0.00374354461916622</v>
      </c>
      <c r="AB55" s="33" t="n">
        <v>0.00574615767164598</v>
      </c>
      <c r="AC55" s="33" t="n">
        <v>0.00432042173965329</v>
      </c>
      <c r="AD55" s="33" t="n">
        <v>0.00454971356423462</v>
      </c>
      <c r="AE55" s="33" t="n">
        <v>0.004167822208082</v>
      </c>
      <c r="AF55" s="33" t="n">
        <v>0.00353914701047601</v>
      </c>
      <c r="AG55" s="33" t="n">
        <v>0.00463798327477755</v>
      </c>
      <c r="AH55" s="33" t="n">
        <v>0.00280049534348668</v>
      </c>
      <c r="AI55" s="33" t="n">
        <v>0.0042510115887886</v>
      </c>
      <c r="AJ55" s="33" t="n">
        <v>0.00500992296629431</v>
      </c>
      <c r="AK55" s="33" t="n">
        <v>0.00302327127445983</v>
      </c>
      <c r="AL55" s="33" t="n">
        <v>0.0029171595223889</v>
      </c>
      <c r="AM55" s="33" t="n">
        <v>0.00257280156812508</v>
      </c>
      <c r="AN55" s="33" t="n">
        <v>0.00419571846089983</v>
      </c>
      <c r="AO55" s="33" t="n">
        <v>0.00300288439023816</v>
      </c>
      <c r="AP55" s="33" t="n">
        <v>0.00365333679434201</v>
      </c>
      <c r="AQ55" s="33" t="n">
        <v>0.00354427364072286</v>
      </c>
      <c r="AR55" s="33" t="n">
        <v>0.00333503139929964</v>
      </c>
      <c r="AS55" s="33" t="n">
        <v>0.00358150774301295</v>
      </c>
      <c r="AT55" s="33" t="n">
        <v>0.00487543233655306</v>
      </c>
      <c r="AU55" s="33" t="n">
        <v>0.00340054157669507</v>
      </c>
      <c r="AV55" s="33" t="n">
        <v>0.00331056452593099</v>
      </c>
      <c r="AW55" s="33" t="n">
        <v>0.00279602438072857</v>
      </c>
      <c r="AX55" s="33" t="n">
        <v>0.00385936925310467</v>
      </c>
      <c r="AY55" s="33" t="n">
        <v>0.00532592211643341</v>
      </c>
      <c r="AZ55" s="33" t="n">
        <v>0.00353606903658117</v>
      </c>
      <c r="BA55" s="33" t="n">
        <v>1.00808250413485</v>
      </c>
      <c r="BB55" s="33" t="n">
        <v>0.00594562956972505</v>
      </c>
      <c r="BC55" s="33" t="n">
        <v>0.00606221259702454</v>
      </c>
      <c r="BD55" s="33" t="n">
        <v>0.00404605355368172</v>
      </c>
      <c r="BE55" s="33" t="n">
        <v>0.00561787771005802</v>
      </c>
      <c r="BF55" s="33" t="n">
        <v>0.00371084347328699</v>
      </c>
      <c r="BG55" s="33" t="n">
        <v>0.00545690867800733</v>
      </c>
      <c r="BH55" s="33" t="n">
        <v>0.0052338560344401</v>
      </c>
      <c r="BI55" s="33" t="n">
        <v>0.0242125319287403</v>
      </c>
      <c r="BJ55" s="33" t="n">
        <v>0.00425240190480353</v>
      </c>
      <c r="BK55" s="33" t="n">
        <v>0.0039945569965748</v>
      </c>
      <c r="BL55" s="33" t="n">
        <v>0.00387184522014972</v>
      </c>
      <c r="BM55" s="33" t="n">
        <v>0.0046280564534781</v>
      </c>
      <c r="BN55" s="33" t="n">
        <v>0.00963916623991839</v>
      </c>
      <c r="BO55" s="33" t="n">
        <v>0.013675593052231</v>
      </c>
      <c r="BP55" s="33" t="n">
        <v>0.00371514330019588</v>
      </c>
      <c r="BQ55" s="33" t="n">
        <v>0.00360278282572368</v>
      </c>
      <c r="BR55" s="33" t="n">
        <v>0.0046697907523024</v>
      </c>
      <c r="BS55" s="33" t="n">
        <v>0.00451792078320595</v>
      </c>
      <c r="BT55" s="33" t="n">
        <v>0.0035756670346243</v>
      </c>
      <c r="BU55" s="33" t="n">
        <v>0.0035756670346243</v>
      </c>
    </row>
    <row r="56" customFormat="false" ht="11.25" hidden="false" customHeight="true" outlineLevel="0" collapsed="false">
      <c r="B56" s="24" t="s">
        <v>163</v>
      </c>
      <c r="C56" s="25" t="s">
        <v>164</v>
      </c>
      <c r="D56" s="24" t="n">
        <v>50</v>
      </c>
      <c r="E56" s="34" t="n">
        <v>0.00713029598030378</v>
      </c>
      <c r="F56" s="34" t="n">
        <v>0.00860482609328422</v>
      </c>
      <c r="G56" s="34" t="n">
        <v>0.00829563073423195</v>
      </c>
      <c r="H56" s="34" t="n">
        <v>0.00893978817527161</v>
      </c>
      <c r="I56" s="34" t="n">
        <v>0.00872453864142871</v>
      </c>
      <c r="J56" s="34" t="n">
        <v>0.00821369834322019</v>
      </c>
      <c r="K56" s="34" t="n">
        <v>0.00866110872281229</v>
      </c>
      <c r="L56" s="34" t="n">
        <v>0.0190752463660634</v>
      </c>
      <c r="M56" s="34" t="n">
        <v>0.0107431316969641</v>
      </c>
      <c r="N56" s="34" t="n">
        <v>0.0156959321249917</v>
      </c>
      <c r="O56" s="34" t="n">
        <v>0.0291065087240816</v>
      </c>
      <c r="P56" s="34" t="n">
        <v>0.0155756864314026</v>
      </c>
      <c r="Q56" s="34" t="n">
        <v>0.0106108518657969</v>
      </c>
      <c r="R56" s="34" t="n">
        <v>0.0122140653006444</v>
      </c>
      <c r="S56" s="34" t="n">
        <v>0.0188541125761008</v>
      </c>
      <c r="T56" s="34" t="n">
        <v>0.0116757992501117</v>
      </c>
      <c r="U56" s="34" t="n">
        <v>0.0165075670112489</v>
      </c>
      <c r="V56" s="34" t="n">
        <v>0.00951664522298053</v>
      </c>
      <c r="W56" s="34" t="n">
        <v>0.00709655414382324</v>
      </c>
      <c r="X56" s="34" t="n">
        <v>0.0105988484778862</v>
      </c>
      <c r="Y56" s="34" t="n">
        <v>0.00800286656453205</v>
      </c>
      <c r="Z56" s="34" t="n">
        <v>0.0127322956751175</v>
      </c>
      <c r="AA56" s="34" t="n">
        <v>0.0154358108820981</v>
      </c>
      <c r="AB56" s="34" t="n">
        <v>0.0216869402530977</v>
      </c>
      <c r="AC56" s="34" t="n">
        <v>0.0124335332681529</v>
      </c>
      <c r="AD56" s="34" t="n">
        <v>0.0129369705825308</v>
      </c>
      <c r="AE56" s="34" t="n">
        <v>0.0114279830590101</v>
      </c>
      <c r="AF56" s="34" t="n">
        <v>0.00903125968744896</v>
      </c>
      <c r="AG56" s="34" t="n">
        <v>0.0136726738119458</v>
      </c>
      <c r="AH56" s="34" t="n">
        <v>0.0109908505024909</v>
      </c>
      <c r="AI56" s="34" t="n">
        <v>0.0134227625034558</v>
      </c>
      <c r="AJ56" s="34" t="n">
        <v>0.0148168959053962</v>
      </c>
      <c r="AK56" s="34" t="n">
        <v>0.0132431503603486</v>
      </c>
      <c r="AL56" s="34" t="n">
        <v>0.00792696037688499</v>
      </c>
      <c r="AM56" s="34" t="n">
        <v>0.00811127400664237</v>
      </c>
      <c r="AN56" s="34" t="n">
        <v>0.0120214613525015</v>
      </c>
      <c r="AO56" s="34" t="n">
        <v>0.0076455593354117</v>
      </c>
      <c r="AP56" s="34" t="n">
        <v>0.0103081462972819</v>
      </c>
      <c r="AQ56" s="34" t="n">
        <v>0.00870998336363363</v>
      </c>
      <c r="AR56" s="34" t="n">
        <v>0.00873780291069322</v>
      </c>
      <c r="AS56" s="34" t="n">
        <v>0.0118581944199866</v>
      </c>
      <c r="AT56" s="34" t="n">
        <v>0.015303345326981</v>
      </c>
      <c r="AU56" s="34" t="n">
        <v>0.00870096305473782</v>
      </c>
      <c r="AV56" s="34" t="n">
        <v>0.00848231635614335</v>
      </c>
      <c r="AW56" s="34" t="n">
        <v>0.00828863094819851</v>
      </c>
      <c r="AX56" s="34" t="n">
        <v>0.0114297880458019</v>
      </c>
      <c r="AY56" s="34" t="n">
        <v>0.0122200733210796</v>
      </c>
      <c r="AZ56" s="34" t="n">
        <v>0.0111429100506657</v>
      </c>
      <c r="BA56" s="34" t="n">
        <v>0.0249857749286904</v>
      </c>
      <c r="BB56" s="34" t="n">
        <v>1.16332111466712</v>
      </c>
      <c r="BC56" s="34" t="n">
        <v>0.050636236709357</v>
      </c>
      <c r="BD56" s="34" t="n">
        <v>0.0129249617594391</v>
      </c>
      <c r="BE56" s="34" t="n">
        <v>0.0129988859422904</v>
      </c>
      <c r="BF56" s="34" t="n">
        <v>0.00794065457381312</v>
      </c>
      <c r="BG56" s="34" t="n">
        <v>0.0148674739223758</v>
      </c>
      <c r="BH56" s="34" t="n">
        <v>0.0102665085987323</v>
      </c>
      <c r="BI56" s="34" t="n">
        <v>0.28742886099507</v>
      </c>
      <c r="BJ56" s="34" t="n">
        <v>0.0136195522129773</v>
      </c>
      <c r="BK56" s="34" t="n">
        <v>0.0105318747960413</v>
      </c>
      <c r="BL56" s="34" t="n">
        <v>0.00996666558358603</v>
      </c>
      <c r="BM56" s="34" t="n">
        <v>0.00925258158983252</v>
      </c>
      <c r="BN56" s="34" t="n">
        <v>0.00816766905456508</v>
      </c>
      <c r="BO56" s="34" t="n">
        <v>0.0145222359250134</v>
      </c>
      <c r="BP56" s="34" t="n">
        <v>0.0095136693506681</v>
      </c>
      <c r="BQ56" s="34" t="n">
        <v>0.00763707768338671</v>
      </c>
      <c r="BR56" s="34" t="n">
        <v>0.0233216369278345</v>
      </c>
      <c r="BS56" s="34" t="n">
        <v>0.0118228955130695</v>
      </c>
      <c r="BT56" s="34" t="n">
        <v>0.00729156834596918</v>
      </c>
      <c r="BU56" s="34" t="n">
        <v>0.00729156834596918</v>
      </c>
    </row>
    <row r="57" customFormat="false" ht="11.25" hidden="false" customHeight="true" outlineLevel="0" collapsed="false">
      <c r="B57" s="19" t="s">
        <v>165</v>
      </c>
      <c r="C57" s="20" t="s">
        <v>166</v>
      </c>
      <c r="D57" s="19" t="n">
        <v>51</v>
      </c>
      <c r="E57" s="33" t="n">
        <v>0.0376657444574106</v>
      </c>
      <c r="F57" s="33" t="n">
        <v>0.0394450414492395</v>
      </c>
      <c r="G57" s="33" t="n">
        <v>0.0422172158243345</v>
      </c>
      <c r="H57" s="33" t="n">
        <v>0.042094597670643</v>
      </c>
      <c r="I57" s="33" t="n">
        <v>0.0407180722177533</v>
      </c>
      <c r="J57" s="33" t="n">
        <v>0.042952214275967</v>
      </c>
      <c r="K57" s="33" t="n">
        <v>0.0425587370232691</v>
      </c>
      <c r="L57" s="33" t="n">
        <v>0.0711044243083729</v>
      </c>
      <c r="M57" s="33" t="n">
        <v>0.0491236292243298</v>
      </c>
      <c r="N57" s="33" t="n">
        <v>0.0582257576132852</v>
      </c>
      <c r="O57" s="33" t="n">
        <v>0.0481743426579336</v>
      </c>
      <c r="P57" s="33" t="n">
        <v>0.0497545103383846</v>
      </c>
      <c r="Q57" s="33" t="n">
        <v>0.0490447763088497</v>
      </c>
      <c r="R57" s="33" t="n">
        <v>0.0557206935607865</v>
      </c>
      <c r="S57" s="33" t="n">
        <v>0.0629730408051373</v>
      </c>
      <c r="T57" s="33" t="n">
        <v>0.0549040717327557</v>
      </c>
      <c r="U57" s="33" t="n">
        <v>0.0668778883958155</v>
      </c>
      <c r="V57" s="33" t="n">
        <v>0.0536895690898546</v>
      </c>
      <c r="W57" s="33" t="n">
        <v>0.0334636743050164</v>
      </c>
      <c r="X57" s="33" t="n">
        <v>0.0493118579145428</v>
      </c>
      <c r="Y57" s="33" t="n">
        <v>0.0364327890707888</v>
      </c>
      <c r="Z57" s="33" t="n">
        <v>0.0492256989140341</v>
      </c>
      <c r="AA57" s="33" t="n">
        <v>0.0387704996712622</v>
      </c>
      <c r="AB57" s="33" t="n">
        <v>0.0645838034878939</v>
      </c>
      <c r="AC57" s="33" t="n">
        <v>0.0509576358812301</v>
      </c>
      <c r="AD57" s="33" t="n">
        <v>0.0573869352793935</v>
      </c>
      <c r="AE57" s="33" t="n">
        <v>0.050340774396981</v>
      </c>
      <c r="AF57" s="33" t="n">
        <v>0.0428356469157449</v>
      </c>
      <c r="AG57" s="33" t="n">
        <v>0.0573577386989048</v>
      </c>
      <c r="AH57" s="33" t="n">
        <v>0.036586619391697</v>
      </c>
      <c r="AI57" s="33" t="n">
        <v>0.0535029993139093</v>
      </c>
      <c r="AJ57" s="33" t="n">
        <v>0.0616564931488906</v>
      </c>
      <c r="AK57" s="33" t="n">
        <v>0.0398957154722974</v>
      </c>
      <c r="AL57" s="33" t="n">
        <v>0.0459007479833828</v>
      </c>
      <c r="AM57" s="33" t="n">
        <v>0.0323062669231208</v>
      </c>
      <c r="AN57" s="33" t="n">
        <v>0.0542904921584203</v>
      </c>
      <c r="AO57" s="33" t="n">
        <v>0.035816793512868</v>
      </c>
      <c r="AP57" s="33" t="n">
        <v>0.039534148703235</v>
      </c>
      <c r="AQ57" s="33" t="n">
        <v>0.0434878574903265</v>
      </c>
      <c r="AR57" s="33" t="n">
        <v>0.0417206841262159</v>
      </c>
      <c r="AS57" s="33" t="n">
        <v>0.0464517738627776</v>
      </c>
      <c r="AT57" s="33" t="n">
        <v>0.0561673472821544</v>
      </c>
      <c r="AU57" s="33" t="n">
        <v>0.0433836514870241</v>
      </c>
      <c r="AV57" s="33" t="n">
        <v>0.0404459532769131</v>
      </c>
      <c r="AW57" s="33" t="n">
        <v>0.0338997702916735</v>
      </c>
      <c r="AX57" s="33" t="n">
        <v>0.0491816451904617</v>
      </c>
      <c r="AY57" s="33" t="n">
        <v>0.0498885090975687</v>
      </c>
      <c r="AZ57" s="33" t="n">
        <v>0.0431562313711104</v>
      </c>
      <c r="BA57" s="33" t="n">
        <v>0.0676947391557206</v>
      </c>
      <c r="BB57" s="33" t="n">
        <v>0.0647375066548456</v>
      </c>
      <c r="BC57" s="33" t="n">
        <v>1.1578999533503</v>
      </c>
      <c r="BD57" s="33" t="n">
        <v>0.0552352260114593</v>
      </c>
      <c r="BE57" s="33" t="n">
        <v>0.0556024350641945</v>
      </c>
      <c r="BF57" s="33" t="n">
        <v>0.044935495267982</v>
      </c>
      <c r="BG57" s="33" t="n">
        <v>0.0575706272011923</v>
      </c>
      <c r="BH57" s="33" t="n">
        <v>0.0474462386830678</v>
      </c>
      <c r="BI57" s="33" t="n">
        <v>0.0723928638085793</v>
      </c>
      <c r="BJ57" s="33" t="n">
        <v>0.0451169635685004</v>
      </c>
      <c r="BK57" s="33" t="n">
        <v>0.0506790984530114</v>
      </c>
      <c r="BL57" s="33" t="n">
        <v>0.0514925787494397</v>
      </c>
      <c r="BM57" s="33" t="n">
        <v>0.0484456707696781</v>
      </c>
      <c r="BN57" s="33" t="n">
        <v>0.0458324872805847</v>
      </c>
      <c r="BO57" s="33" t="n">
        <v>0.0537176603580845</v>
      </c>
      <c r="BP57" s="33" t="n">
        <v>0.0432999916571376</v>
      </c>
      <c r="BQ57" s="33" t="n">
        <v>0.0428427496356151</v>
      </c>
      <c r="BR57" s="33" t="n">
        <v>0.0502095198592041</v>
      </c>
      <c r="BS57" s="33" t="n">
        <v>0.0514223362625609</v>
      </c>
      <c r="BT57" s="33" t="n">
        <v>0.0440544422787374</v>
      </c>
      <c r="BU57" s="33" t="n">
        <v>0.0440544422787374</v>
      </c>
    </row>
    <row r="58" customFormat="false" ht="11.25" hidden="false" customHeight="true" outlineLevel="0" collapsed="false">
      <c r="B58" s="24" t="s">
        <v>167</v>
      </c>
      <c r="C58" s="25" t="s">
        <v>168</v>
      </c>
      <c r="D58" s="24" t="n">
        <v>52</v>
      </c>
      <c r="E58" s="34" t="n">
        <v>0.0181960116993158</v>
      </c>
      <c r="F58" s="34" t="n">
        <v>0.0197416495810432</v>
      </c>
      <c r="G58" s="34" t="n">
        <v>0.0188015170707071</v>
      </c>
      <c r="H58" s="34" t="n">
        <v>0.0220403376676965</v>
      </c>
      <c r="I58" s="34" t="n">
        <v>0.0209728356897997</v>
      </c>
      <c r="J58" s="34" t="n">
        <v>0.0237667328563865</v>
      </c>
      <c r="K58" s="34" t="n">
        <v>0.0248936828903316</v>
      </c>
      <c r="L58" s="34" t="n">
        <v>0.0451007337744411</v>
      </c>
      <c r="M58" s="34" t="n">
        <v>0.0261202003994034</v>
      </c>
      <c r="N58" s="34" t="n">
        <v>0.0368522269006679</v>
      </c>
      <c r="O58" s="34" t="n">
        <v>0.0334150810872947</v>
      </c>
      <c r="P58" s="34" t="n">
        <v>0.0333086032114214</v>
      </c>
      <c r="Q58" s="34" t="n">
        <v>0.0272742164313905</v>
      </c>
      <c r="R58" s="34" t="n">
        <v>0.0279624319590595</v>
      </c>
      <c r="S58" s="34" t="n">
        <v>0.0376385961378204</v>
      </c>
      <c r="T58" s="34" t="n">
        <v>0.0295214525621284</v>
      </c>
      <c r="U58" s="34" t="n">
        <v>0.0419015628202232</v>
      </c>
      <c r="V58" s="34" t="n">
        <v>0.0218379144841991</v>
      </c>
      <c r="W58" s="34" t="n">
        <v>0.0173792805309356</v>
      </c>
      <c r="X58" s="34" t="n">
        <v>0.0260171487055042</v>
      </c>
      <c r="Y58" s="34" t="n">
        <v>0.0237415701690998</v>
      </c>
      <c r="Z58" s="34" t="n">
        <v>0.0330622659968968</v>
      </c>
      <c r="AA58" s="34" t="n">
        <v>0.0253039377633015</v>
      </c>
      <c r="AB58" s="34" t="n">
        <v>0.0457398893852519</v>
      </c>
      <c r="AC58" s="34" t="n">
        <v>0.031273705534812</v>
      </c>
      <c r="AD58" s="34" t="n">
        <v>0.0326111205878499</v>
      </c>
      <c r="AE58" s="34" t="n">
        <v>0.0313624527586781</v>
      </c>
      <c r="AF58" s="34" t="n">
        <v>0.0242304299389216</v>
      </c>
      <c r="AG58" s="34" t="n">
        <v>0.0338189486566216</v>
      </c>
      <c r="AH58" s="34" t="n">
        <v>0.0219904402690175</v>
      </c>
      <c r="AI58" s="34" t="n">
        <v>0.035247035019985</v>
      </c>
      <c r="AJ58" s="34" t="n">
        <v>0.0374817804444991</v>
      </c>
      <c r="AK58" s="34" t="n">
        <v>0.0262720923756023</v>
      </c>
      <c r="AL58" s="34" t="n">
        <v>0.0205932944260453</v>
      </c>
      <c r="AM58" s="34" t="n">
        <v>0.0188885632830473</v>
      </c>
      <c r="AN58" s="34" t="n">
        <v>0.0293524629515693</v>
      </c>
      <c r="AO58" s="34" t="n">
        <v>0.0196558081172513</v>
      </c>
      <c r="AP58" s="34" t="n">
        <v>0.0257082093617622</v>
      </c>
      <c r="AQ58" s="34" t="n">
        <v>0.0267198418304313</v>
      </c>
      <c r="AR58" s="34" t="n">
        <v>0.0211141662138945</v>
      </c>
      <c r="AS58" s="34" t="n">
        <v>0.0239426936057202</v>
      </c>
      <c r="AT58" s="34" t="n">
        <v>0.0383876785429158</v>
      </c>
      <c r="AU58" s="34" t="n">
        <v>0.0238603336209209</v>
      </c>
      <c r="AV58" s="34" t="n">
        <v>0.0208285451796112</v>
      </c>
      <c r="AW58" s="34" t="n">
        <v>0.0432157671153113</v>
      </c>
      <c r="AX58" s="34" t="n">
        <v>0.0356569419546569</v>
      </c>
      <c r="AY58" s="34" t="n">
        <v>0.0252489150711285</v>
      </c>
      <c r="AZ58" s="34" t="n">
        <v>0.0219954112828575</v>
      </c>
      <c r="BA58" s="34" t="n">
        <v>0.0690844394898832</v>
      </c>
      <c r="BB58" s="34" t="n">
        <v>0.0746390958987026</v>
      </c>
      <c r="BC58" s="34" t="n">
        <v>0.0583247381951989</v>
      </c>
      <c r="BD58" s="34" t="n">
        <v>1.10432025727563</v>
      </c>
      <c r="BE58" s="34" t="n">
        <v>0.0562090966913727</v>
      </c>
      <c r="BF58" s="34" t="n">
        <v>0.0196621329346186</v>
      </c>
      <c r="BG58" s="34" t="n">
        <v>0.0406467441594261</v>
      </c>
      <c r="BH58" s="34" t="n">
        <v>0.0224583164060742</v>
      </c>
      <c r="BI58" s="34" t="n">
        <v>0.151268981591083</v>
      </c>
      <c r="BJ58" s="34" t="n">
        <v>0.0310796412846594</v>
      </c>
      <c r="BK58" s="34" t="n">
        <v>0.0267652693166013</v>
      </c>
      <c r="BL58" s="34" t="n">
        <v>0.0277915073731658</v>
      </c>
      <c r="BM58" s="34" t="n">
        <v>0.0403033498155614</v>
      </c>
      <c r="BN58" s="34" t="n">
        <v>0.0231015567640451</v>
      </c>
      <c r="BO58" s="34" t="n">
        <v>0.0271552039606892</v>
      </c>
      <c r="BP58" s="34" t="n">
        <v>0.030267747229921</v>
      </c>
      <c r="BQ58" s="34" t="n">
        <v>0.0183934057709773</v>
      </c>
      <c r="BR58" s="34" t="n">
        <v>0.0312671756075781</v>
      </c>
      <c r="BS58" s="34" t="n">
        <v>0.0367161216138691</v>
      </c>
      <c r="BT58" s="34" t="n">
        <v>0.0173409271192653</v>
      </c>
      <c r="BU58" s="34" t="n">
        <v>0.0173409271192653</v>
      </c>
    </row>
    <row r="59" customFormat="false" ht="11.25" hidden="false" customHeight="true" outlineLevel="0" collapsed="false">
      <c r="B59" s="19" t="s">
        <v>169</v>
      </c>
      <c r="C59" s="20" t="s">
        <v>170</v>
      </c>
      <c r="D59" s="19" t="n">
        <v>53</v>
      </c>
      <c r="E59" s="33" t="n">
        <v>0.162113857658265</v>
      </c>
      <c r="F59" s="33" t="n">
        <v>0.16717169907512</v>
      </c>
      <c r="G59" s="33" t="n">
        <v>0.174554694327831</v>
      </c>
      <c r="H59" s="33" t="n">
        <v>0.195695740000613</v>
      </c>
      <c r="I59" s="33" t="n">
        <v>0.169802201678268</v>
      </c>
      <c r="J59" s="33" t="n">
        <v>0.170523275054959</v>
      </c>
      <c r="K59" s="33" t="n">
        <v>0.1896296057367</v>
      </c>
      <c r="L59" s="33" t="n">
        <v>0.289704848462538</v>
      </c>
      <c r="M59" s="33" t="n">
        <v>0.220801757598914</v>
      </c>
      <c r="N59" s="33" t="n">
        <v>0.234002146495042</v>
      </c>
      <c r="O59" s="33" t="n">
        <v>0.184176185788761</v>
      </c>
      <c r="P59" s="33" t="n">
        <v>0.212627677872759</v>
      </c>
      <c r="Q59" s="33" t="n">
        <v>0.196015129148554</v>
      </c>
      <c r="R59" s="33" t="n">
        <v>0.199654900166587</v>
      </c>
      <c r="S59" s="33" t="n">
        <v>0.249975842310613</v>
      </c>
      <c r="T59" s="33" t="n">
        <v>0.219872139220026</v>
      </c>
      <c r="U59" s="33" t="n">
        <v>0.271965807173585</v>
      </c>
      <c r="V59" s="33" t="n">
        <v>0.178264666214533</v>
      </c>
      <c r="W59" s="33" t="n">
        <v>0.143721608780251</v>
      </c>
      <c r="X59" s="33" t="n">
        <v>0.213181467751653</v>
      </c>
      <c r="Y59" s="33" t="n">
        <v>0.1646716686863</v>
      </c>
      <c r="Z59" s="33" t="n">
        <v>0.198377439262494</v>
      </c>
      <c r="AA59" s="33" t="n">
        <v>0.167697000301715</v>
      </c>
      <c r="AB59" s="33" t="n">
        <v>0.248820687626437</v>
      </c>
      <c r="AC59" s="33" t="n">
        <v>0.208538730077504</v>
      </c>
      <c r="AD59" s="33" t="n">
        <v>0.233409754919008</v>
      </c>
      <c r="AE59" s="33" t="n">
        <v>0.213592904986094</v>
      </c>
      <c r="AF59" s="33" t="n">
        <v>0.187244869349445</v>
      </c>
      <c r="AG59" s="33" t="n">
        <v>0.227104435500262</v>
      </c>
      <c r="AH59" s="33" t="n">
        <v>0.133370381554398</v>
      </c>
      <c r="AI59" s="33" t="n">
        <v>0.207277395226573</v>
      </c>
      <c r="AJ59" s="33" t="n">
        <v>0.24331646349689</v>
      </c>
      <c r="AK59" s="33" t="n">
        <v>0.142163778686901</v>
      </c>
      <c r="AL59" s="33" t="n">
        <v>0.149134800659721</v>
      </c>
      <c r="AM59" s="33" t="n">
        <v>0.132865424879725</v>
      </c>
      <c r="AN59" s="33" t="n">
        <v>0.203089622275913</v>
      </c>
      <c r="AO59" s="33" t="n">
        <v>0.141886215397682</v>
      </c>
      <c r="AP59" s="33" t="n">
        <v>0.182533919238421</v>
      </c>
      <c r="AQ59" s="33" t="n">
        <v>0.176077317545447</v>
      </c>
      <c r="AR59" s="33" t="n">
        <v>0.171027770665838</v>
      </c>
      <c r="AS59" s="33" t="n">
        <v>0.166764563092442</v>
      </c>
      <c r="AT59" s="33" t="n">
        <v>0.219479550853357</v>
      </c>
      <c r="AU59" s="33" t="n">
        <v>0.185329267783867</v>
      </c>
      <c r="AV59" s="33" t="n">
        <v>0.179070351234861</v>
      </c>
      <c r="AW59" s="33" t="n">
        <v>0.162437662308297</v>
      </c>
      <c r="AX59" s="33" t="n">
        <v>0.191193387868748</v>
      </c>
      <c r="AY59" s="33" t="n">
        <v>0.186443285961156</v>
      </c>
      <c r="AZ59" s="33" t="n">
        <v>0.168681166781586</v>
      </c>
      <c r="BA59" s="33" t="n">
        <v>0.260941518304972</v>
      </c>
      <c r="BB59" s="33" t="n">
        <v>0.243849751988896</v>
      </c>
      <c r="BC59" s="33" t="n">
        <v>0.287619446288643</v>
      </c>
      <c r="BD59" s="33" t="n">
        <v>0.185010468050747</v>
      </c>
      <c r="BE59" s="33" t="n">
        <v>1.32005136384918</v>
      </c>
      <c r="BF59" s="33" t="n">
        <v>0.202217155755872</v>
      </c>
      <c r="BG59" s="33" t="n">
        <v>0.194192423896456</v>
      </c>
      <c r="BH59" s="33" t="n">
        <v>0.179884808830913</v>
      </c>
      <c r="BI59" s="33" t="n">
        <v>0.194807349430025</v>
      </c>
      <c r="BJ59" s="33" t="n">
        <v>0.190559776681479</v>
      </c>
      <c r="BK59" s="33" t="n">
        <v>0.188404919457052</v>
      </c>
      <c r="BL59" s="33" t="n">
        <v>0.191738042619382</v>
      </c>
      <c r="BM59" s="33" t="n">
        <v>0.22665069594349</v>
      </c>
      <c r="BN59" s="33" t="n">
        <v>0.164474737093664</v>
      </c>
      <c r="BO59" s="33" t="n">
        <v>0.180052462318401</v>
      </c>
      <c r="BP59" s="33" t="n">
        <v>0.157635074860186</v>
      </c>
      <c r="BQ59" s="33" t="n">
        <v>0.167594961942383</v>
      </c>
      <c r="BR59" s="33" t="n">
        <v>0.190591638147689</v>
      </c>
      <c r="BS59" s="33" t="n">
        <v>0.171998743107555</v>
      </c>
      <c r="BT59" s="33" t="n">
        <v>0.163853961668257</v>
      </c>
      <c r="BU59" s="33" t="n">
        <v>0.163853961668257</v>
      </c>
    </row>
    <row r="60" customFormat="false" ht="11.25" hidden="false" customHeight="true" outlineLevel="0" collapsed="false">
      <c r="B60" s="24" t="s">
        <v>171</v>
      </c>
      <c r="C60" s="25" t="s">
        <v>172</v>
      </c>
      <c r="D60" s="24" t="n">
        <v>54</v>
      </c>
      <c r="E60" s="34" t="n">
        <v>0.168836613654962</v>
      </c>
      <c r="F60" s="34" t="n">
        <v>0.175600222323913</v>
      </c>
      <c r="G60" s="34" t="n">
        <v>0.191950550044859</v>
      </c>
      <c r="H60" s="34" t="n">
        <v>0.180383623329335</v>
      </c>
      <c r="I60" s="34" t="n">
        <v>0.167803535883074</v>
      </c>
      <c r="J60" s="34" t="n">
        <v>0.187863863936925</v>
      </c>
      <c r="K60" s="34" t="n">
        <v>0.180674809903771</v>
      </c>
      <c r="L60" s="34" t="n">
        <v>0.302046571902738</v>
      </c>
      <c r="M60" s="34" t="n">
        <v>0.206065495273456</v>
      </c>
      <c r="N60" s="34" t="n">
        <v>0.238281462536721</v>
      </c>
      <c r="O60" s="34" t="n">
        <v>0.182765290143196</v>
      </c>
      <c r="P60" s="34" t="n">
        <v>0.213796766860168</v>
      </c>
      <c r="Q60" s="34" t="n">
        <v>0.204469696987505</v>
      </c>
      <c r="R60" s="34" t="n">
        <v>0.216961240194749</v>
      </c>
      <c r="S60" s="34" t="n">
        <v>0.263107551105785</v>
      </c>
      <c r="T60" s="34" t="n">
        <v>0.229302022104839</v>
      </c>
      <c r="U60" s="34" t="n">
        <v>0.275781405364147</v>
      </c>
      <c r="V60" s="34" t="n">
        <v>0.183523214233219</v>
      </c>
      <c r="W60" s="34" t="n">
        <v>0.141626362476317</v>
      </c>
      <c r="X60" s="34" t="n">
        <v>0.212500051779572</v>
      </c>
      <c r="Y60" s="34" t="n">
        <v>0.151052292253264</v>
      </c>
      <c r="Z60" s="34" t="n">
        <v>0.201146209021793</v>
      </c>
      <c r="AA60" s="34" t="n">
        <v>0.165181356481887</v>
      </c>
      <c r="AB60" s="34" t="n">
        <v>0.271893658672199</v>
      </c>
      <c r="AC60" s="34" t="n">
        <v>0.214018788164629</v>
      </c>
      <c r="AD60" s="34" t="n">
        <v>0.232890832054108</v>
      </c>
      <c r="AE60" s="34" t="n">
        <v>0.215718151741855</v>
      </c>
      <c r="AF60" s="34" t="n">
        <v>0.183742683134631</v>
      </c>
      <c r="AG60" s="34" t="n">
        <v>0.238335230110887</v>
      </c>
      <c r="AH60" s="34" t="n">
        <v>0.127444444118478</v>
      </c>
      <c r="AI60" s="34" t="n">
        <v>0.211454973716829</v>
      </c>
      <c r="AJ60" s="34" t="n">
        <v>0.257179943421146</v>
      </c>
      <c r="AK60" s="34" t="n">
        <v>0.13141210634012</v>
      </c>
      <c r="AL60" s="34" t="n">
        <v>0.150997568353533</v>
      </c>
      <c r="AM60" s="34" t="n">
        <v>0.128708611949196</v>
      </c>
      <c r="AN60" s="34" t="n">
        <v>0.218774562316003</v>
      </c>
      <c r="AO60" s="34" t="n">
        <v>0.152052922938798</v>
      </c>
      <c r="AP60" s="34" t="n">
        <v>0.173743339547836</v>
      </c>
      <c r="AQ60" s="34" t="n">
        <v>0.189746914177239</v>
      </c>
      <c r="AR60" s="34" t="n">
        <v>0.177857107431086</v>
      </c>
      <c r="AS60" s="34" t="n">
        <v>0.194869178164695</v>
      </c>
      <c r="AT60" s="34" t="n">
        <v>0.253565102852349</v>
      </c>
      <c r="AU60" s="34" t="n">
        <v>0.181770639282101</v>
      </c>
      <c r="AV60" s="34" t="n">
        <v>0.177149591422315</v>
      </c>
      <c r="AW60" s="34" t="n">
        <v>0.143363792511968</v>
      </c>
      <c r="AX60" s="34" t="n">
        <v>0.212902082809362</v>
      </c>
      <c r="AY60" s="34" t="n">
        <v>0.222857911668221</v>
      </c>
      <c r="AZ60" s="34" t="n">
        <v>0.197200083734428</v>
      </c>
      <c r="BA60" s="34" t="n">
        <v>0.280786117187437</v>
      </c>
      <c r="BB60" s="34" t="n">
        <v>0.263057321480852</v>
      </c>
      <c r="BC60" s="34" t="n">
        <v>0.279920677179723</v>
      </c>
      <c r="BD60" s="34" t="n">
        <v>0.210125279196098</v>
      </c>
      <c r="BE60" s="34" t="n">
        <v>0.204185178048576</v>
      </c>
      <c r="BF60" s="34" t="n">
        <v>1.20570448741972</v>
      </c>
      <c r="BG60" s="34" t="n">
        <v>0.228583326983141</v>
      </c>
      <c r="BH60" s="34" t="n">
        <v>0.199998034881042</v>
      </c>
      <c r="BI60" s="34" t="n">
        <v>0.221390382135482</v>
      </c>
      <c r="BJ60" s="34" t="n">
        <v>0.20968875473188</v>
      </c>
      <c r="BK60" s="34" t="n">
        <v>0.209866536341786</v>
      </c>
      <c r="BL60" s="34" t="n">
        <v>0.210345334353316</v>
      </c>
      <c r="BM60" s="34" t="n">
        <v>0.199466381888305</v>
      </c>
      <c r="BN60" s="34" t="n">
        <v>0.200354741179613</v>
      </c>
      <c r="BO60" s="34" t="n">
        <v>0.231139494158448</v>
      </c>
      <c r="BP60" s="34" t="n">
        <v>0.187402410055008</v>
      </c>
      <c r="BQ60" s="34" t="n">
        <v>0.186273508824274</v>
      </c>
      <c r="BR60" s="34" t="n">
        <v>0.28078464176666</v>
      </c>
      <c r="BS60" s="34" t="n">
        <v>0.203405006330599</v>
      </c>
      <c r="BT60" s="34" t="n">
        <v>0.2053591853974</v>
      </c>
      <c r="BU60" s="34" t="n">
        <v>0.2053591853974</v>
      </c>
    </row>
    <row r="61" customFormat="false" ht="11.25" hidden="false" customHeight="true" outlineLevel="0" collapsed="false">
      <c r="B61" s="19" t="s">
        <v>173</v>
      </c>
      <c r="C61" s="20" t="s">
        <v>174</v>
      </c>
      <c r="D61" s="19" t="n">
        <v>55</v>
      </c>
      <c r="E61" s="33" t="n">
        <v>0.0485973037116517</v>
      </c>
      <c r="F61" s="33" t="n">
        <v>0.0500091506135526</v>
      </c>
      <c r="G61" s="33" t="n">
        <v>0.0458375758435243</v>
      </c>
      <c r="H61" s="33" t="n">
        <v>0.0776983137570145</v>
      </c>
      <c r="I61" s="33" t="n">
        <v>0.0907241328486287</v>
      </c>
      <c r="J61" s="33" t="n">
        <v>0.0739159818987186</v>
      </c>
      <c r="K61" s="33" t="n">
        <v>0.0764217443091629</v>
      </c>
      <c r="L61" s="33" t="n">
        <v>0.113906798706338</v>
      </c>
      <c r="M61" s="33" t="n">
        <v>0.0735883324656036</v>
      </c>
      <c r="N61" s="33" t="n">
        <v>0.100398460416788</v>
      </c>
      <c r="O61" s="33" t="n">
        <v>0.0900561338972097</v>
      </c>
      <c r="P61" s="33" t="n">
        <v>0.109882290706486</v>
      </c>
      <c r="Q61" s="33" t="n">
        <v>0.0704413029504883</v>
      </c>
      <c r="R61" s="33" t="n">
        <v>0.0681324072117732</v>
      </c>
      <c r="S61" s="33" t="n">
        <v>0.0871606062877501</v>
      </c>
      <c r="T61" s="33" t="n">
        <v>0.0780247108293457</v>
      </c>
      <c r="U61" s="33" t="n">
        <v>0.113054985111165</v>
      </c>
      <c r="V61" s="33" t="n">
        <v>0.0575540165516657</v>
      </c>
      <c r="W61" s="33" t="n">
        <v>0.0736579128965863</v>
      </c>
      <c r="X61" s="33" t="n">
        <v>0.0742970768573256</v>
      </c>
      <c r="Y61" s="33" t="n">
        <v>0.0752014435214039</v>
      </c>
      <c r="Z61" s="33" t="n">
        <v>0.11733965796627</v>
      </c>
      <c r="AA61" s="33" t="n">
        <v>0.0895944929885835</v>
      </c>
      <c r="AB61" s="33" t="n">
        <v>0.138600346338066</v>
      </c>
      <c r="AC61" s="33" t="n">
        <v>0.0871165196438763</v>
      </c>
      <c r="AD61" s="33" t="n">
        <v>0.101247154210792</v>
      </c>
      <c r="AE61" s="33" t="n">
        <v>0.0841475598500453</v>
      </c>
      <c r="AF61" s="33" t="n">
        <v>0.0689703832611285</v>
      </c>
      <c r="AG61" s="33" t="n">
        <v>0.0851262705908591</v>
      </c>
      <c r="AH61" s="33" t="n">
        <v>0.069107117897488</v>
      </c>
      <c r="AI61" s="33" t="n">
        <v>0.0869230869417903</v>
      </c>
      <c r="AJ61" s="33" t="n">
        <v>0.101192340957218</v>
      </c>
      <c r="AK61" s="33" t="n">
        <v>0.0641545264056078</v>
      </c>
      <c r="AL61" s="33" t="n">
        <v>0.0594440138668862</v>
      </c>
      <c r="AM61" s="33" t="n">
        <v>0.0514998226194145</v>
      </c>
      <c r="AN61" s="33" t="n">
        <v>0.0701448391525249</v>
      </c>
      <c r="AO61" s="33" t="n">
        <v>0.0538428195970185</v>
      </c>
      <c r="AP61" s="33" t="n">
        <v>0.0480262753997378</v>
      </c>
      <c r="AQ61" s="33" t="n">
        <v>0.069584701321497</v>
      </c>
      <c r="AR61" s="33" t="n">
        <v>0.0597542082226394</v>
      </c>
      <c r="AS61" s="33" t="n">
        <v>0.087568718949031</v>
      </c>
      <c r="AT61" s="33" t="n">
        <v>0.087885555515556</v>
      </c>
      <c r="AU61" s="33" t="n">
        <v>0.0628381323247359</v>
      </c>
      <c r="AV61" s="33" t="n">
        <v>0.0574245417665815</v>
      </c>
      <c r="AW61" s="33" t="n">
        <v>0.0601858775911533</v>
      </c>
      <c r="AX61" s="33" t="n">
        <v>0.0699561222507177</v>
      </c>
      <c r="AY61" s="33" t="n">
        <v>0.0580385935609036</v>
      </c>
      <c r="AZ61" s="33" t="n">
        <v>0.0572749115189951</v>
      </c>
      <c r="BA61" s="33" t="n">
        <v>0.103121429795413</v>
      </c>
      <c r="BB61" s="33" t="n">
        <v>0.146839867315288</v>
      </c>
      <c r="BC61" s="33" t="n">
        <v>0.0986003585599691</v>
      </c>
      <c r="BD61" s="33" t="n">
        <v>0.072205056287141</v>
      </c>
      <c r="BE61" s="33" t="n">
        <v>0.0748885371093451</v>
      </c>
      <c r="BF61" s="33" t="n">
        <v>0.0476207156753891</v>
      </c>
      <c r="BG61" s="33" t="n">
        <v>1.13170264107335</v>
      </c>
      <c r="BH61" s="33" t="n">
        <v>0.125014777767966</v>
      </c>
      <c r="BI61" s="33" t="n">
        <v>0.0798608033956904</v>
      </c>
      <c r="BJ61" s="33" t="n">
        <v>0.0659602495521059</v>
      </c>
      <c r="BK61" s="33" t="n">
        <v>0.0667786485554855</v>
      </c>
      <c r="BL61" s="33" t="n">
        <v>0.0887324242531175</v>
      </c>
      <c r="BM61" s="33" t="n">
        <v>0.0529371582522144</v>
      </c>
      <c r="BN61" s="33" t="n">
        <v>0.0447015529805435</v>
      </c>
      <c r="BO61" s="33" t="n">
        <v>0.0683172897528389</v>
      </c>
      <c r="BP61" s="33" t="n">
        <v>0.0491998266041615</v>
      </c>
      <c r="BQ61" s="33" t="n">
        <v>0.05763033264019</v>
      </c>
      <c r="BR61" s="33" t="n">
        <v>0.0800677485776155</v>
      </c>
      <c r="BS61" s="33" t="n">
        <v>0.0737330560618511</v>
      </c>
      <c r="BT61" s="33" t="n">
        <v>0.0417025565455025</v>
      </c>
      <c r="BU61" s="33" t="n">
        <v>0.0417025565455025</v>
      </c>
    </row>
    <row r="62" customFormat="false" ht="11.25" hidden="false" customHeight="true" outlineLevel="0" collapsed="false">
      <c r="B62" s="24" t="s">
        <v>175</v>
      </c>
      <c r="C62" s="25" t="s">
        <v>176</v>
      </c>
      <c r="D62" s="24" t="n">
        <v>56</v>
      </c>
      <c r="E62" s="34" t="n">
        <v>0.00898644843671202</v>
      </c>
      <c r="F62" s="34" t="n">
        <v>0.00747929858338192</v>
      </c>
      <c r="G62" s="34" t="n">
        <v>0.00641451089561947</v>
      </c>
      <c r="H62" s="34" t="n">
        <v>0.010045693322194</v>
      </c>
      <c r="I62" s="34" t="n">
        <v>0.0158646060693156</v>
      </c>
      <c r="J62" s="34" t="n">
        <v>0.0131852640766192</v>
      </c>
      <c r="K62" s="34" t="n">
        <v>0.0179459701590877</v>
      </c>
      <c r="L62" s="34" t="n">
        <v>0.0167585506922494</v>
      </c>
      <c r="M62" s="34" t="n">
        <v>0.0162964250034123</v>
      </c>
      <c r="N62" s="34" t="n">
        <v>0.0143552196981384</v>
      </c>
      <c r="O62" s="34" t="n">
        <v>0.0117415389421865</v>
      </c>
      <c r="P62" s="34" t="n">
        <v>0.0163698477029194</v>
      </c>
      <c r="Q62" s="34" t="n">
        <v>0.0102182644595564</v>
      </c>
      <c r="R62" s="34" t="n">
        <v>0.0104614285460238</v>
      </c>
      <c r="S62" s="34" t="n">
        <v>0.0128202128344991</v>
      </c>
      <c r="T62" s="34" t="n">
        <v>0.0117072328285896</v>
      </c>
      <c r="U62" s="34" t="n">
        <v>0.0178363439686637</v>
      </c>
      <c r="V62" s="34" t="n">
        <v>0.00939391155323196</v>
      </c>
      <c r="W62" s="34" t="n">
        <v>0.00929888773311747</v>
      </c>
      <c r="X62" s="34" t="n">
        <v>0.0131047984771154</v>
      </c>
      <c r="Y62" s="34" t="n">
        <v>0.0126716793715052</v>
      </c>
      <c r="Z62" s="34" t="n">
        <v>0.016193302841184</v>
      </c>
      <c r="AA62" s="34" t="n">
        <v>0.0157510995054454</v>
      </c>
      <c r="AB62" s="34" t="n">
        <v>0.0223065948312116</v>
      </c>
      <c r="AC62" s="34" t="n">
        <v>0.0168585917323569</v>
      </c>
      <c r="AD62" s="34" t="n">
        <v>0.0160743575642366</v>
      </c>
      <c r="AE62" s="34" t="n">
        <v>0.0147390713067843</v>
      </c>
      <c r="AF62" s="34" t="n">
        <v>0.013653225352976</v>
      </c>
      <c r="AG62" s="34" t="n">
        <v>0.0153313392572072</v>
      </c>
      <c r="AH62" s="34" t="n">
        <v>0.0108996643858869</v>
      </c>
      <c r="AI62" s="34" t="n">
        <v>0.0145593135563527</v>
      </c>
      <c r="AJ62" s="34" t="n">
        <v>0.0232612785642741</v>
      </c>
      <c r="AK62" s="34" t="n">
        <v>0.017273951994962</v>
      </c>
      <c r="AL62" s="34" t="n">
        <v>0.0145486094336565</v>
      </c>
      <c r="AM62" s="34" t="n">
        <v>0.00897348363817106</v>
      </c>
      <c r="AN62" s="34" t="n">
        <v>0.0121306549545282</v>
      </c>
      <c r="AO62" s="34" t="n">
        <v>0.0100875128945832</v>
      </c>
      <c r="AP62" s="34" t="n">
        <v>0.0150799190959591</v>
      </c>
      <c r="AQ62" s="34" t="n">
        <v>0.0130397320208412</v>
      </c>
      <c r="AR62" s="34" t="n">
        <v>0.0125469047647451</v>
      </c>
      <c r="AS62" s="34" t="n">
        <v>0.00743822958040003</v>
      </c>
      <c r="AT62" s="34" t="n">
        <v>0.00967890505000076</v>
      </c>
      <c r="AU62" s="34" t="n">
        <v>0.00916525018920326</v>
      </c>
      <c r="AV62" s="34" t="n">
        <v>0.0112078915022112</v>
      </c>
      <c r="AW62" s="34" t="n">
        <v>0.0102785146979338</v>
      </c>
      <c r="AX62" s="34" t="n">
        <v>0.0402128811588592</v>
      </c>
      <c r="AY62" s="34" t="n">
        <v>0.00745871652636052</v>
      </c>
      <c r="AZ62" s="34" t="n">
        <v>0.00740912790269754</v>
      </c>
      <c r="BA62" s="34" t="n">
        <v>0.0101590152100682</v>
      </c>
      <c r="BB62" s="34" t="n">
        <v>0.00863895003366959</v>
      </c>
      <c r="BC62" s="34" t="n">
        <v>0.00942375693099146</v>
      </c>
      <c r="BD62" s="34" t="n">
        <v>0.00836287559149856</v>
      </c>
      <c r="BE62" s="34" t="n">
        <v>0.00679573516728927</v>
      </c>
      <c r="BF62" s="34" t="n">
        <v>0.00574871722882364</v>
      </c>
      <c r="BG62" s="34" t="n">
        <v>0.0065522373875798</v>
      </c>
      <c r="BH62" s="34" t="n">
        <v>1.04187225096208</v>
      </c>
      <c r="BI62" s="34" t="n">
        <v>0.0071463191363898</v>
      </c>
      <c r="BJ62" s="34" t="n">
        <v>0.00768373119997873</v>
      </c>
      <c r="BK62" s="34" t="n">
        <v>0.00700035553299028</v>
      </c>
      <c r="BL62" s="34" t="n">
        <v>0.00613558947292994</v>
      </c>
      <c r="BM62" s="34" t="n">
        <v>0.0115336795248962</v>
      </c>
      <c r="BN62" s="34" t="n">
        <v>0.00959653621781761</v>
      </c>
      <c r="BO62" s="34" t="n">
        <v>0.00719222325583223</v>
      </c>
      <c r="BP62" s="34" t="n">
        <v>0.0188688180276514</v>
      </c>
      <c r="BQ62" s="34" t="n">
        <v>0.00610845736965468</v>
      </c>
      <c r="BR62" s="34" t="n">
        <v>0.00687240119978079</v>
      </c>
      <c r="BS62" s="34" t="n">
        <v>0.0068370482675827</v>
      </c>
      <c r="BT62" s="34" t="n">
        <v>0.00556977186560256</v>
      </c>
      <c r="BU62" s="34" t="n">
        <v>0.00556977186560256</v>
      </c>
    </row>
    <row r="63" customFormat="false" ht="11.25" hidden="false" customHeight="true" outlineLevel="0" collapsed="false">
      <c r="B63" s="19" t="s">
        <v>177</v>
      </c>
      <c r="C63" s="20" t="s">
        <v>178</v>
      </c>
      <c r="D63" s="19" t="n">
        <v>57</v>
      </c>
      <c r="E63" s="33" t="n">
        <v>0.021471612903343</v>
      </c>
      <c r="F63" s="33" t="n">
        <v>0.0267479265589448</v>
      </c>
      <c r="G63" s="33" t="n">
        <v>0.0251848421855967</v>
      </c>
      <c r="H63" s="33" t="n">
        <v>0.0276714366048457</v>
      </c>
      <c r="I63" s="33" t="n">
        <v>0.027120331505448</v>
      </c>
      <c r="J63" s="33" t="n">
        <v>0.0248277919361536</v>
      </c>
      <c r="K63" s="33" t="n">
        <v>0.0265891460343529</v>
      </c>
      <c r="L63" s="33" t="n">
        <v>0.061634666362219</v>
      </c>
      <c r="M63" s="33" t="n">
        <v>0.0334986576100606</v>
      </c>
      <c r="N63" s="33" t="n">
        <v>0.0508115969289892</v>
      </c>
      <c r="O63" s="33" t="n">
        <v>0.102407818294162</v>
      </c>
      <c r="P63" s="33" t="n">
        <v>0.0514386107025505</v>
      </c>
      <c r="Q63" s="33" t="n">
        <v>0.0330396820868369</v>
      </c>
      <c r="R63" s="33" t="n">
        <v>0.0382235178188736</v>
      </c>
      <c r="S63" s="33" t="n">
        <v>0.0619402171224246</v>
      </c>
      <c r="T63" s="33" t="n">
        <v>0.0361981971186257</v>
      </c>
      <c r="U63" s="33" t="n">
        <v>0.0526567974819735</v>
      </c>
      <c r="V63" s="33" t="n">
        <v>0.0285474920128855</v>
      </c>
      <c r="W63" s="33" t="n">
        <v>0.021986760317068</v>
      </c>
      <c r="X63" s="33" t="n">
        <v>0.0328976729801295</v>
      </c>
      <c r="Y63" s="33" t="n">
        <v>0.0249837291003243</v>
      </c>
      <c r="Z63" s="33" t="n">
        <v>0.0409463462560309</v>
      </c>
      <c r="AA63" s="33" t="n">
        <v>0.0524474511910712</v>
      </c>
      <c r="AB63" s="33" t="n">
        <v>0.0723108986836157</v>
      </c>
      <c r="AC63" s="33" t="n">
        <v>0.0395691522078402</v>
      </c>
      <c r="AD63" s="33" t="n">
        <v>0.0406182094957942</v>
      </c>
      <c r="AE63" s="33" t="n">
        <v>0.0358663165654458</v>
      </c>
      <c r="AF63" s="33" t="n">
        <v>0.0279125187791198</v>
      </c>
      <c r="AG63" s="33" t="n">
        <v>0.0433416210718908</v>
      </c>
      <c r="AH63" s="33" t="n">
        <v>0.0362858490790562</v>
      </c>
      <c r="AI63" s="33" t="n">
        <v>0.0429918563467258</v>
      </c>
      <c r="AJ63" s="33" t="n">
        <v>0.047021959314591</v>
      </c>
      <c r="AK63" s="33" t="n">
        <v>0.0443219221948108</v>
      </c>
      <c r="AL63" s="33" t="n">
        <v>0.0236641596322896</v>
      </c>
      <c r="AM63" s="33" t="n">
        <v>0.0259828419391097</v>
      </c>
      <c r="AN63" s="33" t="n">
        <v>0.0376307280311768</v>
      </c>
      <c r="AO63" s="33" t="n">
        <v>0.0237059037921469</v>
      </c>
      <c r="AP63" s="33" t="n">
        <v>0.033128197588553</v>
      </c>
      <c r="AQ63" s="33" t="n">
        <v>0.0266266082643909</v>
      </c>
      <c r="AR63" s="33" t="n">
        <v>0.026988298895834</v>
      </c>
      <c r="AS63" s="33" t="n">
        <v>0.0381175903597085</v>
      </c>
      <c r="AT63" s="33" t="n">
        <v>0.0496137355793653</v>
      </c>
      <c r="AU63" s="33" t="n">
        <v>0.0266476331985841</v>
      </c>
      <c r="AV63" s="33" t="n">
        <v>0.0262018942156076</v>
      </c>
      <c r="AW63" s="33" t="n">
        <v>0.0263928985556414</v>
      </c>
      <c r="AX63" s="33" t="n">
        <v>0.0361009771999094</v>
      </c>
      <c r="AY63" s="33" t="n">
        <v>0.038407860833055</v>
      </c>
      <c r="AZ63" s="33" t="n">
        <v>0.0357928218664118</v>
      </c>
      <c r="BA63" s="33" t="n">
        <v>0.0820630848119318</v>
      </c>
      <c r="BB63" s="33" t="n">
        <v>0.0915628476835589</v>
      </c>
      <c r="BC63" s="33" t="n">
        <v>0.0599629214801068</v>
      </c>
      <c r="BD63" s="33" t="n">
        <v>0.0409588562115587</v>
      </c>
      <c r="BE63" s="33" t="n">
        <v>0.0412252830177991</v>
      </c>
      <c r="BF63" s="33" t="n">
        <v>0.0234838398434495</v>
      </c>
      <c r="BG63" s="33" t="n">
        <v>0.0479425395036574</v>
      </c>
      <c r="BH63" s="33" t="n">
        <v>0.031988342218216</v>
      </c>
      <c r="BI63" s="33" t="n">
        <v>1.06580362601718</v>
      </c>
      <c r="BJ63" s="33" t="n">
        <v>0.044754509319621</v>
      </c>
      <c r="BK63" s="33" t="n">
        <v>0.0319668177307144</v>
      </c>
      <c r="BL63" s="33" t="n">
        <v>0.0300625068675591</v>
      </c>
      <c r="BM63" s="33" t="n">
        <v>0.0280174133233768</v>
      </c>
      <c r="BN63" s="33" t="n">
        <v>0.0242269600633556</v>
      </c>
      <c r="BO63" s="33" t="n">
        <v>0.0470948996699517</v>
      </c>
      <c r="BP63" s="33" t="n">
        <v>0.029628251644352</v>
      </c>
      <c r="BQ63" s="33" t="n">
        <v>0.0227273758368976</v>
      </c>
      <c r="BR63" s="33" t="n">
        <v>0.0664440326628637</v>
      </c>
      <c r="BS63" s="33" t="n">
        <v>0.0373076911409731</v>
      </c>
      <c r="BT63" s="33" t="n">
        <v>0.0211416227584371</v>
      </c>
      <c r="BU63" s="33" t="n">
        <v>0.0211416227584371</v>
      </c>
    </row>
    <row r="64" customFormat="false" ht="11.25" hidden="false" customHeight="true" outlineLevel="0" collapsed="false">
      <c r="B64" s="24" t="s">
        <v>179</v>
      </c>
      <c r="C64" s="25" t="s">
        <v>180</v>
      </c>
      <c r="D64" s="24" t="n">
        <v>58</v>
      </c>
      <c r="E64" s="34" t="n">
        <v>0.0107416416192306</v>
      </c>
      <c r="F64" s="34" t="n">
        <v>0.0107340946993482</v>
      </c>
      <c r="G64" s="34" t="n">
        <v>0.0115233274790529</v>
      </c>
      <c r="H64" s="34" t="n">
        <v>0.0196161487911181</v>
      </c>
      <c r="I64" s="34" t="n">
        <v>0.0465056951879201</v>
      </c>
      <c r="J64" s="34" t="n">
        <v>0.0245993459994003</v>
      </c>
      <c r="K64" s="34" t="n">
        <v>0.0245655385150263</v>
      </c>
      <c r="L64" s="34" t="n">
        <v>0.0227951258855227</v>
      </c>
      <c r="M64" s="34" t="n">
        <v>0.0189277591394466</v>
      </c>
      <c r="N64" s="34" t="n">
        <v>0.0197376662505985</v>
      </c>
      <c r="O64" s="34" t="n">
        <v>0.0171388937038812</v>
      </c>
      <c r="P64" s="34" t="n">
        <v>0.0165589173067132</v>
      </c>
      <c r="Q64" s="34" t="n">
        <v>0.0145627671411003</v>
      </c>
      <c r="R64" s="34" t="n">
        <v>0.0146007943416596</v>
      </c>
      <c r="S64" s="34" t="n">
        <v>0.0189080893367231</v>
      </c>
      <c r="T64" s="34" t="n">
        <v>0.0197483345124448</v>
      </c>
      <c r="U64" s="34" t="n">
        <v>0.0280043580629553</v>
      </c>
      <c r="V64" s="34" t="n">
        <v>0.0181171766824553</v>
      </c>
      <c r="W64" s="34" t="n">
        <v>0.0212090498356012</v>
      </c>
      <c r="X64" s="34" t="n">
        <v>0.0146947461216458</v>
      </c>
      <c r="Y64" s="34" t="n">
        <v>0.0147654403962349</v>
      </c>
      <c r="Z64" s="34" t="n">
        <v>0.0185941305432689</v>
      </c>
      <c r="AA64" s="34" t="n">
        <v>0.0134002078012392</v>
      </c>
      <c r="AB64" s="34" t="n">
        <v>0.0199513579633148</v>
      </c>
      <c r="AC64" s="34" t="n">
        <v>0.0195798918408077</v>
      </c>
      <c r="AD64" s="34" t="n">
        <v>0.021088081690933</v>
      </c>
      <c r="AE64" s="34" t="n">
        <v>0.0247096165856899</v>
      </c>
      <c r="AF64" s="34" t="n">
        <v>0.0182599603597048</v>
      </c>
      <c r="AG64" s="34" t="n">
        <v>0.0230500015406897</v>
      </c>
      <c r="AH64" s="34" t="n">
        <v>0.0123084041003465</v>
      </c>
      <c r="AI64" s="34" t="n">
        <v>0.0181165822417642</v>
      </c>
      <c r="AJ64" s="34" t="n">
        <v>0.0222544634929815</v>
      </c>
      <c r="AK64" s="34" t="n">
        <v>0.0182620904107897</v>
      </c>
      <c r="AL64" s="34" t="n">
        <v>0.0158734845679077</v>
      </c>
      <c r="AM64" s="34" t="n">
        <v>0.0178629896036614</v>
      </c>
      <c r="AN64" s="34" t="n">
        <v>0.0168061888857709</v>
      </c>
      <c r="AO64" s="34" t="n">
        <v>0.0130023485600384</v>
      </c>
      <c r="AP64" s="34" t="n">
        <v>0.012397461990625</v>
      </c>
      <c r="AQ64" s="34" t="n">
        <v>0.023390214745274</v>
      </c>
      <c r="AR64" s="34" t="n">
        <v>0.0149175130616432</v>
      </c>
      <c r="AS64" s="34" t="n">
        <v>0.0132419203802159</v>
      </c>
      <c r="AT64" s="34" t="n">
        <v>0.0191023691479505</v>
      </c>
      <c r="AU64" s="34" t="n">
        <v>0.020652431824349</v>
      </c>
      <c r="AV64" s="34" t="n">
        <v>0.0440011977146528</v>
      </c>
      <c r="AW64" s="34" t="n">
        <v>0.0504472233423381</v>
      </c>
      <c r="AX64" s="34" t="n">
        <v>0.0223114228543406</v>
      </c>
      <c r="AY64" s="34" t="n">
        <v>0.0138660755692666</v>
      </c>
      <c r="AZ64" s="34" t="n">
        <v>0.0144514659028198</v>
      </c>
      <c r="BA64" s="34" t="n">
        <v>0.039891817977846</v>
      </c>
      <c r="BB64" s="34" t="n">
        <v>0.0349266296103011</v>
      </c>
      <c r="BC64" s="34" t="n">
        <v>0.0306205200635194</v>
      </c>
      <c r="BD64" s="34" t="n">
        <v>0.0229341536267544</v>
      </c>
      <c r="BE64" s="34" t="n">
        <v>0.0115304124741307</v>
      </c>
      <c r="BF64" s="34" t="n">
        <v>0.00937737360422004</v>
      </c>
      <c r="BG64" s="34" t="n">
        <v>0.0134683728395575</v>
      </c>
      <c r="BH64" s="34" t="n">
        <v>0.018071872052158</v>
      </c>
      <c r="BI64" s="34" t="n">
        <v>0.0203580909051512</v>
      </c>
      <c r="BJ64" s="34" t="n">
        <v>1.02919056256278</v>
      </c>
      <c r="BK64" s="34" t="n">
        <v>0.0135126197532144</v>
      </c>
      <c r="BL64" s="34" t="n">
        <v>0.0153494861028457</v>
      </c>
      <c r="BM64" s="34" t="n">
        <v>0.0124442496430054</v>
      </c>
      <c r="BN64" s="34" t="n">
        <v>0.0116620230000399</v>
      </c>
      <c r="BO64" s="34" t="n">
        <v>0.020601246736895</v>
      </c>
      <c r="BP64" s="34" t="n">
        <v>0.0150384878067897</v>
      </c>
      <c r="BQ64" s="34" t="n">
        <v>0.0107890964793816</v>
      </c>
      <c r="BR64" s="34" t="n">
        <v>0.0193128083984889</v>
      </c>
      <c r="BS64" s="34" t="n">
        <v>0.0128275442082318</v>
      </c>
      <c r="BT64" s="34" t="n">
        <v>0.00884149735020771</v>
      </c>
      <c r="BU64" s="34" t="n">
        <v>0.00884149735020771</v>
      </c>
    </row>
    <row r="65" customFormat="false" ht="11.25" hidden="false" customHeight="true" outlineLevel="0" collapsed="false">
      <c r="B65" s="19" t="s">
        <v>181</v>
      </c>
      <c r="C65" s="20" t="s">
        <v>182</v>
      </c>
      <c r="D65" s="19" t="n">
        <v>59</v>
      </c>
      <c r="E65" s="33" t="n">
        <v>0.0371548569269849</v>
      </c>
      <c r="F65" s="33" t="n">
        <v>0.039593118845827</v>
      </c>
      <c r="G65" s="33" t="n">
        <v>0.0385193059271547</v>
      </c>
      <c r="H65" s="33" t="n">
        <v>0.0745327459874617</v>
      </c>
      <c r="I65" s="33" t="n">
        <v>0.0459077241650199</v>
      </c>
      <c r="J65" s="33" t="n">
        <v>0.0515024062771346</v>
      </c>
      <c r="K65" s="33" t="n">
        <v>0.0629602459916289</v>
      </c>
      <c r="L65" s="33" t="n">
        <v>0.0920749661818053</v>
      </c>
      <c r="M65" s="33" t="n">
        <v>0.0628692576696541</v>
      </c>
      <c r="N65" s="33" t="n">
        <v>0.0717662933298573</v>
      </c>
      <c r="O65" s="33" t="n">
        <v>0.0676277973627504</v>
      </c>
      <c r="P65" s="33" t="n">
        <v>0.0718863745704585</v>
      </c>
      <c r="Q65" s="33" t="n">
        <v>0.0585044453421612</v>
      </c>
      <c r="R65" s="33" t="n">
        <v>0.0602445624491753</v>
      </c>
      <c r="S65" s="33" t="n">
        <v>0.0818222538627467</v>
      </c>
      <c r="T65" s="33" t="n">
        <v>0.0626181105436611</v>
      </c>
      <c r="U65" s="33" t="n">
        <v>0.0897245963270428</v>
      </c>
      <c r="V65" s="33" t="n">
        <v>0.0472165482809356</v>
      </c>
      <c r="W65" s="33" t="n">
        <v>0.0376065826156027</v>
      </c>
      <c r="X65" s="33" t="n">
        <v>0.0607496808784813</v>
      </c>
      <c r="Y65" s="33" t="n">
        <v>0.0463030040280155</v>
      </c>
      <c r="Z65" s="33" t="n">
        <v>0.0706194299394773</v>
      </c>
      <c r="AA65" s="33" t="n">
        <v>0.0518932492290204</v>
      </c>
      <c r="AB65" s="33" t="n">
        <v>0.0884856420190246</v>
      </c>
      <c r="AC65" s="33" t="n">
        <v>0.0678423062820507</v>
      </c>
      <c r="AD65" s="33" t="n">
        <v>0.0784891827362213</v>
      </c>
      <c r="AE65" s="33" t="n">
        <v>0.0676777250893659</v>
      </c>
      <c r="AF65" s="33" t="n">
        <v>0.0634475842268337</v>
      </c>
      <c r="AG65" s="33" t="n">
        <v>0.0777415543551348</v>
      </c>
      <c r="AH65" s="33" t="n">
        <v>0.0470823656891689</v>
      </c>
      <c r="AI65" s="33" t="n">
        <v>0.0728630544234365</v>
      </c>
      <c r="AJ65" s="33" t="n">
        <v>0.0927683867222685</v>
      </c>
      <c r="AK65" s="33" t="n">
        <v>0.047354011195842</v>
      </c>
      <c r="AL65" s="33" t="n">
        <v>0.0446196982368443</v>
      </c>
      <c r="AM65" s="33" t="n">
        <v>0.0379363349308726</v>
      </c>
      <c r="AN65" s="33" t="n">
        <v>0.0606283814275195</v>
      </c>
      <c r="AO65" s="33" t="n">
        <v>0.0437841559555264</v>
      </c>
      <c r="AP65" s="33" t="n">
        <v>0.0492278167636547</v>
      </c>
      <c r="AQ65" s="33" t="n">
        <v>0.0465123644874744</v>
      </c>
      <c r="AR65" s="33" t="n">
        <v>0.0467591758058693</v>
      </c>
      <c r="AS65" s="33" t="n">
        <v>0.0516450711493507</v>
      </c>
      <c r="AT65" s="33" t="n">
        <v>0.0882648630040552</v>
      </c>
      <c r="AU65" s="33" t="n">
        <v>0.0483094582300866</v>
      </c>
      <c r="AV65" s="33" t="n">
        <v>0.0460159808081203</v>
      </c>
      <c r="AW65" s="33" t="n">
        <v>0.0664529314862431</v>
      </c>
      <c r="AX65" s="33" t="n">
        <v>0.0692287743264385</v>
      </c>
      <c r="AY65" s="33" t="n">
        <v>0.0767579263662608</v>
      </c>
      <c r="AZ65" s="33" t="n">
        <v>0.0525244907518462</v>
      </c>
      <c r="BA65" s="33" t="n">
        <v>0.0874734034919866</v>
      </c>
      <c r="BB65" s="33" t="n">
        <v>0.0950153528450233</v>
      </c>
      <c r="BC65" s="33" t="n">
        <v>0.195112644332784</v>
      </c>
      <c r="BD65" s="33" t="n">
        <v>0.0918726357427763</v>
      </c>
      <c r="BE65" s="33" t="n">
        <v>0.0794892596515315</v>
      </c>
      <c r="BF65" s="33" t="n">
        <v>0.0405880959449556</v>
      </c>
      <c r="BG65" s="33" t="n">
        <v>0.0687779327716023</v>
      </c>
      <c r="BH65" s="33" t="n">
        <v>0.0503488928950564</v>
      </c>
      <c r="BI65" s="33" t="n">
        <v>0.0711267022534625</v>
      </c>
      <c r="BJ65" s="33" t="n">
        <v>0.0541616408614666</v>
      </c>
      <c r="BK65" s="33" t="n">
        <v>1.06988056150346</v>
      </c>
      <c r="BL65" s="33" t="n">
        <v>0.0545211162875821</v>
      </c>
      <c r="BM65" s="33" t="n">
        <v>0.0688170771834205</v>
      </c>
      <c r="BN65" s="33" t="n">
        <v>0.0693761512310239</v>
      </c>
      <c r="BO65" s="33" t="n">
        <v>0.0813788046236928</v>
      </c>
      <c r="BP65" s="33" t="n">
        <v>0.0927899614973758</v>
      </c>
      <c r="BQ65" s="33" t="n">
        <v>0.0529261957920845</v>
      </c>
      <c r="BR65" s="33" t="n">
        <v>0.0758308497390132</v>
      </c>
      <c r="BS65" s="33" t="n">
        <v>0.083612357696919</v>
      </c>
      <c r="BT65" s="33" t="n">
        <v>0.0361891390872635</v>
      </c>
      <c r="BU65" s="33" t="n">
        <v>0.0361891390872635</v>
      </c>
    </row>
    <row r="66" customFormat="false" ht="11.25" hidden="false" customHeight="true" outlineLevel="0" collapsed="false">
      <c r="B66" s="24" t="s">
        <v>183</v>
      </c>
      <c r="C66" s="25" t="s">
        <v>184</v>
      </c>
      <c r="D66" s="24" t="n">
        <v>60</v>
      </c>
      <c r="E66" s="34" t="n">
        <v>0.00699487481191922</v>
      </c>
      <c r="F66" s="34" t="n">
        <v>0.00724905346526568</v>
      </c>
      <c r="G66" s="34" t="n">
        <v>0.00701648351590756</v>
      </c>
      <c r="H66" s="34" t="n">
        <v>0.00872602270943015</v>
      </c>
      <c r="I66" s="34" t="n">
        <v>0.00856857123846315</v>
      </c>
      <c r="J66" s="34" t="n">
        <v>0.00924548011363693</v>
      </c>
      <c r="K66" s="34" t="n">
        <v>0.0106055297888207</v>
      </c>
      <c r="L66" s="34" t="n">
        <v>0.0176088731926149</v>
      </c>
      <c r="M66" s="34" t="n">
        <v>0.0127681120552042</v>
      </c>
      <c r="N66" s="34" t="n">
        <v>0.0136297472960134</v>
      </c>
      <c r="O66" s="34" t="n">
        <v>0.0117201092915119</v>
      </c>
      <c r="P66" s="34" t="n">
        <v>0.0203418819390037</v>
      </c>
      <c r="Q66" s="34" t="n">
        <v>0.0107215326025249</v>
      </c>
      <c r="R66" s="34" t="n">
        <v>0.0105090938711418</v>
      </c>
      <c r="S66" s="34" t="n">
        <v>0.0144036239100745</v>
      </c>
      <c r="T66" s="34" t="n">
        <v>0.0136390772076411</v>
      </c>
      <c r="U66" s="34" t="n">
        <v>0.0209963042658419</v>
      </c>
      <c r="V66" s="34" t="n">
        <v>0.00926828486117662</v>
      </c>
      <c r="W66" s="34" t="n">
        <v>0.00718487401435419</v>
      </c>
      <c r="X66" s="34" t="n">
        <v>0.00998118451168485</v>
      </c>
      <c r="Y66" s="34" t="n">
        <v>0.0100889116142648</v>
      </c>
      <c r="Z66" s="34" t="n">
        <v>0.0131521936437309</v>
      </c>
      <c r="AA66" s="34" t="n">
        <v>0.00953879047494709</v>
      </c>
      <c r="AB66" s="34" t="n">
        <v>0.0170230478570029</v>
      </c>
      <c r="AC66" s="34" t="n">
        <v>0.0132588246585055</v>
      </c>
      <c r="AD66" s="34" t="n">
        <v>0.0174333450850896</v>
      </c>
      <c r="AE66" s="34" t="n">
        <v>0.0126835259512943</v>
      </c>
      <c r="AF66" s="34" t="n">
        <v>0.0104004720847342</v>
      </c>
      <c r="AG66" s="34" t="n">
        <v>0.0146102073803031</v>
      </c>
      <c r="AH66" s="34" t="n">
        <v>0.00816245359624482</v>
      </c>
      <c r="AI66" s="34" t="n">
        <v>0.0127292072452828</v>
      </c>
      <c r="AJ66" s="34" t="n">
        <v>0.0155541459735292</v>
      </c>
      <c r="AK66" s="34" t="n">
        <v>0.0114401839239732</v>
      </c>
      <c r="AL66" s="34" t="n">
        <v>0.0106581423077045</v>
      </c>
      <c r="AM66" s="34" t="n">
        <v>0.00844381510411543</v>
      </c>
      <c r="AN66" s="34" t="n">
        <v>0.0111446044175148</v>
      </c>
      <c r="AO66" s="34" t="n">
        <v>0.0091516000620408</v>
      </c>
      <c r="AP66" s="34" t="n">
        <v>0.00779970291112557</v>
      </c>
      <c r="AQ66" s="34" t="n">
        <v>0.0144918644086003</v>
      </c>
      <c r="AR66" s="34" t="n">
        <v>0.00909639535277547</v>
      </c>
      <c r="AS66" s="34" t="n">
        <v>0.0115618274965276</v>
      </c>
      <c r="AT66" s="34" t="n">
        <v>0.0151316947112713</v>
      </c>
      <c r="AU66" s="34" t="n">
        <v>0.0133569436275285</v>
      </c>
      <c r="AV66" s="34" t="n">
        <v>0.0114269201128305</v>
      </c>
      <c r="AW66" s="34" t="n">
        <v>0.0150878325443681</v>
      </c>
      <c r="AX66" s="34" t="n">
        <v>0.0323622874364536</v>
      </c>
      <c r="AY66" s="34" t="n">
        <v>0.0112927492407498</v>
      </c>
      <c r="AZ66" s="34" t="n">
        <v>0.0105257223387453</v>
      </c>
      <c r="BA66" s="34" t="n">
        <v>0.0150824387036252</v>
      </c>
      <c r="BB66" s="34" t="n">
        <v>0.0193508620800114</v>
      </c>
      <c r="BC66" s="34" t="n">
        <v>0.0162369433947745</v>
      </c>
      <c r="BD66" s="34" t="n">
        <v>0.0117076213797158</v>
      </c>
      <c r="BE66" s="34" t="n">
        <v>0.0150650956795361</v>
      </c>
      <c r="BF66" s="34" t="n">
        <v>0.00700524713503794</v>
      </c>
      <c r="BG66" s="34" t="n">
        <v>0.0121027070135376</v>
      </c>
      <c r="BH66" s="34" t="n">
        <v>0.00758453593272243</v>
      </c>
      <c r="BI66" s="34" t="n">
        <v>0.0132594075919225</v>
      </c>
      <c r="BJ66" s="34" t="n">
        <v>0.00989353176285768</v>
      </c>
      <c r="BK66" s="34" t="n">
        <v>0.0109261134925288</v>
      </c>
      <c r="BL66" s="34" t="n">
        <v>1.00870732621697</v>
      </c>
      <c r="BM66" s="34" t="n">
        <v>0.0158295789541576</v>
      </c>
      <c r="BN66" s="34" t="n">
        <v>0.0159725809200243</v>
      </c>
      <c r="BO66" s="34" t="n">
        <v>0.0196332996067845</v>
      </c>
      <c r="BP66" s="34" t="n">
        <v>0.0140707109033942</v>
      </c>
      <c r="BQ66" s="34" t="n">
        <v>0.0066620360115188</v>
      </c>
      <c r="BR66" s="34" t="n">
        <v>0.0121823689542498</v>
      </c>
      <c r="BS66" s="34" t="n">
        <v>0.00799812378191576</v>
      </c>
      <c r="BT66" s="34" t="n">
        <v>0.0062900993037531</v>
      </c>
      <c r="BU66" s="34" t="n">
        <v>0.0062900993037531</v>
      </c>
    </row>
    <row r="67" customFormat="false" ht="11.25" hidden="false" customHeight="true" outlineLevel="0" collapsed="false">
      <c r="B67" s="19" t="s">
        <v>185</v>
      </c>
      <c r="C67" s="20" t="s">
        <v>186</v>
      </c>
      <c r="D67" s="19" t="n">
        <v>61</v>
      </c>
      <c r="E67" s="33" t="n">
        <v>0.00917422871352149</v>
      </c>
      <c r="F67" s="33" t="n">
        <v>0.0094294998401833</v>
      </c>
      <c r="G67" s="33" t="n">
        <v>0.00917444584524033</v>
      </c>
      <c r="H67" s="33" t="n">
        <v>0.0106844386755529</v>
      </c>
      <c r="I67" s="33" t="n">
        <v>0.0110598710727101</v>
      </c>
      <c r="J67" s="33" t="n">
        <v>0.0112614633075073</v>
      </c>
      <c r="K67" s="33" t="n">
        <v>0.0118787147455542</v>
      </c>
      <c r="L67" s="33" t="n">
        <v>0.018212184583704</v>
      </c>
      <c r="M67" s="33" t="n">
        <v>0.0125336465470083</v>
      </c>
      <c r="N67" s="33" t="n">
        <v>0.0153204587498461</v>
      </c>
      <c r="O67" s="33" t="n">
        <v>0.0169520017991038</v>
      </c>
      <c r="P67" s="33" t="n">
        <v>0.015139655313708</v>
      </c>
      <c r="Q67" s="33" t="n">
        <v>0.0117103306368522</v>
      </c>
      <c r="R67" s="33" t="n">
        <v>0.0117868526860655</v>
      </c>
      <c r="S67" s="33" t="n">
        <v>0.0157985476779919</v>
      </c>
      <c r="T67" s="33" t="n">
        <v>0.014359578007165</v>
      </c>
      <c r="U67" s="33" t="n">
        <v>0.0178613675324462</v>
      </c>
      <c r="V67" s="33" t="n">
        <v>0.00989107381255488</v>
      </c>
      <c r="W67" s="33" t="n">
        <v>0.00865124106616126</v>
      </c>
      <c r="X67" s="33" t="n">
        <v>0.0120828443776283</v>
      </c>
      <c r="Y67" s="33" t="n">
        <v>0.0131882828843365</v>
      </c>
      <c r="Z67" s="33" t="n">
        <v>0.0148380662416985</v>
      </c>
      <c r="AA67" s="33" t="n">
        <v>0.0131796677508344</v>
      </c>
      <c r="AB67" s="33" t="n">
        <v>0.0189869773335187</v>
      </c>
      <c r="AC67" s="33" t="n">
        <v>0.0139038356296822</v>
      </c>
      <c r="AD67" s="33" t="n">
        <v>0.0152695053284907</v>
      </c>
      <c r="AE67" s="33" t="n">
        <v>0.0165255935337215</v>
      </c>
      <c r="AF67" s="33" t="n">
        <v>0.0141242549167266</v>
      </c>
      <c r="AG67" s="33" t="n">
        <v>0.0151882128985395</v>
      </c>
      <c r="AH67" s="33" t="n">
        <v>0.0089134436350193</v>
      </c>
      <c r="AI67" s="33" t="n">
        <v>0.0141467821134635</v>
      </c>
      <c r="AJ67" s="33" t="n">
        <v>0.0162354325118708</v>
      </c>
      <c r="AK67" s="33" t="n">
        <v>0.0108933554163048</v>
      </c>
      <c r="AL67" s="33" t="n">
        <v>0.0100655392754729</v>
      </c>
      <c r="AM67" s="33" t="n">
        <v>0.00836865811815172</v>
      </c>
      <c r="AN67" s="33" t="n">
        <v>0.0125143506980979</v>
      </c>
      <c r="AO67" s="33" t="n">
        <v>0.00896768958946261</v>
      </c>
      <c r="AP67" s="33" t="n">
        <v>0.0102545300644643</v>
      </c>
      <c r="AQ67" s="33" t="n">
        <v>0.0113074242593106</v>
      </c>
      <c r="AR67" s="33" t="n">
        <v>0.00995219553887405</v>
      </c>
      <c r="AS67" s="33" t="n">
        <v>0.0110446834023482</v>
      </c>
      <c r="AT67" s="33" t="n">
        <v>0.0140913649547928</v>
      </c>
      <c r="AU67" s="33" t="n">
        <v>0.010233309722115</v>
      </c>
      <c r="AV67" s="33" t="n">
        <v>0.0117460071688217</v>
      </c>
      <c r="AW67" s="33" t="n">
        <v>0.011203914480513</v>
      </c>
      <c r="AX67" s="33" t="n">
        <v>0.0131965890476288</v>
      </c>
      <c r="AY67" s="33" t="n">
        <v>0.0128393182303557</v>
      </c>
      <c r="AZ67" s="33" t="n">
        <v>0.0106582367748398</v>
      </c>
      <c r="BA67" s="33" t="n">
        <v>0.0176612768435818</v>
      </c>
      <c r="BB67" s="33" t="n">
        <v>0.020019204016442</v>
      </c>
      <c r="BC67" s="33" t="n">
        <v>0.016616077908785</v>
      </c>
      <c r="BD67" s="33" t="n">
        <v>0.0121614904728377</v>
      </c>
      <c r="BE67" s="33" t="n">
        <v>0.0116477670958897</v>
      </c>
      <c r="BF67" s="33" t="n">
        <v>0.009085486854504</v>
      </c>
      <c r="BG67" s="33" t="n">
        <v>0.0140041668162606</v>
      </c>
      <c r="BH67" s="33" t="n">
        <v>0.0153662481792427</v>
      </c>
      <c r="BI67" s="33" t="n">
        <v>0.0157770869401623</v>
      </c>
      <c r="BJ67" s="33" t="n">
        <v>0.0113737967663907</v>
      </c>
      <c r="BK67" s="33" t="n">
        <v>0.012710109737298</v>
      </c>
      <c r="BL67" s="33" t="n">
        <v>0.0109079559228439</v>
      </c>
      <c r="BM67" s="33" t="n">
        <v>1.01109196050925</v>
      </c>
      <c r="BN67" s="33" t="n">
        <v>0.0098912360552919</v>
      </c>
      <c r="BO67" s="33" t="n">
        <v>0.012476596891703</v>
      </c>
      <c r="BP67" s="33" t="n">
        <v>0.0111589606308108</v>
      </c>
      <c r="BQ67" s="33" t="n">
        <v>0.0100088159375726</v>
      </c>
      <c r="BR67" s="33" t="n">
        <v>0.0146371514580018</v>
      </c>
      <c r="BS67" s="33" t="n">
        <v>0.014033601693019</v>
      </c>
      <c r="BT67" s="33" t="n">
        <v>0.00866587645095656</v>
      </c>
      <c r="BU67" s="33" t="n">
        <v>0.00866587645095656</v>
      </c>
    </row>
    <row r="68" customFormat="false" ht="11.25" hidden="false" customHeight="true" outlineLevel="0" collapsed="false">
      <c r="B68" s="24" t="s">
        <v>187</v>
      </c>
      <c r="C68" s="25" t="s">
        <v>188</v>
      </c>
      <c r="D68" s="24" t="n">
        <v>62</v>
      </c>
      <c r="E68" s="34" t="n">
        <v>0.000448494381505704</v>
      </c>
      <c r="F68" s="34" t="n">
        <v>0.000458038608229079</v>
      </c>
      <c r="G68" s="34" t="n">
        <v>0.000454340761439269</v>
      </c>
      <c r="H68" s="34" t="n">
        <v>0.000535755520439418</v>
      </c>
      <c r="I68" s="34" t="n">
        <v>0.000499549607805877</v>
      </c>
      <c r="J68" s="34" t="n">
        <v>0.000893056770396063</v>
      </c>
      <c r="K68" s="34" t="n">
        <v>0.000556644799904179</v>
      </c>
      <c r="L68" s="34" t="n">
        <v>0.000897202031440809</v>
      </c>
      <c r="M68" s="34" t="n">
        <v>0.000615975205169296</v>
      </c>
      <c r="N68" s="34" t="n">
        <v>0.000688488292017558</v>
      </c>
      <c r="O68" s="34" t="n">
        <v>0.000828243190427584</v>
      </c>
      <c r="P68" s="34" t="n">
        <v>0.000951093193340316</v>
      </c>
      <c r="Q68" s="34" t="n">
        <v>0.000545222275802544</v>
      </c>
      <c r="R68" s="34" t="n">
        <v>0.000611846949930007</v>
      </c>
      <c r="S68" s="34" t="n">
        <v>0.000842525355088632</v>
      </c>
      <c r="T68" s="34" t="n">
        <v>0.000708879737798315</v>
      </c>
      <c r="U68" s="34" t="n">
        <v>0.000867058600596441</v>
      </c>
      <c r="V68" s="34" t="n">
        <v>0.000503820478545264</v>
      </c>
      <c r="W68" s="34" t="n">
        <v>0.000389273517869446</v>
      </c>
      <c r="X68" s="34" t="n">
        <v>0.000564317017945766</v>
      </c>
      <c r="Y68" s="34" t="n">
        <v>0.000601748959196301</v>
      </c>
      <c r="Z68" s="34" t="n">
        <v>0.000683106522814979</v>
      </c>
      <c r="AA68" s="34" t="n">
        <v>0.00081184802173247</v>
      </c>
      <c r="AB68" s="34" t="n">
        <v>0.0015694039176556</v>
      </c>
      <c r="AC68" s="34" t="n">
        <v>0.000697146817172964</v>
      </c>
      <c r="AD68" s="34" t="n">
        <v>0.000748143924518728</v>
      </c>
      <c r="AE68" s="34" t="n">
        <v>0.000773756326318849</v>
      </c>
      <c r="AF68" s="34" t="n">
        <v>0.00101344035126604</v>
      </c>
      <c r="AG68" s="34" t="n">
        <v>0.000731412975147765</v>
      </c>
      <c r="AH68" s="34" t="n">
        <v>0.000490549785246671</v>
      </c>
      <c r="AI68" s="34" t="n">
        <v>0.00113393494662949</v>
      </c>
      <c r="AJ68" s="34" t="n">
        <v>0.00101056964600685</v>
      </c>
      <c r="AK68" s="34" t="n">
        <v>0.000866199624122647</v>
      </c>
      <c r="AL68" s="34" t="n">
        <v>0.000862944563475259</v>
      </c>
      <c r="AM68" s="34" t="n">
        <v>0.000550907369847725</v>
      </c>
      <c r="AN68" s="34" t="n">
        <v>0.000671956156878057</v>
      </c>
      <c r="AO68" s="34" t="n">
        <v>0.000475138491044967</v>
      </c>
      <c r="AP68" s="34" t="n">
        <v>0.00055475891281771</v>
      </c>
      <c r="AQ68" s="34" t="n">
        <v>0.000530429822626708</v>
      </c>
      <c r="AR68" s="34" t="n">
        <v>0.000510956710669591</v>
      </c>
      <c r="AS68" s="34" t="n">
        <v>0.000517597874058466</v>
      </c>
      <c r="AT68" s="34" t="n">
        <v>0.000653729588040556</v>
      </c>
      <c r="AU68" s="34" t="n">
        <v>0.000505721754278987</v>
      </c>
      <c r="AV68" s="34" t="n">
        <v>0.0004871799996559</v>
      </c>
      <c r="AW68" s="34" t="n">
        <v>0.00040358446238098</v>
      </c>
      <c r="AX68" s="34" t="n">
        <v>0.000649067639081805</v>
      </c>
      <c r="AY68" s="34" t="n">
        <v>0.000515000173593654</v>
      </c>
      <c r="AZ68" s="34" t="n">
        <v>0.000500193511613674</v>
      </c>
      <c r="BA68" s="34" t="n">
        <v>0.000751389113381085</v>
      </c>
      <c r="BB68" s="34" t="n">
        <v>0.000673173648697497</v>
      </c>
      <c r="BC68" s="34" t="n">
        <v>0.000871949981324034</v>
      </c>
      <c r="BD68" s="34" t="n">
        <v>0.000714163071755556</v>
      </c>
      <c r="BE68" s="34" t="n">
        <v>0.000537524304919163</v>
      </c>
      <c r="BF68" s="34" t="n">
        <v>0.000467368023611249</v>
      </c>
      <c r="BG68" s="34" t="n">
        <v>0.000632640464597854</v>
      </c>
      <c r="BH68" s="34" t="n">
        <v>0.00357875929344313</v>
      </c>
      <c r="BI68" s="34" t="n">
        <v>0.00060553623824648</v>
      </c>
      <c r="BJ68" s="34" t="n">
        <v>0.000642473629549072</v>
      </c>
      <c r="BK68" s="34" t="n">
        <v>0.000566191209976148</v>
      </c>
      <c r="BL68" s="34" t="n">
        <v>0.000532388464138308</v>
      </c>
      <c r="BM68" s="34" t="n">
        <v>0.000512170882489679</v>
      </c>
      <c r="BN68" s="34" t="n">
        <v>1.00049561459619</v>
      </c>
      <c r="BO68" s="34" t="n">
        <v>0.000523117391883584</v>
      </c>
      <c r="BP68" s="34" t="n">
        <v>0.000564707261102011</v>
      </c>
      <c r="BQ68" s="34" t="n">
        <v>0.000550670581282428</v>
      </c>
      <c r="BR68" s="34" t="n">
        <v>0.00055505093760063</v>
      </c>
      <c r="BS68" s="34" t="n">
        <v>0.000544044163101931</v>
      </c>
      <c r="BT68" s="34" t="n">
        <v>0.000461632336191797</v>
      </c>
      <c r="BU68" s="34" t="n">
        <v>0.000461632336191797</v>
      </c>
    </row>
    <row r="69" customFormat="false" ht="11.25" hidden="false" customHeight="true" outlineLevel="0" collapsed="false">
      <c r="B69" s="19" t="s">
        <v>189</v>
      </c>
      <c r="C69" s="20" t="s">
        <v>190</v>
      </c>
      <c r="D69" s="19" t="n">
        <v>63</v>
      </c>
      <c r="E69" s="33" t="n">
        <v>0.0331395198140882</v>
      </c>
      <c r="F69" s="33" t="n">
        <v>0.0342881232275445</v>
      </c>
      <c r="G69" s="33" t="n">
        <v>0.0376818260799435</v>
      </c>
      <c r="H69" s="33" t="n">
        <v>0.0357422138425512</v>
      </c>
      <c r="I69" s="33" t="n">
        <v>0.0335114800523051</v>
      </c>
      <c r="J69" s="33" t="n">
        <v>0.0392954113467358</v>
      </c>
      <c r="K69" s="33" t="n">
        <v>0.0376992016692965</v>
      </c>
      <c r="L69" s="33" t="n">
        <v>0.0566710653951527</v>
      </c>
      <c r="M69" s="33" t="n">
        <v>0.0398826878060584</v>
      </c>
      <c r="N69" s="33" t="n">
        <v>0.045629262886102</v>
      </c>
      <c r="O69" s="33" t="n">
        <v>0.0363563217836949</v>
      </c>
      <c r="P69" s="33" t="n">
        <v>0.0412276502878176</v>
      </c>
      <c r="Q69" s="33" t="n">
        <v>0.0378554917200113</v>
      </c>
      <c r="R69" s="33" t="n">
        <v>0.0400178614663458</v>
      </c>
      <c r="S69" s="33" t="n">
        <v>0.0492943547380452</v>
      </c>
      <c r="T69" s="33" t="n">
        <v>0.0439554721043518</v>
      </c>
      <c r="U69" s="33" t="n">
        <v>0.0528773720773813</v>
      </c>
      <c r="V69" s="33" t="n">
        <v>0.0352393548944557</v>
      </c>
      <c r="W69" s="33" t="n">
        <v>0.0279100598003582</v>
      </c>
      <c r="X69" s="33" t="n">
        <v>0.0407486201817291</v>
      </c>
      <c r="Y69" s="33" t="n">
        <v>0.0294248340580819</v>
      </c>
      <c r="Z69" s="33" t="n">
        <v>0.03916934477296</v>
      </c>
      <c r="AA69" s="33" t="n">
        <v>0.0320968069138496</v>
      </c>
      <c r="AB69" s="33" t="n">
        <v>0.051958855076929</v>
      </c>
      <c r="AC69" s="33" t="n">
        <v>0.0402861657634603</v>
      </c>
      <c r="AD69" s="33" t="n">
        <v>0.0445094850357205</v>
      </c>
      <c r="AE69" s="33" t="n">
        <v>0.043958454820128</v>
      </c>
      <c r="AF69" s="33" t="n">
        <v>0.0375824156662799</v>
      </c>
      <c r="AG69" s="33" t="n">
        <v>0.0465026694971387</v>
      </c>
      <c r="AH69" s="33" t="n">
        <v>0.0243867947033153</v>
      </c>
      <c r="AI69" s="33" t="n">
        <v>0.040443967415957</v>
      </c>
      <c r="AJ69" s="33" t="n">
        <v>0.0488210227833729</v>
      </c>
      <c r="AK69" s="33" t="n">
        <v>0.0267727586165992</v>
      </c>
      <c r="AL69" s="33" t="n">
        <v>0.0295844443339819</v>
      </c>
      <c r="AM69" s="33" t="n">
        <v>0.0249389677832457</v>
      </c>
      <c r="AN69" s="33" t="n">
        <v>0.0415869763052534</v>
      </c>
      <c r="AO69" s="33" t="n">
        <v>0.0297185322737571</v>
      </c>
      <c r="AP69" s="33" t="n">
        <v>0.034308794400394</v>
      </c>
      <c r="AQ69" s="33" t="n">
        <v>0.03671156222305</v>
      </c>
      <c r="AR69" s="33" t="n">
        <v>0.0345024989701599</v>
      </c>
      <c r="AS69" s="33" t="n">
        <v>0.0351878100825316</v>
      </c>
      <c r="AT69" s="33" t="n">
        <v>0.0450143263848901</v>
      </c>
      <c r="AU69" s="33" t="n">
        <v>0.0396967515111425</v>
      </c>
      <c r="AV69" s="33" t="n">
        <v>0.0391812975876652</v>
      </c>
      <c r="AW69" s="33" t="n">
        <v>0.0281709113619909</v>
      </c>
      <c r="AX69" s="33" t="n">
        <v>0.041153188838005</v>
      </c>
      <c r="AY69" s="33" t="n">
        <v>0.0363799413708503</v>
      </c>
      <c r="AZ69" s="33" t="n">
        <v>0.0346894944207837</v>
      </c>
      <c r="BA69" s="33" t="n">
        <v>0.0520515328087825</v>
      </c>
      <c r="BB69" s="33" t="n">
        <v>0.0484296051228442</v>
      </c>
      <c r="BC69" s="33" t="n">
        <v>0.052642295819096</v>
      </c>
      <c r="BD69" s="33" t="n">
        <v>0.039425135439372</v>
      </c>
      <c r="BE69" s="33" t="n">
        <v>0.0434644969893448</v>
      </c>
      <c r="BF69" s="33" t="n">
        <v>0.0398865430899693</v>
      </c>
      <c r="BG69" s="33" t="n">
        <v>0.0560063903861384</v>
      </c>
      <c r="BH69" s="33" t="n">
        <v>0.0411345846969962</v>
      </c>
      <c r="BI69" s="33" t="n">
        <v>0.0485243765278507</v>
      </c>
      <c r="BJ69" s="33" t="n">
        <v>0.0393352589766297</v>
      </c>
      <c r="BK69" s="33" t="n">
        <v>0.0486646448064363</v>
      </c>
      <c r="BL69" s="33" t="n">
        <v>0.0452807559452942</v>
      </c>
      <c r="BM69" s="33" t="n">
        <v>0.0393755862609772</v>
      </c>
      <c r="BN69" s="33" t="n">
        <v>0.0397930308618496</v>
      </c>
      <c r="BO69" s="33" t="n">
        <v>1.03904248382453</v>
      </c>
      <c r="BP69" s="33" t="n">
        <v>0.0394685775038928</v>
      </c>
      <c r="BQ69" s="33" t="n">
        <v>0.034853249071209</v>
      </c>
      <c r="BR69" s="33" t="n">
        <v>0.0384254222810995</v>
      </c>
      <c r="BS69" s="33" t="n">
        <v>0.0394910915528118</v>
      </c>
      <c r="BT69" s="33" t="n">
        <v>0.0402116390135658</v>
      </c>
      <c r="BU69" s="33" t="n">
        <v>0.0402116390135658</v>
      </c>
    </row>
    <row r="70" customFormat="false" ht="11.25" hidden="false" customHeight="true" outlineLevel="0" collapsed="false">
      <c r="B70" s="24" t="s">
        <v>191</v>
      </c>
      <c r="C70" s="25" t="s">
        <v>192</v>
      </c>
      <c r="D70" s="24" t="n">
        <v>64</v>
      </c>
      <c r="E70" s="34" t="n">
        <v>0.000552730289112608</v>
      </c>
      <c r="F70" s="34" t="n">
        <v>0.000571079661521891</v>
      </c>
      <c r="G70" s="34" t="n">
        <v>0.000631072880656599</v>
      </c>
      <c r="H70" s="34" t="n">
        <v>0.000578209200638031</v>
      </c>
      <c r="I70" s="34" t="n">
        <v>0.000534837352644352</v>
      </c>
      <c r="J70" s="34" t="n">
        <v>0.000648129829831478</v>
      </c>
      <c r="K70" s="34" t="n">
        <v>0.000572642928269533</v>
      </c>
      <c r="L70" s="34" t="n">
        <v>0.000917203372168494</v>
      </c>
      <c r="M70" s="34" t="n">
        <v>0.000653015989448167</v>
      </c>
      <c r="N70" s="34" t="n">
        <v>0.000733542008889748</v>
      </c>
      <c r="O70" s="34" t="n">
        <v>0.000604424236596186</v>
      </c>
      <c r="P70" s="34" t="n">
        <v>0.000697392599176785</v>
      </c>
      <c r="Q70" s="34" t="n">
        <v>0.000614543422698574</v>
      </c>
      <c r="R70" s="34" t="n">
        <v>0.000659470350053033</v>
      </c>
      <c r="S70" s="34" t="n">
        <v>0.00081182566724983</v>
      </c>
      <c r="T70" s="34" t="n">
        <v>0.000724974573431375</v>
      </c>
      <c r="U70" s="34" t="n">
        <v>0.000844913663403251</v>
      </c>
      <c r="V70" s="34" t="n">
        <v>0.000582020150503379</v>
      </c>
      <c r="W70" s="34" t="n">
        <v>0.000448242135223786</v>
      </c>
      <c r="X70" s="34" t="n">
        <v>0.000665996043556641</v>
      </c>
      <c r="Y70" s="34" t="n">
        <v>0.000484996034749972</v>
      </c>
      <c r="Z70" s="34" t="n">
        <v>0.000620617509413327</v>
      </c>
      <c r="AA70" s="34" t="n">
        <v>0.000545873163480249</v>
      </c>
      <c r="AB70" s="34" t="n">
        <v>0.000918013523550503</v>
      </c>
      <c r="AC70" s="34" t="n">
        <v>0.000657885183694056</v>
      </c>
      <c r="AD70" s="34" t="n">
        <v>0.000724632918309668</v>
      </c>
      <c r="AE70" s="34" t="n">
        <v>0.000679509776281312</v>
      </c>
      <c r="AF70" s="34" t="n">
        <v>0.000631918026423608</v>
      </c>
      <c r="AG70" s="34" t="n">
        <v>0.000733715025610763</v>
      </c>
      <c r="AH70" s="34" t="n">
        <v>0.000398926643669152</v>
      </c>
      <c r="AI70" s="34" t="n">
        <v>0.00070241676735094</v>
      </c>
      <c r="AJ70" s="34" t="n">
        <v>0.000807923375419996</v>
      </c>
      <c r="AK70" s="34" t="n">
        <v>0.00046129960354973</v>
      </c>
      <c r="AL70" s="34" t="n">
        <v>0.000523330149224828</v>
      </c>
      <c r="AM70" s="34" t="n">
        <v>0.000422835005588872</v>
      </c>
      <c r="AN70" s="34" t="n">
        <v>0.000688752615496582</v>
      </c>
      <c r="AO70" s="34" t="n">
        <v>0.0004912848856076</v>
      </c>
      <c r="AP70" s="34" t="n">
        <v>0.000570256944494406</v>
      </c>
      <c r="AQ70" s="34" t="n">
        <v>0.000612499349385862</v>
      </c>
      <c r="AR70" s="34" t="n">
        <v>0.000572023788246993</v>
      </c>
      <c r="AS70" s="34" t="n">
        <v>0.000575043846902924</v>
      </c>
      <c r="AT70" s="34" t="n">
        <v>0.000713754764032243</v>
      </c>
      <c r="AU70" s="34" t="n">
        <v>0.000576675679029707</v>
      </c>
      <c r="AV70" s="34" t="n">
        <v>0.000557237928239674</v>
      </c>
      <c r="AW70" s="34" t="n">
        <v>0.000442463023799044</v>
      </c>
      <c r="AX70" s="34" t="n">
        <v>0.000634049328506286</v>
      </c>
      <c r="AY70" s="34" t="n">
        <v>0.000596087830744192</v>
      </c>
      <c r="AZ70" s="34" t="n">
        <v>0.000573456365319411</v>
      </c>
      <c r="BA70" s="34" t="n">
        <v>0.000841218693474855</v>
      </c>
      <c r="BB70" s="34" t="n">
        <v>0.000765647844671161</v>
      </c>
      <c r="BC70" s="34" t="n">
        <v>0.000838925353400332</v>
      </c>
      <c r="BD70" s="34" t="n">
        <v>0.000664004852288008</v>
      </c>
      <c r="BE70" s="34" t="n">
        <v>0.000640966604451962</v>
      </c>
      <c r="BF70" s="34" t="n">
        <v>0.000671097981029699</v>
      </c>
      <c r="BG70" s="34" t="n">
        <v>0.000668050392867452</v>
      </c>
      <c r="BH70" s="34" t="n">
        <v>0.000946809701242682</v>
      </c>
      <c r="BI70" s="34" t="n">
        <v>0.00065697391331255</v>
      </c>
      <c r="BJ70" s="34" t="n">
        <v>0.000638388157930292</v>
      </c>
      <c r="BK70" s="34" t="n">
        <v>0.000643820641711952</v>
      </c>
      <c r="BL70" s="34" t="n">
        <v>0.000665322190690467</v>
      </c>
      <c r="BM70" s="34" t="n">
        <v>0.00064627351857169</v>
      </c>
      <c r="BN70" s="34" t="n">
        <v>0.000656915186050281</v>
      </c>
      <c r="BO70" s="34" t="n">
        <v>0.000639021321274194</v>
      </c>
      <c r="BP70" s="34" t="n">
        <v>1.0006113495522</v>
      </c>
      <c r="BQ70" s="34" t="n">
        <v>0.00182559164747909</v>
      </c>
      <c r="BR70" s="34" t="n">
        <v>0.000623086237632717</v>
      </c>
      <c r="BS70" s="34" t="n">
        <v>0.000581540449328436</v>
      </c>
      <c r="BT70" s="34" t="n">
        <v>0.000682300001766339</v>
      </c>
      <c r="BU70" s="34" t="n">
        <v>0.000682300001766339</v>
      </c>
    </row>
    <row r="71" customFormat="false" ht="11.25" hidden="false" customHeight="true" outlineLevel="0" collapsed="false">
      <c r="B71" s="19" t="s">
        <v>193</v>
      </c>
      <c r="C71" s="20" t="s">
        <v>194</v>
      </c>
      <c r="D71" s="19" t="n">
        <v>65</v>
      </c>
      <c r="E71" s="33" t="n">
        <v>0.0607998387208758</v>
      </c>
      <c r="F71" s="33" t="n">
        <v>0.0628842441436228</v>
      </c>
      <c r="G71" s="33" t="n">
        <v>0.0699991106197438</v>
      </c>
      <c r="H71" s="33" t="n">
        <v>0.0632943018662412</v>
      </c>
      <c r="I71" s="33" t="n">
        <v>0.0584351064139056</v>
      </c>
      <c r="J71" s="33" t="n">
        <v>0.0667712365066167</v>
      </c>
      <c r="K71" s="33" t="n">
        <v>0.062495511049487</v>
      </c>
      <c r="L71" s="33" t="n">
        <v>0.0996808802095833</v>
      </c>
      <c r="M71" s="33" t="n">
        <v>0.071081164948954</v>
      </c>
      <c r="N71" s="33" t="n">
        <v>0.0800982850679</v>
      </c>
      <c r="O71" s="33" t="n">
        <v>0.0626803140136146</v>
      </c>
      <c r="P71" s="33" t="n">
        <v>0.0723039595062981</v>
      </c>
      <c r="Q71" s="33" t="n">
        <v>0.0674413780580027</v>
      </c>
      <c r="R71" s="33" t="n">
        <v>0.0719228532747906</v>
      </c>
      <c r="S71" s="33" t="n">
        <v>0.087480562933053</v>
      </c>
      <c r="T71" s="33" t="n">
        <v>0.0784881546856996</v>
      </c>
      <c r="U71" s="33" t="n">
        <v>0.0913998734634687</v>
      </c>
      <c r="V71" s="33" t="n">
        <v>0.0637714144529754</v>
      </c>
      <c r="W71" s="33" t="n">
        <v>0.0492733977351341</v>
      </c>
      <c r="X71" s="33" t="n">
        <v>0.073244320360612</v>
      </c>
      <c r="Y71" s="33" t="n">
        <v>0.051160278577059</v>
      </c>
      <c r="Z71" s="33" t="n">
        <v>0.0667511073671996</v>
      </c>
      <c r="AA71" s="33" t="n">
        <v>0.0557289483127424</v>
      </c>
      <c r="AB71" s="33" t="n">
        <v>0.0908816406370776</v>
      </c>
      <c r="AC71" s="33" t="n">
        <v>0.0708330595020079</v>
      </c>
      <c r="AD71" s="33" t="n">
        <v>0.0783107365674469</v>
      </c>
      <c r="AE71" s="33" t="n">
        <v>0.0725607610394294</v>
      </c>
      <c r="AF71" s="33" t="n">
        <v>0.0634163213270851</v>
      </c>
      <c r="AG71" s="33" t="n">
        <v>0.0796529979000817</v>
      </c>
      <c r="AH71" s="33" t="n">
        <v>0.0422232379735216</v>
      </c>
      <c r="AI71" s="33" t="n">
        <v>0.0704146915382218</v>
      </c>
      <c r="AJ71" s="33" t="n">
        <v>0.0850827988386167</v>
      </c>
      <c r="AK71" s="33" t="n">
        <v>0.044738824526111</v>
      </c>
      <c r="AL71" s="33" t="n">
        <v>0.0520584653897191</v>
      </c>
      <c r="AM71" s="33" t="n">
        <v>0.0440196357698756</v>
      </c>
      <c r="AN71" s="33" t="n">
        <v>0.0745966623612864</v>
      </c>
      <c r="AO71" s="33" t="n">
        <v>0.0532621700150671</v>
      </c>
      <c r="AP71" s="33" t="n">
        <v>0.0617088620505572</v>
      </c>
      <c r="AQ71" s="33" t="n">
        <v>0.0670627692864473</v>
      </c>
      <c r="AR71" s="33" t="n">
        <v>0.0624989116263963</v>
      </c>
      <c r="AS71" s="33" t="n">
        <v>0.0630262950700485</v>
      </c>
      <c r="AT71" s="33" t="n">
        <v>0.0784349714257852</v>
      </c>
      <c r="AU71" s="33" t="n">
        <v>0.0634524914539982</v>
      </c>
      <c r="AV71" s="33" t="n">
        <v>0.0614331164529115</v>
      </c>
      <c r="AW71" s="33" t="n">
        <v>0.0486235075686303</v>
      </c>
      <c r="AX71" s="33" t="n">
        <v>0.0689209046147458</v>
      </c>
      <c r="AY71" s="33" t="n">
        <v>0.0658467785068339</v>
      </c>
      <c r="AZ71" s="33" t="n">
        <v>0.0629434531326208</v>
      </c>
      <c r="BA71" s="33" t="n">
        <v>0.0923412988156387</v>
      </c>
      <c r="BB71" s="33" t="n">
        <v>0.0845225567600026</v>
      </c>
      <c r="BC71" s="33" t="n">
        <v>0.091557634045398</v>
      </c>
      <c r="BD71" s="33" t="n">
        <v>0.0712700252380663</v>
      </c>
      <c r="BE71" s="33" t="n">
        <v>0.0710383913778155</v>
      </c>
      <c r="BF71" s="33" t="n">
        <v>0.0746053178168288</v>
      </c>
      <c r="BG71" s="33" t="n">
        <v>0.0740493458975187</v>
      </c>
      <c r="BH71" s="33" t="n">
        <v>0.0675018618425058</v>
      </c>
      <c r="BI71" s="33" t="n">
        <v>0.07244780710082</v>
      </c>
      <c r="BJ71" s="33" t="n">
        <v>0.0689763331249952</v>
      </c>
      <c r="BK71" s="33" t="n">
        <v>0.0712109047446471</v>
      </c>
      <c r="BL71" s="33" t="n">
        <v>0.0738438349115259</v>
      </c>
      <c r="BM71" s="33" t="n">
        <v>0.071477227151307</v>
      </c>
      <c r="BN71" s="33" t="n">
        <v>0.0728026063942602</v>
      </c>
      <c r="BO71" s="33" t="n">
        <v>0.0708346084202217</v>
      </c>
      <c r="BP71" s="33" t="n">
        <v>0.0670513559081305</v>
      </c>
      <c r="BQ71" s="33" t="n">
        <v>1.20507869015299</v>
      </c>
      <c r="BR71" s="33" t="n">
        <v>0.0690906860438811</v>
      </c>
      <c r="BS71" s="33" t="n">
        <v>0.0642452773039034</v>
      </c>
      <c r="BT71" s="33" t="n">
        <v>0.0759037523124655</v>
      </c>
      <c r="BU71" s="33" t="n">
        <v>0.0759037523124655</v>
      </c>
    </row>
    <row r="72" customFormat="false" ht="11.25" hidden="false" customHeight="true" outlineLevel="0" collapsed="false">
      <c r="B72" s="24" t="s">
        <v>195</v>
      </c>
      <c r="C72" s="25" t="s">
        <v>196</v>
      </c>
      <c r="D72" s="24" t="n">
        <v>66</v>
      </c>
      <c r="E72" s="34" t="n">
        <v>0.00703900301473261</v>
      </c>
      <c r="F72" s="34" t="n">
        <v>0.00745111398506515</v>
      </c>
      <c r="G72" s="34" t="n">
        <v>0.00810495077251699</v>
      </c>
      <c r="H72" s="34" t="n">
        <v>0.00755687508814121</v>
      </c>
      <c r="I72" s="34" t="n">
        <v>0.00704698383363736</v>
      </c>
      <c r="J72" s="34" t="n">
        <v>0.00780477759818497</v>
      </c>
      <c r="K72" s="34" t="n">
        <v>0.00745887362661944</v>
      </c>
      <c r="L72" s="34" t="n">
        <v>0.0126606345222022</v>
      </c>
      <c r="M72" s="34" t="n">
        <v>0.00859064238388011</v>
      </c>
      <c r="N72" s="34" t="n">
        <v>0.0101983273876828</v>
      </c>
      <c r="O72" s="34" t="n">
        <v>0.0102449582680387</v>
      </c>
      <c r="P72" s="34" t="n">
        <v>0.00939753496158352</v>
      </c>
      <c r="Q72" s="34" t="n">
        <v>0.00823637138215573</v>
      </c>
      <c r="R72" s="34" t="n">
        <v>0.00889864118013418</v>
      </c>
      <c r="S72" s="34" t="n">
        <v>0.0113907787670405</v>
      </c>
      <c r="T72" s="34" t="n">
        <v>0.00948627534352814</v>
      </c>
      <c r="U72" s="34" t="n">
        <v>0.0114737649373145</v>
      </c>
      <c r="V72" s="34" t="n">
        <v>0.0076768452982121</v>
      </c>
      <c r="W72" s="34" t="n">
        <v>0.00590352130133025</v>
      </c>
      <c r="X72" s="34" t="n">
        <v>0.00878828532018152</v>
      </c>
      <c r="Y72" s="34" t="n">
        <v>0.00623575767226221</v>
      </c>
      <c r="Z72" s="34" t="n">
        <v>0.00846417022320237</v>
      </c>
      <c r="AA72" s="34" t="n">
        <v>0.0076973563459726</v>
      </c>
      <c r="AB72" s="34" t="n">
        <v>0.0121030341498991</v>
      </c>
      <c r="AC72" s="34" t="n">
        <v>0.00883851107134731</v>
      </c>
      <c r="AD72" s="34" t="n">
        <v>0.00964859700770353</v>
      </c>
      <c r="AE72" s="34" t="n">
        <v>0.00886495008613497</v>
      </c>
      <c r="AF72" s="34" t="n">
        <v>0.00760112508041134</v>
      </c>
      <c r="AG72" s="34" t="n">
        <v>0.00989637936505882</v>
      </c>
      <c r="AH72" s="34" t="n">
        <v>0.00575457991263793</v>
      </c>
      <c r="AI72" s="34" t="n">
        <v>0.00893107931492905</v>
      </c>
      <c r="AJ72" s="34" t="n">
        <v>0.0106097783159205</v>
      </c>
      <c r="AK72" s="34" t="n">
        <v>0.0062890923010035</v>
      </c>
      <c r="AL72" s="34" t="n">
        <v>0.00629107647462514</v>
      </c>
      <c r="AM72" s="34" t="n">
        <v>0.00552633635554007</v>
      </c>
      <c r="AN72" s="34" t="n">
        <v>0.00913007948582011</v>
      </c>
      <c r="AO72" s="34" t="n">
        <v>0.00637164860143537</v>
      </c>
      <c r="AP72" s="34" t="n">
        <v>0.00756670123443556</v>
      </c>
      <c r="AQ72" s="34" t="n">
        <v>0.00787368631212439</v>
      </c>
      <c r="AR72" s="34" t="n">
        <v>0.00743760965390283</v>
      </c>
      <c r="AS72" s="34" t="n">
        <v>0.00791034525583441</v>
      </c>
      <c r="AT72" s="34" t="n">
        <v>0.00996021153763848</v>
      </c>
      <c r="AU72" s="34" t="n">
        <v>0.00752401436071668</v>
      </c>
      <c r="AV72" s="34" t="n">
        <v>0.00729111486640107</v>
      </c>
      <c r="AW72" s="34" t="n">
        <v>0.00599630421282727</v>
      </c>
      <c r="AX72" s="34" t="n">
        <v>0.00848289344069655</v>
      </c>
      <c r="AY72" s="34" t="n">
        <v>0.0087896715055566</v>
      </c>
      <c r="AZ72" s="34" t="n">
        <v>0.00782412089310946</v>
      </c>
      <c r="BA72" s="34" t="n">
        <v>0.0126409136522815</v>
      </c>
      <c r="BB72" s="34" t="n">
        <v>0.0618572881162521</v>
      </c>
      <c r="BC72" s="34" t="n">
        <v>0.0148912438864806</v>
      </c>
      <c r="BD72" s="34" t="n">
        <v>0.00891509546247086</v>
      </c>
      <c r="BE72" s="34" t="n">
        <v>0.0088585385939034</v>
      </c>
      <c r="BF72" s="34" t="n">
        <v>0.00850824360974864</v>
      </c>
      <c r="BG72" s="34" t="n">
        <v>0.00942681609396694</v>
      </c>
      <c r="BH72" s="34" t="n">
        <v>0.00814082274537125</v>
      </c>
      <c r="BI72" s="34" t="n">
        <v>0.0224041456902706</v>
      </c>
      <c r="BJ72" s="34" t="n">
        <v>0.00875412696639609</v>
      </c>
      <c r="BK72" s="34" t="n">
        <v>0.00860836337916335</v>
      </c>
      <c r="BL72" s="34" t="n">
        <v>0.00871361062380075</v>
      </c>
      <c r="BM72" s="34" t="n">
        <v>0.00906132829903232</v>
      </c>
      <c r="BN72" s="34" t="n">
        <v>0.00855309742354148</v>
      </c>
      <c r="BO72" s="34" t="n">
        <v>0.00907391925096858</v>
      </c>
      <c r="BP72" s="34" t="n">
        <v>0.00824272713519918</v>
      </c>
      <c r="BQ72" s="34" t="n">
        <v>0.0074736708268024</v>
      </c>
      <c r="BR72" s="34" t="n">
        <v>1.02824366962835</v>
      </c>
      <c r="BS72" s="34" t="n">
        <v>0.0131783352976151</v>
      </c>
      <c r="BT72" s="34" t="n">
        <v>0.00854423436199006</v>
      </c>
      <c r="BU72" s="34" t="n">
        <v>0.00854423436199006</v>
      </c>
    </row>
    <row r="73" customFormat="false" ht="11.25" hidden="false" customHeight="true" outlineLevel="0" collapsed="false">
      <c r="B73" s="19" t="s">
        <v>197</v>
      </c>
      <c r="C73" s="20" t="s">
        <v>198</v>
      </c>
      <c r="D73" s="19" t="n">
        <v>67</v>
      </c>
      <c r="E73" s="33" t="n">
        <v>0.0280937682715507</v>
      </c>
      <c r="F73" s="33" t="n">
        <v>0.0291595459291872</v>
      </c>
      <c r="G73" s="33" t="n">
        <v>0.0319053492847186</v>
      </c>
      <c r="H73" s="33" t="n">
        <v>0.0320666225707831</v>
      </c>
      <c r="I73" s="33" t="n">
        <v>0.0318100367482708</v>
      </c>
      <c r="J73" s="33" t="n">
        <v>0.034908581255003</v>
      </c>
      <c r="K73" s="33" t="n">
        <v>0.0343874385599259</v>
      </c>
      <c r="L73" s="33" t="n">
        <v>0.0505114529835539</v>
      </c>
      <c r="M73" s="33" t="n">
        <v>0.0359167010714151</v>
      </c>
      <c r="N73" s="33" t="n">
        <v>0.0402419351720171</v>
      </c>
      <c r="O73" s="33" t="n">
        <v>0.0332769004456705</v>
      </c>
      <c r="P73" s="33" t="n">
        <v>0.0366263487453076</v>
      </c>
      <c r="Q73" s="33" t="n">
        <v>0.0343506325134171</v>
      </c>
      <c r="R73" s="33" t="n">
        <v>0.0369060698117477</v>
      </c>
      <c r="S73" s="33" t="n">
        <v>0.0445429537125606</v>
      </c>
      <c r="T73" s="33" t="n">
        <v>0.0409985460807571</v>
      </c>
      <c r="U73" s="33" t="n">
        <v>0.0474257510382199</v>
      </c>
      <c r="V73" s="33" t="n">
        <v>0.032681692385305</v>
      </c>
      <c r="W73" s="33" t="n">
        <v>0.0251642761962476</v>
      </c>
      <c r="X73" s="33" t="n">
        <v>0.0358441931584652</v>
      </c>
      <c r="Y73" s="33" t="n">
        <v>0.0260872657612433</v>
      </c>
      <c r="Z73" s="33" t="n">
        <v>0.0339201936251747</v>
      </c>
      <c r="AA73" s="33" t="n">
        <v>0.0285756397047978</v>
      </c>
      <c r="AB73" s="33" t="n">
        <v>0.0461189006278401</v>
      </c>
      <c r="AC73" s="33" t="n">
        <v>0.0368852378165443</v>
      </c>
      <c r="AD73" s="33" t="n">
        <v>0.0408134630828807</v>
      </c>
      <c r="AE73" s="33" t="n">
        <v>0.0378268900726417</v>
      </c>
      <c r="AF73" s="33" t="n">
        <v>0.0320394396870345</v>
      </c>
      <c r="AG73" s="33" t="n">
        <v>0.042502377189737</v>
      </c>
      <c r="AH73" s="33" t="n">
        <v>0.02403719387905</v>
      </c>
      <c r="AI73" s="33" t="n">
        <v>0.0372313685289998</v>
      </c>
      <c r="AJ73" s="33" t="n">
        <v>0.0443290295173519</v>
      </c>
      <c r="AK73" s="33" t="n">
        <v>0.0245908998107521</v>
      </c>
      <c r="AL73" s="33" t="n">
        <v>0.0273607165267545</v>
      </c>
      <c r="AM73" s="33" t="n">
        <v>0.0230527414140364</v>
      </c>
      <c r="AN73" s="33" t="n">
        <v>0.0377768795001643</v>
      </c>
      <c r="AO73" s="33" t="n">
        <v>0.0254162597630323</v>
      </c>
      <c r="AP73" s="33" t="n">
        <v>0.0303425589520537</v>
      </c>
      <c r="AQ73" s="33" t="n">
        <v>0.0306217883802734</v>
      </c>
      <c r="AR73" s="33" t="n">
        <v>0.0296376999376099</v>
      </c>
      <c r="AS73" s="33" t="n">
        <v>0.0297684347403527</v>
      </c>
      <c r="AT73" s="33" t="n">
        <v>0.0400500870675707</v>
      </c>
      <c r="AU73" s="33" t="n">
        <v>0.0312683472784897</v>
      </c>
      <c r="AV73" s="33" t="n">
        <v>0.0295478361466533</v>
      </c>
      <c r="AW73" s="33" t="n">
        <v>0.024692958292018</v>
      </c>
      <c r="AX73" s="33" t="n">
        <v>0.040561087423715</v>
      </c>
      <c r="AY73" s="33" t="n">
        <v>0.037189117409267</v>
      </c>
      <c r="AZ73" s="33" t="n">
        <v>0.0304937689199288</v>
      </c>
      <c r="BA73" s="33" t="n">
        <v>0.0468968726783851</v>
      </c>
      <c r="BB73" s="33" t="n">
        <v>0.0455637268107206</v>
      </c>
      <c r="BC73" s="33" t="n">
        <v>0.0615076947169109</v>
      </c>
      <c r="BD73" s="33" t="n">
        <v>0.0417218660386898</v>
      </c>
      <c r="BE73" s="33" t="n">
        <v>0.0358584925522163</v>
      </c>
      <c r="BF73" s="33" t="n">
        <v>0.0330657731094678</v>
      </c>
      <c r="BG73" s="33" t="n">
        <v>0.0363725524783297</v>
      </c>
      <c r="BH73" s="33" t="n">
        <v>0.0319813229641667</v>
      </c>
      <c r="BI73" s="33" t="n">
        <v>0.0424246198560667</v>
      </c>
      <c r="BJ73" s="33" t="n">
        <v>0.0342774899962645</v>
      </c>
      <c r="BK73" s="33" t="n">
        <v>0.0379296756887226</v>
      </c>
      <c r="BL73" s="33" t="n">
        <v>0.0344212349991846</v>
      </c>
      <c r="BM73" s="33" t="n">
        <v>0.03314042892664</v>
      </c>
      <c r="BN73" s="33" t="n">
        <v>0.0327154945388185</v>
      </c>
      <c r="BO73" s="33" t="n">
        <v>0.0366223564244126</v>
      </c>
      <c r="BP73" s="33" t="n">
        <v>0.0379823273069357</v>
      </c>
      <c r="BQ73" s="33" t="n">
        <v>0.0372747605564068</v>
      </c>
      <c r="BR73" s="33" t="n">
        <v>0.0332488759304917</v>
      </c>
      <c r="BS73" s="33" t="n">
        <v>1.03389960822329</v>
      </c>
      <c r="BT73" s="33" t="n">
        <v>0.0331043120344925</v>
      </c>
      <c r="BU73" s="33" t="n">
        <v>0.0331043120344925</v>
      </c>
    </row>
    <row r="74" customFormat="false" ht="11.25" hidden="false" customHeight="true" outlineLevel="0" collapsed="false">
      <c r="B74" s="24" t="s">
        <v>199</v>
      </c>
      <c r="C74" s="25" t="s">
        <v>200</v>
      </c>
      <c r="D74" s="24" t="n">
        <v>68</v>
      </c>
      <c r="E74" s="34" t="n">
        <v>0.0146559040898901</v>
      </c>
      <c r="F74" s="34" t="n">
        <v>0.0151577879554761</v>
      </c>
      <c r="G74" s="34" t="n">
        <v>0.0168748655520239</v>
      </c>
      <c r="H74" s="34" t="n">
        <v>0.0152544754850471</v>
      </c>
      <c r="I74" s="34" t="n">
        <v>0.0140826069575157</v>
      </c>
      <c r="J74" s="34" t="n">
        <v>0.0160936929314062</v>
      </c>
      <c r="K74" s="34" t="n">
        <v>0.0150604364302106</v>
      </c>
      <c r="L74" s="34" t="n">
        <v>0.0240134290893054</v>
      </c>
      <c r="M74" s="34" t="n">
        <v>0.0171291177898607</v>
      </c>
      <c r="N74" s="34" t="n">
        <v>0.0192985101266621</v>
      </c>
      <c r="O74" s="34" t="n">
        <v>0.0151038553777502</v>
      </c>
      <c r="P74" s="34" t="n">
        <v>0.0174211623122309</v>
      </c>
      <c r="Q74" s="34" t="n">
        <v>0.0162468038576</v>
      </c>
      <c r="R74" s="34" t="n">
        <v>0.0173270334941453</v>
      </c>
      <c r="S74" s="34" t="n">
        <v>0.0210754559644567</v>
      </c>
      <c r="T74" s="34" t="n">
        <v>0.0189129974767291</v>
      </c>
      <c r="U74" s="34" t="n">
        <v>0.0220191593334401</v>
      </c>
      <c r="V74" s="34" t="n">
        <v>0.0153684403384764</v>
      </c>
      <c r="W74" s="34" t="n">
        <v>0.011874619523918</v>
      </c>
      <c r="X74" s="34" t="n">
        <v>0.0176503413414741</v>
      </c>
      <c r="Y74" s="34" t="n">
        <v>0.0123268649394465</v>
      </c>
      <c r="Z74" s="34" t="n">
        <v>0.0160811329830912</v>
      </c>
      <c r="AA74" s="34" t="n">
        <v>0.0134272332550401</v>
      </c>
      <c r="AB74" s="34" t="n">
        <v>0.0218953017908299</v>
      </c>
      <c r="AC74" s="34" t="n">
        <v>0.0170642189286884</v>
      </c>
      <c r="AD74" s="34" t="n">
        <v>0.0188678316735731</v>
      </c>
      <c r="AE74" s="34" t="n">
        <v>0.0174824304591378</v>
      </c>
      <c r="AF74" s="34" t="n">
        <v>0.0152818422908771</v>
      </c>
      <c r="AG74" s="34" t="n">
        <v>0.0191904021818899</v>
      </c>
      <c r="AH74" s="34" t="n">
        <v>0.0101719343940242</v>
      </c>
      <c r="AI74" s="34" t="n">
        <v>0.0169639671547247</v>
      </c>
      <c r="AJ74" s="34" t="n">
        <v>0.0204969545171381</v>
      </c>
      <c r="AK74" s="34" t="n">
        <v>0.0107798816597352</v>
      </c>
      <c r="AL74" s="34" t="n">
        <v>0.0125447729129731</v>
      </c>
      <c r="AM74" s="34" t="n">
        <v>0.0106071086092059</v>
      </c>
      <c r="AN74" s="34" t="n">
        <v>0.0179748059479383</v>
      </c>
      <c r="AO74" s="34" t="n">
        <v>0.0128364722729711</v>
      </c>
      <c r="AP74" s="34" t="n">
        <v>0.0148735817444278</v>
      </c>
      <c r="AQ74" s="34" t="n">
        <v>0.0161635126907842</v>
      </c>
      <c r="AR74" s="34" t="n">
        <v>0.0150629349334407</v>
      </c>
      <c r="AS74" s="34" t="n">
        <v>0.0151809864916413</v>
      </c>
      <c r="AT74" s="34" t="n">
        <v>0.0188859914506994</v>
      </c>
      <c r="AU74" s="34" t="n">
        <v>0.0152920743767506</v>
      </c>
      <c r="AV74" s="34" t="n">
        <v>0.0148047040141027</v>
      </c>
      <c r="AW74" s="34" t="n">
        <v>0.0117158574860199</v>
      </c>
      <c r="AX74" s="34" t="n">
        <v>0.0166008827336587</v>
      </c>
      <c r="AY74" s="34" t="n">
        <v>0.0158491125956223</v>
      </c>
      <c r="AZ74" s="34" t="n">
        <v>0.0151595322330665</v>
      </c>
      <c r="BA74" s="34" t="n">
        <v>0.0222447559224933</v>
      </c>
      <c r="BB74" s="34" t="n">
        <v>0.0203576815172584</v>
      </c>
      <c r="BC74" s="34" t="n">
        <v>0.0220550789990599</v>
      </c>
      <c r="BD74" s="34" t="n">
        <v>0.0171725440165794</v>
      </c>
      <c r="BE74" s="34" t="n">
        <v>0.0171198981797673</v>
      </c>
      <c r="BF74" s="34" t="n">
        <v>0.0179846574105253</v>
      </c>
      <c r="BG74" s="34" t="n">
        <v>0.0178363146885713</v>
      </c>
      <c r="BH74" s="34" t="n">
        <v>0.0162625562758478</v>
      </c>
      <c r="BI74" s="34" t="n">
        <v>0.0174518171579569</v>
      </c>
      <c r="BJ74" s="34" t="n">
        <v>0.0166162128839435</v>
      </c>
      <c r="BK74" s="34" t="n">
        <v>0.0171584276621653</v>
      </c>
      <c r="BL74" s="34" t="n">
        <v>0.0177971280399736</v>
      </c>
      <c r="BM74" s="34" t="n">
        <v>0.0172147275201596</v>
      </c>
      <c r="BN74" s="34" t="n">
        <v>0.0175468047355544</v>
      </c>
      <c r="BO74" s="34" t="n">
        <v>0.0170547126299131</v>
      </c>
      <c r="BP74" s="34" t="n">
        <v>0.0160574360300453</v>
      </c>
      <c r="BQ74" s="34" t="n">
        <v>0.0154402211762141</v>
      </c>
      <c r="BR74" s="34" t="n">
        <v>0.0166025222739028</v>
      </c>
      <c r="BS74" s="34" t="n">
        <v>0.0154717995098929</v>
      </c>
      <c r="BT74" s="34" t="n">
        <v>1.01829996310052</v>
      </c>
      <c r="BU74" s="34" t="n">
        <v>0.0182999631005238</v>
      </c>
    </row>
    <row r="75" customFormat="false" ht="11.25" hidden="false" customHeight="true" outlineLevel="0" collapsed="false">
      <c r="B75" s="19" t="s">
        <v>229</v>
      </c>
      <c r="C75" s="20" t="s">
        <v>230</v>
      </c>
      <c r="D75" s="19" t="n">
        <v>69</v>
      </c>
      <c r="E75" s="33" t="n">
        <v>1.62515997159881</v>
      </c>
      <c r="F75" s="33" t="n">
        <v>1.68081273540915</v>
      </c>
      <c r="G75" s="33" t="n">
        <v>1.87121557653879</v>
      </c>
      <c r="H75" s="33" t="n">
        <v>1.6915341963199</v>
      </c>
      <c r="I75" s="33" t="n">
        <v>1.56158835256714</v>
      </c>
      <c r="J75" s="33" t="n">
        <v>1.78459311598294</v>
      </c>
      <c r="K75" s="33" t="n">
        <v>1.67001764552147</v>
      </c>
      <c r="L75" s="33" t="n">
        <v>2.66279470017043</v>
      </c>
      <c r="M75" s="33" t="n">
        <v>1.89940903066399</v>
      </c>
      <c r="N75" s="33" t="n">
        <v>2.13996802769611</v>
      </c>
      <c r="O75" s="33" t="n">
        <v>1.67483227415969</v>
      </c>
      <c r="P75" s="33" t="n">
        <v>1.93179318552539</v>
      </c>
      <c r="Q75" s="33" t="n">
        <v>1.80157123940258</v>
      </c>
      <c r="R75" s="33" t="n">
        <v>1.92135545432925</v>
      </c>
      <c r="S75" s="33" t="n">
        <v>2.33700952234365</v>
      </c>
      <c r="T75" s="33" t="n">
        <v>2.09721940411251</v>
      </c>
      <c r="U75" s="33" t="n">
        <v>2.4416546490399</v>
      </c>
      <c r="V75" s="33" t="n">
        <v>1.70417150049619</v>
      </c>
      <c r="W75" s="33" t="n">
        <v>1.31674963276741</v>
      </c>
      <c r="X75" s="33" t="n">
        <v>1.9572063284043</v>
      </c>
      <c r="Y75" s="33" t="n">
        <v>1.36689810140833</v>
      </c>
      <c r="Z75" s="33" t="n">
        <v>1.78320037179454</v>
      </c>
      <c r="AA75" s="33" t="n">
        <v>1.48891544878929</v>
      </c>
      <c r="AB75" s="33" t="n">
        <v>2.42792036699247</v>
      </c>
      <c r="AC75" s="33" t="n">
        <v>1.89221254310972</v>
      </c>
      <c r="AD75" s="33" t="n">
        <v>2.09221107061605</v>
      </c>
      <c r="AE75" s="33" t="n">
        <v>1.93858707140759</v>
      </c>
      <c r="AF75" s="33" t="n">
        <v>1.69456883936292</v>
      </c>
      <c r="AG75" s="33" t="n">
        <v>2.12798018284001</v>
      </c>
      <c r="AH75" s="33" t="n">
        <v>1.12794273962946</v>
      </c>
      <c r="AI75" s="33" t="n">
        <v>1.88109585122035</v>
      </c>
      <c r="AJ75" s="33" t="n">
        <v>2.27286080862883</v>
      </c>
      <c r="AK75" s="33" t="n">
        <v>1.19535663337608</v>
      </c>
      <c r="AL75" s="33" t="n">
        <v>1.39106142247645</v>
      </c>
      <c r="AM75" s="33" t="n">
        <v>1.17619822157364</v>
      </c>
      <c r="AN75" s="33" t="n">
        <v>1.99318547287686</v>
      </c>
      <c r="AO75" s="33" t="n">
        <v>1.42340730306506</v>
      </c>
      <c r="AP75" s="33" t="n">
        <v>1.64929775311651</v>
      </c>
      <c r="AQ75" s="33" t="n">
        <v>1.79233527078089</v>
      </c>
      <c r="AR75" s="33" t="n">
        <v>1.67029469887919</v>
      </c>
      <c r="AS75" s="33" t="n">
        <v>1.68338516848077</v>
      </c>
      <c r="AT75" s="33" t="n">
        <v>2.09422476712347</v>
      </c>
      <c r="AU75" s="33" t="n">
        <v>1.69570345216371</v>
      </c>
      <c r="AV75" s="33" t="n">
        <v>1.64166005778415</v>
      </c>
      <c r="AW75" s="33" t="n">
        <v>1.29914487038504</v>
      </c>
      <c r="AX75" s="33" t="n">
        <v>1.84083424307878</v>
      </c>
      <c r="AY75" s="33" t="n">
        <v>1.7574721571449</v>
      </c>
      <c r="AZ75" s="33" t="n">
        <v>1.68100615439592</v>
      </c>
      <c r="BA75" s="33" t="n">
        <v>2.46667054324949</v>
      </c>
      <c r="BB75" s="33" t="n">
        <v>2.25741714148004</v>
      </c>
      <c r="BC75" s="33" t="n">
        <v>2.44563769931101</v>
      </c>
      <c r="BD75" s="33" t="n">
        <v>1.90422446647389</v>
      </c>
      <c r="BE75" s="33" t="n">
        <v>1.89838668900663</v>
      </c>
      <c r="BF75" s="33" t="n">
        <v>1.9942778792245</v>
      </c>
      <c r="BG75" s="33" t="n">
        <v>1.97782849116089</v>
      </c>
      <c r="BH75" s="33" t="n">
        <v>1.80331798934275</v>
      </c>
      <c r="BI75" s="33" t="n">
        <v>1.93519243185669</v>
      </c>
      <c r="BJ75" s="33" t="n">
        <v>1.84253416868204</v>
      </c>
      <c r="BK75" s="33" t="n">
        <v>1.90265913594239</v>
      </c>
      <c r="BL75" s="33" t="n">
        <v>1.97348317255539</v>
      </c>
      <c r="BM75" s="33" t="n">
        <v>1.90890209953289</v>
      </c>
      <c r="BN75" s="33" t="n">
        <v>1.94572538894783</v>
      </c>
      <c r="BO75" s="33" t="n">
        <v>1.89115841119449</v>
      </c>
      <c r="BP75" s="33" t="n">
        <v>1.7805726704052</v>
      </c>
      <c r="BQ75" s="33" t="n">
        <v>1.71213111482661</v>
      </c>
      <c r="BR75" s="33" t="n">
        <v>1.84101604797871</v>
      </c>
      <c r="BS75" s="33" t="n">
        <v>1.71563276464295</v>
      </c>
      <c r="BT75" s="33" t="n">
        <v>2.02924141221843</v>
      </c>
      <c r="BU75" s="33" t="n">
        <v>2.02924141221843</v>
      </c>
    </row>
  </sheetData>
  <mergeCells count="2">
    <mergeCell ref="B3:V3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8CE"/>
    <pageSetUpPr fitToPage="false"/>
  </sheetPr>
  <dimension ref="B1:BT7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52"/>
    <col collapsed="false" customWidth="true" hidden="false" outlineLevel="0" max="4" min="4" style="0" width="4.4"/>
    <col collapsed="false" customWidth="true" hidden="false" outlineLevel="0" max="72" min="5" style="0" width="10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231</v>
      </c>
    </row>
    <row r="3" customFormat="false" ht="12.75" hidden="false" customHeight="true" outlineLevel="0" collapsed="false">
      <c r="B3" s="15" t="s">
        <v>222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6" customFormat="false" ht="13.5" hidden="false" customHeight="true" outlineLevel="0" collapsed="false">
      <c r="B6" s="32" t="s">
        <v>62</v>
      </c>
      <c r="C6" s="32" t="s">
        <v>63</v>
      </c>
      <c r="D6" s="32"/>
      <c r="E6" s="32" t="n">
        <v>1</v>
      </c>
      <c r="F6" s="32" t="n">
        <v>2</v>
      </c>
      <c r="G6" s="32" t="n">
        <v>3</v>
      </c>
      <c r="H6" s="32" t="n">
        <v>4</v>
      </c>
      <c r="I6" s="32" t="n">
        <v>5</v>
      </c>
      <c r="J6" s="32" t="n">
        <v>6</v>
      </c>
      <c r="K6" s="32" t="n">
        <v>7</v>
      </c>
      <c r="L6" s="32" t="n">
        <v>8</v>
      </c>
      <c r="M6" s="32" t="n">
        <v>9</v>
      </c>
      <c r="N6" s="32" t="n">
        <v>10</v>
      </c>
      <c r="O6" s="32" t="n">
        <v>11</v>
      </c>
      <c r="P6" s="32" t="n">
        <v>12</v>
      </c>
      <c r="Q6" s="32" t="n">
        <v>13</v>
      </c>
      <c r="R6" s="32" t="n">
        <v>14</v>
      </c>
      <c r="S6" s="32" t="n">
        <v>15</v>
      </c>
      <c r="T6" s="32" t="n">
        <v>16</v>
      </c>
      <c r="U6" s="32" t="n">
        <v>17</v>
      </c>
      <c r="V6" s="32" t="n">
        <v>18</v>
      </c>
      <c r="W6" s="32" t="n">
        <v>19</v>
      </c>
      <c r="X6" s="32" t="n">
        <v>20</v>
      </c>
      <c r="Y6" s="32" t="n">
        <v>21</v>
      </c>
      <c r="Z6" s="32" t="n">
        <v>22</v>
      </c>
      <c r="AA6" s="32" t="n">
        <v>23</v>
      </c>
      <c r="AB6" s="32" t="n">
        <v>24</v>
      </c>
      <c r="AC6" s="32" t="n">
        <v>25</v>
      </c>
      <c r="AD6" s="32" t="n">
        <v>26</v>
      </c>
      <c r="AE6" s="32" t="n">
        <v>27</v>
      </c>
      <c r="AF6" s="32" t="n">
        <v>28</v>
      </c>
      <c r="AG6" s="32" t="n">
        <v>29</v>
      </c>
      <c r="AH6" s="32" t="n">
        <v>30</v>
      </c>
      <c r="AI6" s="32" t="n">
        <v>31</v>
      </c>
      <c r="AJ6" s="32" t="n">
        <v>32</v>
      </c>
      <c r="AK6" s="32" t="n">
        <v>33</v>
      </c>
      <c r="AL6" s="32" t="n">
        <v>34</v>
      </c>
      <c r="AM6" s="32" t="n">
        <v>35</v>
      </c>
      <c r="AN6" s="32" t="n">
        <v>36</v>
      </c>
      <c r="AO6" s="32" t="n">
        <v>37</v>
      </c>
      <c r="AP6" s="32" t="n">
        <v>38</v>
      </c>
      <c r="AQ6" s="32" t="n">
        <v>39</v>
      </c>
      <c r="AR6" s="32" t="n">
        <v>40</v>
      </c>
      <c r="AS6" s="32" t="n">
        <v>41</v>
      </c>
      <c r="AT6" s="32" t="n">
        <v>42</v>
      </c>
      <c r="AU6" s="32" t="n">
        <v>43</v>
      </c>
      <c r="AV6" s="32" t="n">
        <v>44</v>
      </c>
      <c r="AW6" s="32" t="n">
        <v>45</v>
      </c>
      <c r="AX6" s="32" t="n">
        <v>46</v>
      </c>
      <c r="AY6" s="32" t="n">
        <v>47</v>
      </c>
      <c r="AZ6" s="32" t="n">
        <v>48</v>
      </c>
      <c r="BA6" s="32" t="n">
        <v>49</v>
      </c>
      <c r="BB6" s="32" t="n">
        <v>50</v>
      </c>
      <c r="BC6" s="32" t="n">
        <v>51</v>
      </c>
      <c r="BD6" s="32" t="n">
        <v>52</v>
      </c>
      <c r="BE6" s="32" t="n">
        <v>53</v>
      </c>
      <c r="BF6" s="32" t="n">
        <v>54</v>
      </c>
      <c r="BG6" s="32" t="n">
        <v>55</v>
      </c>
      <c r="BH6" s="32" t="n">
        <v>56</v>
      </c>
      <c r="BI6" s="32" t="n">
        <v>57</v>
      </c>
      <c r="BJ6" s="32" t="n">
        <v>58</v>
      </c>
      <c r="BK6" s="32" t="n">
        <v>59</v>
      </c>
      <c r="BL6" s="32" t="n">
        <v>60</v>
      </c>
      <c r="BM6" s="32" t="n">
        <v>61</v>
      </c>
      <c r="BN6" s="32" t="n">
        <v>62</v>
      </c>
      <c r="BO6" s="32" t="n">
        <v>63</v>
      </c>
      <c r="BP6" s="32" t="n">
        <v>64</v>
      </c>
      <c r="BQ6" s="32" t="n">
        <v>65</v>
      </c>
      <c r="BR6" s="32" t="n">
        <v>66</v>
      </c>
      <c r="BS6" s="32" t="n">
        <v>67</v>
      </c>
      <c r="BT6" s="32" t="n">
        <v>68</v>
      </c>
    </row>
    <row r="7" customFormat="false" ht="11.25" hidden="false" customHeight="true" outlineLevel="0" collapsed="false">
      <c r="B7" s="19" t="s">
        <v>65</v>
      </c>
      <c r="C7" s="20" t="s">
        <v>66</v>
      </c>
      <c r="D7" s="19" t="n">
        <v>1</v>
      </c>
      <c r="E7" s="33" t="n">
        <v>0.0245708592566256</v>
      </c>
      <c r="F7" s="33" t="n">
        <v>0.0339613477829034</v>
      </c>
      <c r="G7" s="33" t="n">
        <v>0.00577046020615984</v>
      </c>
      <c r="H7" s="33" t="n">
        <v>0.000126768349736502</v>
      </c>
      <c r="I7" s="33" t="n">
        <v>2.71001131799972E-005</v>
      </c>
      <c r="J7" s="33" t="n">
        <v>8.01842535427119E-006</v>
      </c>
      <c r="K7" s="33" t="n">
        <v>7.66484430946581E-005</v>
      </c>
      <c r="L7" s="33" t="n">
        <v>0.0288040838753224</v>
      </c>
      <c r="M7" s="33" t="n">
        <v>0.456673473803196</v>
      </c>
      <c r="N7" s="33" t="n">
        <v>0.242748311303574</v>
      </c>
      <c r="O7" s="33" t="n">
        <v>0.0274289145623767</v>
      </c>
      <c r="P7" s="33" t="n">
        <v>0.244368940685629</v>
      </c>
      <c r="Q7" s="33" t="n">
        <v>0.0845018025256975</v>
      </c>
      <c r="R7" s="33" t="n">
        <v>0.00404301936139115</v>
      </c>
      <c r="S7" s="33" t="n">
        <v>0.000139933905463792</v>
      </c>
      <c r="T7" s="33" t="n">
        <v>0.00333253195257445</v>
      </c>
      <c r="U7" s="33" t="n">
        <v>0.00147447131447823</v>
      </c>
      <c r="V7" s="33" t="n">
        <v>8.52327352935812E-006</v>
      </c>
      <c r="W7" s="33" t="n">
        <v>2.14279042221334E-005</v>
      </c>
      <c r="X7" s="33" t="n">
        <v>0.409723868650401</v>
      </c>
      <c r="Y7" s="33" t="n">
        <v>0.000123863817227039</v>
      </c>
      <c r="Z7" s="33" t="n">
        <v>0.000330667202073677</v>
      </c>
      <c r="AA7" s="33" t="n">
        <v>3.92751912305271E-005</v>
      </c>
      <c r="AB7" s="33" t="n">
        <v>0.000117587567688874</v>
      </c>
      <c r="AC7" s="33" t="n">
        <v>0.000433236402560469</v>
      </c>
      <c r="AD7" s="33" t="n">
        <v>0.00021761700335816</v>
      </c>
      <c r="AE7" s="33" t="n">
        <v>0.000157205162311596</v>
      </c>
      <c r="AF7" s="33" t="n">
        <v>0.000236385222523519</v>
      </c>
      <c r="AG7" s="33" t="n">
        <v>1.66084739830482E-005</v>
      </c>
      <c r="AH7" s="33" t="n">
        <v>2.21273953931988E-006</v>
      </c>
      <c r="AI7" s="33" t="n">
        <v>4.77781859467414E-006</v>
      </c>
      <c r="AJ7" s="33" t="n">
        <v>7.36576682736603E-006</v>
      </c>
      <c r="AK7" s="33" t="n">
        <v>3.69839384284182E-006</v>
      </c>
      <c r="AL7" s="33" t="n">
        <v>3.695917532755E-006</v>
      </c>
      <c r="AM7" s="33" t="n">
        <v>1.41353738481341E-005</v>
      </c>
      <c r="AN7" s="33" t="n">
        <v>0.000152362319693293</v>
      </c>
      <c r="AO7" s="33" t="n">
        <v>7.28119892997722E-007</v>
      </c>
      <c r="AP7" s="33" t="n">
        <v>2.49338632091083E-006</v>
      </c>
      <c r="AQ7" s="33" t="n">
        <v>0.000347692882335073</v>
      </c>
      <c r="AR7" s="33" t="n">
        <v>0.00047372838993291</v>
      </c>
      <c r="AS7" s="33" t="n">
        <v>1.1253610051782E-005</v>
      </c>
      <c r="AT7" s="33" t="n">
        <v>0.00864353836021936</v>
      </c>
      <c r="AU7" s="33" t="n">
        <v>1.79859449872384E-006</v>
      </c>
      <c r="AV7" s="33" t="n">
        <v>9.57830228019816E-007</v>
      </c>
      <c r="AW7" s="33" t="n">
        <v>9.57077706382023E-006</v>
      </c>
      <c r="AX7" s="33" t="n">
        <v>6.16971548409292E-005</v>
      </c>
      <c r="AY7" s="33" t="n">
        <v>0.0103559998338382</v>
      </c>
      <c r="AZ7" s="33" t="n">
        <v>0.0173337851333649</v>
      </c>
      <c r="BA7" s="33" t="n">
        <v>4.72463859117934E-006</v>
      </c>
      <c r="BB7" s="33" t="n">
        <v>1.63845540514034E-005</v>
      </c>
      <c r="BC7" s="33" t="n">
        <v>0.000186793764010293</v>
      </c>
      <c r="BD7" s="33" t="n">
        <v>1.27804372805677E-005</v>
      </c>
      <c r="BE7" s="33" t="n">
        <v>2.49395313927116E-005</v>
      </c>
      <c r="BF7" s="33" t="n">
        <v>2.70341914895594E-005</v>
      </c>
      <c r="BG7" s="33" t="n">
        <v>2.34220647367291E-005</v>
      </c>
      <c r="BH7" s="33" t="n">
        <v>0.000180741241695497</v>
      </c>
      <c r="BI7" s="33" t="n">
        <v>7.46110921847288E-006</v>
      </c>
      <c r="BJ7" s="33" t="n">
        <v>9.51651120330049E-006</v>
      </c>
      <c r="BK7" s="33" t="n">
        <v>0.000410571783737101</v>
      </c>
      <c r="BL7" s="33" t="n">
        <v>4.26500316209102E-006</v>
      </c>
      <c r="BM7" s="33" t="n">
        <v>0.00196610335295136</v>
      </c>
      <c r="BN7" s="33" t="n">
        <v>0.00167031112266889</v>
      </c>
      <c r="BO7" s="33" t="n">
        <v>0.000491028031629558</v>
      </c>
      <c r="BP7" s="33" t="n">
        <v>0.00129863308017991</v>
      </c>
      <c r="BQ7" s="33" t="n">
        <v>0.000909152791023939</v>
      </c>
      <c r="BR7" s="33" t="n">
        <v>5.52634149372058E-005</v>
      </c>
      <c r="BS7" s="33" t="n">
        <v>0.00103185981843876</v>
      </c>
      <c r="BT7" s="33" t="n">
        <v>0</v>
      </c>
    </row>
    <row r="8" customFormat="false" ht="11.25" hidden="false" customHeight="true" outlineLevel="0" collapsed="false">
      <c r="B8" s="24" t="s">
        <v>67</v>
      </c>
      <c r="C8" s="25" t="s">
        <v>68</v>
      </c>
      <c r="D8" s="24" t="n">
        <v>2</v>
      </c>
      <c r="E8" s="34" t="n">
        <v>0.00311417304485893</v>
      </c>
      <c r="F8" s="34" t="n">
        <v>0.0355896762147593</v>
      </c>
      <c r="G8" s="34" t="n">
        <v>0.00532462031341935</v>
      </c>
      <c r="H8" s="34" t="n">
        <v>0.000322867121728866</v>
      </c>
      <c r="I8" s="34" t="n">
        <v>7.85302465830983E-005</v>
      </c>
      <c r="J8" s="34" t="n">
        <v>1.33450659325111E-005</v>
      </c>
      <c r="K8" s="34" t="n">
        <v>0.000163357525685832</v>
      </c>
      <c r="L8" s="34" t="n">
        <v>0.341137163985312</v>
      </c>
      <c r="M8" s="34" t="n">
        <v>0.0023006700126379</v>
      </c>
      <c r="N8" s="34" t="n">
        <v>0.0151704386103185</v>
      </c>
      <c r="O8" s="34" t="n">
        <v>0.000935321443250017</v>
      </c>
      <c r="P8" s="34" t="n">
        <v>0.012473371354682</v>
      </c>
      <c r="Q8" s="34" t="n">
        <v>0.00200392365768847</v>
      </c>
      <c r="R8" s="34" t="n">
        <v>0.000988866102368221</v>
      </c>
      <c r="S8" s="34" t="n">
        <v>0.000248048563467236</v>
      </c>
      <c r="T8" s="34" t="n">
        <v>0.00565697561667446</v>
      </c>
      <c r="U8" s="34" t="n">
        <v>0.00203629030603613</v>
      </c>
      <c r="V8" s="34" t="n">
        <v>1.85531721414436E-005</v>
      </c>
      <c r="W8" s="34" t="n">
        <v>1.28211537905439E-006</v>
      </c>
      <c r="X8" s="34" t="n">
        <v>0.00294871984998607</v>
      </c>
      <c r="Y8" s="34" t="n">
        <v>0.000476967051754017</v>
      </c>
      <c r="Z8" s="34" t="n">
        <v>0.000159974224046183</v>
      </c>
      <c r="AA8" s="34" t="n">
        <v>9.02559578291246E-005</v>
      </c>
      <c r="AB8" s="34" t="n">
        <v>3.65815160539714E-005</v>
      </c>
      <c r="AC8" s="34" t="n">
        <v>0.000704299001790244</v>
      </c>
      <c r="AD8" s="34" t="n">
        <v>0.000967893393328592</v>
      </c>
      <c r="AE8" s="34" t="n">
        <v>0.000316066710183857</v>
      </c>
      <c r="AF8" s="34" t="n">
        <v>0.000551040744444843</v>
      </c>
      <c r="AG8" s="34" t="n">
        <v>1.69536749142801E-005</v>
      </c>
      <c r="AH8" s="34" t="n">
        <v>5.91380369245683E-006</v>
      </c>
      <c r="AI8" s="34" t="n">
        <v>1.65511716513752E-005</v>
      </c>
      <c r="AJ8" s="34" t="n">
        <v>1.33467548314114E-005</v>
      </c>
      <c r="AK8" s="34" t="n">
        <v>6.21951059636421E-006</v>
      </c>
      <c r="AL8" s="34" t="n">
        <v>1.00684674643332E-005</v>
      </c>
      <c r="AM8" s="34" t="n">
        <v>2.0991160123974E-005</v>
      </c>
      <c r="AN8" s="34" t="n">
        <v>8.13422516554973E-005</v>
      </c>
      <c r="AO8" s="34" t="n">
        <v>2.21405510596107E-006</v>
      </c>
      <c r="AP8" s="34" t="n">
        <v>3.1735123824682E-006</v>
      </c>
      <c r="AQ8" s="34" t="n">
        <v>0.000109253896865301</v>
      </c>
      <c r="AR8" s="34" t="n">
        <v>0.00106129554874313</v>
      </c>
      <c r="AS8" s="34" t="n">
        <v>1.87743603784395E-005</v>
      </c>
      <c r="AT8" s="34" t="n">
        <v>0.000378482251988357</v>
      </c>
      <c r="AU8" s="34" t="n">
        <v>2.68902837153362E-006</v>
      </c>
      <c r="AV8" s="34" t="n">
        <v>2.21533580425314E-006</v>
      </c>
      <c r="AW8" s="34" t="n">
        <v>1.11146132072965E-005</v>
      </c>
      <c r="AX8" s="34" t="n">
        <v>0.000130673204021596</v>
      </c>
      <c r="AY8" s="34" t="n">
        <v>0.0095765670861448</v>
      </c>
      <c r="AZ8" s="34" t="n">
        <v>0.00568506345841919</v>
      </c>
      <c r="BA8" s="34" t="n">
        <v>1.33545458526421E-005</v>
      </c>
      <c r="BB8" s="34" t="n">
        <v>2.94448527394083E-005</v>
      </c>
      <c r="BC8" s="34" t="n">
        <v>0.000397243518216511</v>
      </c>
      <c r="BD8" s="34" t="n">
        <v>2.91767433743332E-005</v>
      </c>
      <c r="BE8" s="34" t="n">
        <v>5.01281620227308E-005</v>
      </c>
      <c r="BF8" s="34" t="n">
        <v>6.02917105424145E-005</v>
      </c>
      <c r="BG8" s="34" t="n">
        <v>2.415919571969E-005</v>
      </c>
      <c r="BH8" s="34" t="n">
        <v>0.000184417038470457</v>
      </c>
      <c r="BI8" s="34" t="n">
        <v>7.56765691857739E-005</v>
      </c>
      <c r="BJ8" s="34" t="n">
        <v>2.179985267873E-005</v>
      </c>
      <c r="BK8" s="34" t="n">
        <v>0.000110308264686796</v>
      </c>
      <c r="BL8" s="34" t="n">
        <v>8.54574153426933E-006</v>
      </c>
      <c r="BM8" s="34" t="n">
        <v>0.000378553442403715</v>
      </c>
      <c r="BN8" s="34" t="n">
        <v>0.00052493459611266</v>
      </c>
      <c r="BO8" s="34" t="n">
        <v>0.000173813417205546</v>
      </c>
      <c r="BP8" s="34" t="n">
        <v>0.000448347278850423</v>
      </c>
      <c r="BQ8" s="34" t="n">
        <v>0.000616474060736663</v>
      </c>
      <c r="BR8" s="34" t="n">
        <v>5.41680990094581E-005</v>
      </c>
      <c r="BS8" s="34" t="n">
        <v>0.000325376285042261</v>
      </c>
      <c r="BT8" s="34" t="n">
        <v>0</v>
      </c>
    </row>
    <row r="9" customFormat="false" ht="11.25" hidden="false" customHeight="true" outlineLevel="0" collapsed="false">
      <c r="B9" s="19" t="s">
        <v>69</v>
      </c>
      <c r="C9" s="20" t="s">
        <v>70</v>
      </c>
      <c r="D9" s="19" t="n">
        <v>3</v>
      </c>
      <c r="E9" s="33" t="n">
        <v>0.00419563700348541</v>
      </c>
      <c r="F9" s="33" t="n">
        <v>0.0102484276403776</v>
      </c>
      <c r="G9" s="33" t="n">
        <v>0.0745014559166604</v>
      </c>
      <c r="H9" s="33" t="n">
        <v>0.00012604737481193</v>
      </c>
      <c r="I9" s="33" t="n">
        <v>5.54679448914826E-006</v>
      </c>
      <c r="J9" s="33" t="n">
        <v>1.0467379753722E-006</v>
      </c>
      <c r="K9" s="33" t="n">
        <v>7.7244738799851E-006</v>
      </c>
      <c r="L9" s="33" t="n">
        <v>0.00670167448635828</v>
      </c>
      <c r="M9" s="33" t="n">
        <v>4.62071534346303E-005</v>
      </c>
      <c r="N9" s="33" t="n">
        <v>0.00181876350659631</v>
      </c>
      <c r="O9" s="33" t="n">
        <v>0.000181758007950816</v>
      </c>
      <c r="P9" s="33" t="n">
        <v>0.00153772995652212</v>
      </c>
      <c r="Q9" s="33" t="n">
        <v>0.00144879180776431</v>
      </c>
      <c r="R9" s="33" t="n">
        <v>0.00036194869364498</v>
      </c>
      <c r="S9" s="33" t="n">
        <v>0.000490067693473284</v>
      </c>
      <c r="T9" s="33" t="n">
        <v>0.106764954593498</v>
      </c>
      <c r="U9" s="33" t="n">
        <v>0.0359314119428548</v>
      </c>
      <c r="V9" s="33" t="n">
        <v>9.77331743374615E-007</v>
      </c>
      <c r="W9" s="33" t="n">
        <v>7.77209677120942E-008</v>
      </c>
      <c r="X9" s="33" t="n">
        <v>0.000107365050869187</v>
      </c>
      <c r="Y9" s="33" t="n">
        <v>0.00120916638884832</v>
      </c>
      <c r="Z9" s="33" t="n">
        <v>4.3905632390138E-005</v>
      </c>
      <c r="AA9" s="33" t="n">
        <v>1.98279929340052E-006</v>
      </c>
      <c r="AB9" s="33" t="n">
        <v>4.88457361777403E-006</v>
      </c>
      <c r="AC9" s="33" t="n">
        <v>0.0132568222011192</v>
      </c>
      <c r="AD9" s="33" t="n">
        <v>0.000768665671660153</v>
      </c>
      <c r="AE9" s="33" t="n">
        <v>0.00468188781739911</v>
      </c>
      <c r="AF9" s="33" t="n">
        <v>2.91663424059238E-005</v>
      </c>
      <c r="AG9" s="33" t="n">
        <v>9.06125063204501E-005</v>
      </c>
      <c r="AH9" s="33" t="n">
        <v>6.04153657686717E-007</v>
      </c>
      <c r="AI9" s="33" t="n">
        <v>1.50284840069327E-006</v>
      </c>
      <c r="AJ9" s="33" t="n">
        <v>1.62366008665786E-006</v>
      </c>
      <c r="AK9" s="33" t="n">
        <v>6.84254557686422E-007</v>
      </c>
      <c r="AL9" s="33" t="n">
        <v>9.98350056722974E-007</v>
      </c>
      <c r="AM9" s="33" t="n">
        <v>1.98947837727898E-006</v>
      </c>
      <c r="AN9" s="33" t="n">
        <v>6.09478270718241E-005</v>
      </c>
      <c r="AO9" s="33" t="n">
        <v>2.71558922489865E-007</v>
      </c>
      <c r="AP9" s="33" t="n">
        <v>6.05350692825763E-007</v>
      </c>
      <c r="AQ9" s="33" t="n">
        <v>9.4518125738482E-006</v>
      </c>
      <c r="AR9" s="33" t="n">
        <v>0.000765327633603812</v>
      </c>
      <c r="AS9" s="33" t="n">
        <v>1.36975399751367E-006</v>
      </c>
      <c r="AT9" s="33" t="n">
        <v>0.000340152107376733</v>
      </c>
      <c r="AU9" s="33" t="n">
        <v>2.78919312792061E-007</v>
      </c>
      <c r="AV9" s="33" t="n">
        <v>1.89795446970465E-007</v>
      </c>
      <c r="AW9" s="33" t="n">
        <v>1.02442408574526E-006</v>
      </c>
      <c r="AX9" s="33" t="n">
        <v>6.53889933360471E-006</v>
      </c>
      <c r="AY9" s="33" t="n">
        <v>0.00201354558306466</v>
      </c>
      <c r="AZ9" s="33" t="n">
        <v>0.00223358764244467</v>
      </c>
      <c r="BA9" s="33" t="n">
        <v>1.53434519619111E-006</v>
      </c>
      <c r="BB9" s="33" t="n">
        <v>3.01471308539703E-006</v>
      </c>
      <c r="BC9" s="33" t="n">
        <v>1.84266516794274E-005</v>
      </c>
      <c r="BD9" s="33" t="n">
        <v>2.14837034232317E-006</v>
      </c>
      <c r="BE9" s="33" t="n">
        <v>2.68176563599952E-006</v>
      </c>
      <c r="BF9" s="33" t="n">
        <v>3.29113817983329E-006</v>
      </c>
      <c r="BG9" s="33" t="n">
        <v>1.45704234274266E-006</v>
      </c>
      <c r="BH9" s="33" t="n">
        <v>5.30383691336582E-005</v>
      </c>
      <c r="BI9" s="33" t="n">
        <v>8.20230851829156E-007</v>
      </c>
      <c r="BJ9" s="33" t="n">
        <v>1.7105798154173E-006</v>
      </c>
      <c r="BK9" s="33" t="n">
        <v>6.10003410722244E-006</v>
      </c>
      <c r="BL9" s="33" t="n">
        <v>6.80818810749564E-007</v>
      </c>
      <c r="BM9" s="33" t="n">
        <v>0.000174297158495016</v>
      </c>
      <c r="BN9" s="33" t="n">
        <v>0.0003117985599786</v>
      </c>
      <c r="BO9" s="33" t="n">
        <v>8.96928586596386E-005</v>
      </c>
      <c r="BP9" s="33" t="n">
        <v>0.000238978427815191</v>
      </c>
      <c r="BQ9" s="33" t="n">
        <v>0.000127997060130316</v>
      </c>
      <c r="BR9" s="33" t="n">
        <v>3.2795236389021E-006</v>
      </c>
      <c r="BS9" s="33" t="n">
        <v>2.87065887707589E-005</v>
      </c>
      <c r="BT9" s="33" t="n">
        <v>0</v>
      </c>
    </row>
    <row r="10" customFormat="false" ht="11.25" hidden="false" customHeight="true" outlineLevel="0" collapsed="false">
      <c r="B10" s="24" t="s">
        <v>71</v>
      </c>
      <c r="C10" s="25" t="s">
        <v>72</v>
      </c>
      <c r="D10" s="24" t="n">
        <v>4</v>
      </c>
      <c r="E10" s="34" t="n">
        <v>0.00063717446423791</v>
      </c>
      <c r="F10" s="34" t="n">
        <v>0.00264686073719022</v>
      </c>
      <c r="G10" s="34" t="n">
        <v>0.000355218954509683</v>
      </c>
      <c r="H10" s="34" t="n">
        <v>0.0162484902178573</v>
      </c>
      <c r="I10" s="34" t="n">
        <v>0.00242598195865707</v>
      </c>
      <c r="J10" s="34" t="n">
        <v>2.3529884432731E-005</v>
      </c>
      <c r="K10" s="34" t="n">
        <v>0.000320878396364972</v>
      </c>
      <c r="L10" s="34" t="n">
        <v>0.000271757140913501</v>
      </c>
      <c r="M10" s="34" t="n">
        <v>0.000339076146375319</v>
      </c>
      <c r="N10" s="34" t="n">
        <v>0.00116739690336074</v>
      </c>
      <c r="O10" s="34" t="n">
        <v>0.000335925452563458</v>
      </c>
      <c r="P10" s="34" t="n">
        <v>8.51643528888031E-006</v>
      </c>
      <c r="Q10" s="34" t="n">
        <v>0.000142963824707845</v>
      </c>
      <c r="R10" s="34" t="n">
        <v>8.74435083726101E-006</v>
      </c>
      <c r="S10" s="34" t="n">
        <v>0.000134735247439622</v>
      </c>
      <c r="T10" s="34" t="n">
        <v>1.70013862652326E-005</v>
      </c>
      <c r="U10" s="34" t="n">
        <v>0.000669945807759754</v>
      </c>
      <c r="V10" s="34" t="n">
        <v>1.71847230290725E-005</v>
      </c>
      <c r="W10" s="34" t="n">
        <v>6.10966690903093E-005</v>
      </c>
      <c r="X10" s="34" t="n">
        <v>0.00505375919072438</v>
      </c>
      <c r="Y10" s="34" t="n">
        <v>0.0262943595394016</v>
      </c>
      <c r="Z10" s="34" t="n">
        <v>0.00281914652821159</v>
      </c>
      <c r="AA10" s="34" t="n">
        <v>0.000715138436803771</v>
      </c>
      <c r="AB10" s="34" t="n">
        <v>8.7668761387177E-005</v>
      </c>
      <c r="AC10" s="34" t="n">
        <v>0.000252855121892951</v>
      </c>
      <c r="AD10" s="34" t="n">
        <v>0.0526924188883992</v>
      </c>
      <c r="AE10" s="34" t="n">
        <v>0.0119799379939084</v>
      </c>
      <c r="AF10" s="34" t="n">
        <v>0.00690702979442612</v>
      </c>
      <c r="AG10" s="34" t="n">
        <v>0.000113261058192253</v>
      </c>
      <c r="AH10" s="34" t="n">
        <v>7.9935545329575E-006</v>
      </c>
      <c r="AI10" s="34" t="n">
        <v>0.000647779811628855</v>
      </c>
      <c r="AJ10" s="34" t="n">
        <v>0.000144326523956666</v>
      </c>
      <c r="AK10" s="34" t="n">
        <v>0.00013819672987818</v>
      </c>
      <c r="AL10" s="34" t="n">
        <v>0.00038482373091497</v>
      </c>
      <c r="AM10" s="34" t="n">
        <v>0.000139028610447132</v>
      </c>
      <c r="AN10" s="34" t="n">
        <v>0.000516984078631917</v>
      </c>
      <c r="AO10" s="34" t="n">
        <v>0.000215072166629768</v>
      </c>
      <c r="AP10" s="34" t="n">
        <v>0.000717932682712289</v>
      </c>
      <c r="AQ10" s="34" t="n">
        <v>0.00541489207924299</v>
      </c>
      <c r="AR10" s="34" t="n">
        <v>0.0104215599606609</v>
      </c>
      <c r="AS10" s="34" t="n">
        <v>2.69771547013078E-005</v>
      </c>
      <c r="AT10" s="34" t="n">
        <v>9.71829872985598E-005</v>
      </c>
      <c r="AU10" s="34" t="n">
        <v>2.50103315645884E-006</v>
      </c>
      <c r="AV10" s="34" t="n">
        <v>1.09986759441334E-005</v>
      </c>
      <c r="AW10" s="34" t="n">
        <v>1.85667755823609E-006</v>
      </c>
      <c r="AX10" s="34" t="n">
        <v>5.6801021307054E-005</v>
      </c>
      <c r="AY10" s="34" t="n">
        <v>0.000168186708774728</v>
      </c>
      <c r="AZ10" s="34" t="n">
        <v>0.000150517322753288</v>
      </c>
      <c r="BA10" s="34" t="n">
        <v>1.84996635431435E-005</v>
      </c>
      <c r="BB10" s="34" t="n">
        <v>1.35867505357914E-005</v>
      </c>
      <c r="BC10" s="34" t="n">
        <v>1.85530763022787E-005</v>
      </c>
      <c r="BD10" s="34" t="n">
        <v>7.11436642378244E-006</v>
      </c>
      <c r="BE10" s="34" t="n">
        <v>5.93719778401294E-006</v>
      </c>
      <c r="BF10" s="34" t="n">
        <v>0.000487275996457467</v>
      </c>
      <c r="BG10" s="34" t="n">
        <v>1.36257206142276E-005</v>
      </c>
      <c r="BH10" s="34" t="n">
        <v>3.36208012806457E-005</v>
      </c>
      <c r="BI10" s="34" t="n">
        <v>7.44721422550274E-006</v>
      </c>
      <c r="BJ10" s="34" t="n">
        <v>1.35992080502816E-005</v>
      </c>
      <c r="BK10" s="34" t="n">
        <v>1.71604353637103E-005</v>
      </c>
      <c r="BL10" s="34" t="n">
        <v>4.06262791349867E-006</v>
      </c>
      <c r="BM10" s="34" t="n">
        <v>0.000100976884486043</v>
      </c>
      <c r="BN10" s="34" t="n">
        <v>0.00010282298906235</v>
      </c>
      <c r="BO10" s="34" t="n">
        <v>2.87261404046439E-005</v>
      </c>
      <c r="BP10" s="34" t="n">
        <v>0.000121130670572312</v>
      </c>
      <c r="BQ10" s="34" t="n">
        <v>0.000155945347000191</v>
      </c>
      <c r="BR10" s="34" t="n">
        <v>4.62092183726499E-005</v>
      </c>
      <c r="BS10" s="34" t="n">
        <v>5.82705519229805E-005</v>
      </c>
      <c r="BT10" s="34" t="n">
        <v>0</v>
      </c>
    </row>
    <row r="11" customFormat="false" ht="11.25" hidden="false" customHeight="true" outlineLevel="0" collapsed="false">
      <c r="B11" s="19" t="s">
        <v>73</v>
      </c>
      <c r="C11" s="20" t="s">
        <v>74</v>
      </c>
      <c r="D11" s="19" t="n">
        <v>5</v>
      </c>
      <c r="E11" s="33" t="n">
        <v>7.80803562937046E-005</v>
      </c>
      <c r="F11" s="33" t="n">
        <v>0.000101727962805012</v>
      </c>
      <c r="G11" s="33" t="n">
        <v>3.29841037038133E-005</v>
      </c>
      <c r="H11" s="33" t="n">
        <v>0.000158883866348387</v>
      </c>
      <c r="I11" s="33" t="n">
        <v>0.0459982007620002</v>
      </c>
      <c r="J11" s="33" t="n">
        <v>0.00305606042026887</v>
      </c>
      <c r="K11" s="33" t="n">
        <v>0.0015217612004913</v>
      </c>
      <c r="L11" s="33" t="n">
        <v>0.000307989713116049</v>
      </c>
      <c r="M11" s="33" t="n">
        <v>3.69453868116954E-005</v>
      </c>
      <c r="N11" s="33" t="n">
        <v>0.00201999676390082</v>
      </c>
      <c r="O11" s="33" t="n">
        <v>0.00176214625966292</v>
      </c>
      <c r="P11" s="33" t="n">
        <v>1.02687366679174E-005</v>
      </c>
      <c r="Q11" s="33" t="n">
        <v>0.00296651176147288</v>
      </c>
      <c r="R11" s="33" t="n">
        <v>3.23678736116147E-005</v>
      </c>
      <c r="S11" s="33" t="n">
        <v>5.63651204283282E-005</v>
      </c>
      <c r="T11" s="33" t="n">
        <v>0.00107400734907332</v>
      </c>
      <c r="U11" s="33" t="n">
        <v>0.00633402963478504</v>
      </c>
      <c r="V11" s="33" t="n">
        <v>0.000125228360080487</v>
      </c>
      <c r="W11" s="33" t="n">
        <v>0.293530869965592</v>
      </c>
      <c r="X11" s="33" t="n">
        <v>4.61396229424607E-005</v>
      </c>
      <c r="Y11" s="33" t="n">
        <v>0.00980580706501442</v>
      </c>
      <c r="Z11" s="33" t="n">
        <v>0.00157012904701377</v>
      </c>
      <c r="AA11" s="33" t="n">
        <v>0.000749941892754396</v>
      </c>
      <c r="AB11" s="33" t="n">
        <v>0.000573650400979989</v>
      </c>
      <c r="AC11" s="33" t="n">
        <v>0.00098590347143193</v>
      </c>
      <c r="AD11" s="33" t="n">
        <v>0.00350488003773788</v>
      </c>
      <c r="AE11" s="33" t="n">
        <v>0.00321396382112202</v>
      </c>
      <c r="AF11" s="33" t="n">
        <v>0.00492691826202224</v>
      </c>
      <c r="AG11" s="33" t="n">
        <v>0.00248447423854872</v>
      </c>
      <c r="AH11" s="33" t="n">
        <v>3.69999624323498E-005</v>
      </c>
      <c r="AI11" s="33" t="n">
        <v>0.000370148179281292</v>
      </c>
      <c r="AJ11" s="33" t="n">
        <v>0.000213140124993565</v>
      </c>
      <c r="AK11" s="33" t="n">
        <v>0.000440989065724674</v>
      </c>
      <c r="AL11" s="33" t="n">
        <v>0.00162849715339181</v>
      </c>
      <c r="AM11" s="33" t="n">
        <v>4.98624094057478E-005</v>
      </c>
      <c r="AN11" s="33" t="n">
        <v>4.84613700215531E-005</v>
      </c>
      <c r="AO11" s="33" t="n">
        <v>0.000106479891559801</v>
      </c>
      <c r="AP11" s="33" t="n">
        <v>0.0372574839383516</v>
      </c>
      <c r="AQ11" s="33" t="n">
        <v>0.00424434532057207</v>
      </c>
      <c r="AR11" s="33" t="n">
        <v>0.00103348850861852</v>
      </c>
      <c r="AS11" s="33" t="n">
        <v>7.19939754759172E-005</v>
      </c>
      <c r="AT11" s="33" t="n">
        <v>0.000166041288259054</v>
      </c>
      <c r="AU11" s="33" t="n">
        <v>0.000211473332292925</v>
      </c>
      <c r="AV11" s="33" t="n">
        <v>0.00018282819867755</v>
      </c>
      <c r="AW11" s="33" t="n">
        <v>4.34928829764879E-005</v>
      </c>
      <c r="AX11" s="33" t="n">
        <v>0.000276606983914163</v>
      </c>
      <c r="AY11" s="33" t="n">
        <v>0.000124818016799881</v>
      </c>
      <c r="AZ11" s="33" t="n">
        <v>0.00014611805544904</v>
      </c>
      <c r="BA11" s="33" t="n">
        <v>9.44279084955812E-005</v>
      </c>
      <c r="BB11" s="33" t="n">
        <v>4.12998539356015E-005</v>
      </c>
      <c r="BC11" s="33" t="n">
        <v>0.000328996865518577</v>
      </c>
      <c r="BD11" s="33" t="n">
        <v>6.70243732663113E-005</v>
      </c>
      <c r="BE11" s="33" t="n">
        <v>3.31643306699218E-005</v>
      </c>
      <c r="BF11" s="33" t="n">
        <v>1.18833067134334E-005</v>
      </c>
      <c r="BG11" s="33" t="n">
        <v>7.35215319620039E-005</v>
      </c>
      <c r="BH11" s="33" t="n">
        <v>0.000671868665687655</v>
      </c>
      <c r="BI11" s="33" t="n">
        <v>3.14537666052803E-005</v>
      </c>
      <c r="BJ11" s="33" t="n">
        <v>0.000164251121292008</v>
      </c>
      <c r="BK11" s="33" t="n">
        <v>5.09363369698317E-005</v>
      </c>
      <c r="BL11" s="33" t="n">
        <v>3.30071618938811E-005</v>
      </c>
      <c r="BM11" s="33" t="n">
        <v>0.000591585419545491</v>
      </c>
      <c r="BN11" s="33" t="n">
        <v>2.69029585525518E-005</v>
      </c>
      <c r="BO11" s="33" t="n">
        <v>0.000141978526504982</v>
      </c>
      <c r="BP11" s="33" t="n">
        <v>3.36994286396561E-005</v>
      </c>
      <c r="BQ11" s="33" t="n">
        <v>4.55203612208239E-005</v>
      </c>
      <c r="BR11" s="33" t="n">
        <v>0.000261248414957297</v>
      </c>
      <c r="BS11" s="33" t="n">
        <v>0.000111465275755002</v>
      </c>
      <c r="BT11" s="33" t="n">
        <v>0</v>
      </c>
    </row>
    <row r="12" customFormat="false" ht="11.25" hidden="false" customHeight="true" outlineLevel="0" collapsed="false">
      <c r="B12" s="24" t="s">
        <v>75</v>
      </c>
      <c r="C12" s="25" t="s">
        <v>76</v>
      </c>
      <c r="D12" s="24" t="n">
        <v>6</v>
      </c>
      <c r="E12" s="34" t="n">
        <v>4.33996009326405E-009</v>
      </c>
      <c r="F12" s="34" t="n">
        <v>4.39105791216483E-009</v>
      </c>
      <c r="G12" s="34" t="n">
        <v>3.00368057458137E-008</v>
      </c>
      <c r="H12" s="34" t="n">
        <v>1.5640191877684E-007</v>
      </c>
      <c r="I12" s="34" t="n">
        <v>3.04819207565095E-006</v>
      </c>
      <c r="J12" s="34" t="n">
        <v>0.0130746839155371</v>
      </c>
      <c r="K12" s="34" t="n">
        <v>0.00239155008579826</v>
      </c>
      <c r="L12" s="34" t="n">
        <v>4.2532517790226E-007</v>
      </c>
      <c r="M12" s="34" t="n">
        <v>5.45241315114119E-007</v>
      </c>
      <c r="N12" s="34" t="n">
        <v>1.58485550621569E-006</v>
      </c>
      <c r="O12" s="34" t="n">
        <v>1.39475052506691E-006</v>
      </c>
      <c r="P12" s="34" t="n">
        <v>1.92438557799757E-006</v>
      </c>
      <c r="Q12" s="34" t="n">
        <v>1.79495310681239E-006</v>
      </c>
      <c r="R12" s="34" t="n">
        <v>1.24224813343296E-006</v>
      </c>
      <c r="S12" s="34" t="n">
        <v>7.07657603154936E-007</v>
      </c>
      <c r="T12" s="34" t="n">
        <v>1.33666000777935E-007</v>
      </c>
      <c r="U12" s="34" t="n">
        <v>9.42928592625396E-007</v>
      </c>
      <c r="V12" s="34" t="n">
        <v>3.24338548559703E-007</v>
      </c>
      <c r="W12" s="34" t="n">
        <v>5.59732327325222E-008</v>
      </c>
      <c r="X12" s="34" t="n">
        <v>5.47337678442718E-007</v>
      </c>
      <c r="Y12" s="34" t="n">
        <v>1.93813427130901E-006</v>
      </c>
      <c r="Z12" s="34" t="n">
        <v>6.80901778627934E-006</v>
      </c>
      <c r="AA12" s="34" t="n">
        <v>1.37098564386119E-005</v>
      </c>
      <c r="AB12" s="34" t="n">
        <v>2.08950252061409E-005</v>
      </c>
      <c r="AC12" s="34" t="n">
        <v>2.80461461780034E-006</v>
      </c>
      <c r="AD12" s="34" t="n">
        <v>0.00171123716153301</v>
      </c>
      <c r="AE12" s="34" t="n">
        <v>0.119961414084872</v>
      </c>
      <c r="AF12" s="34" t="n">
        <v>0.00159443083737951</v>
      </c>
      <c r="AG12" s="34" t="n">
        <v>1.30365857414167E-006</v>
      </c>
      <c r="AH12" s="34" t="n">
        <v>8.70617437207918E-006</v>
      </c>
      <c r="AI12" s="34" t="n">
        <v>3.17836796025902E-006</v>
      </c>
      <c r="AJ12" s="34" t="n">
        <v>2.05655693226533E-006</v>
      </c>
      <c r="AK12" s="34" t="n">
        <v>1.06921292397134E-005</v>
      </c>
      <c r="AL12" s="34" t="n">
        <v>6.57307610101481E-006</v>
      </c>
      <c r="AM12" s="34" t="n">
        <v>2.75891926965773E-006</v>
      </c>
      <c r="AN12" s="34" t="n">
        <v>7.35945412394777E-007</v>
      </c>
      <c r="AO12" s="34" t="n">
        <v>1.06944050232778E-007</v>
      </c>
      <c r="AP12" s="34" t="n">
        <v>1.71593588693604E-006</v>
      </c>
      <c r="AQ12" s="34" t="n">
        <v>1.03563402073844E-006</v>
      </c>
      <c r="AR12" s="34" t="n">
        <v>3.5926445283973E-007</v>
      </c>
      <c r="AS12" s="34" t="n">
        <v>3.13125390787372E-006</v>
      </c>
      <c r="AT12" s="34" t="n">
        <v>5.19394393416573E-006</v>
      </c>
      <c r="AU12" s="34" t="n">
        <v>4.79142758759845E-007</v>
      </c>
      <c r="AV12" s="34" t="n">
        <v>5.82769670794613E-007</v>
      </c>
      <c r="AW12" s="34" t="n">
        <v>5.09127589419511E-007</v>
      </c>
      <c r="AX12" s="34" t="n">
        <v>2.82217235316E-006</v>
      </c>
      <c r="AY12" s="34" t="n">
        <v>5.73868870890052E-006</v>
      </c>
      <c r="AZ12" s="34" t="n">
        <v>2.78432390572019E-006</v>
      </c>
      <c r="BA12" s="34" t="n">
        <v>1.67361299894651E-006</v>
      </c>
      <c r="BB12" s="34" t="n">
        <v>1.67768678205532E-006</v>
      </c>
      <c r="BC12" s="34" t="n">
        <v>3.48651733522422E-006</v>
      </c>
      <c r="BD12" s="34" t="n">
        <v>6.58301980346355E-006</v>
      </c>
      <c r="BE12" s="34" t="n">
        <v>1.64910055925774E-006</v>
      </c>
      <c r="BF12" s="34" t="n">
        <v>5.52143589604214E-007</v>
      </c>
      <c r="BG12" s="34" t="n">
        <v>3.21278890904439E-006</v>
      </c>
      <c r="BH12" s="34" t="n">
        <v>0.000159879122375086</v>
      </c>
      <c r="BI12" s="34" t="n">
        <v>1.28700780175072E-006</v>
      </c>
      <c r="BJ12" s="34" t="n">
        <v>7.78712432035801E-006</v>
      </c>
      <c r="BK12" s="34" t="n">
        <v>2.12130924797513E-006</v>
      </c>
      <c r="BL12" s="34" t="n">
        <v>9.24557239328381E-007</v>
      </c>
      <c r="BM12" s="34" t="n">
        <v>5.17680857405673E-007</v>
      </c>
      <c r="BN12" s="34" t="n">
        <v>3.23059111009487E-007</v>
      </c>
      <c r="BO12" s="34" t="n">
        <v>1.91132570031969E-005</v>
      </c>
      <c r="BP12" s="34" t="n">
        <v>3.43904569466194E-007</v>
      </c>
      <c r="BQ12" s="34" t="n">
        <v>1.42103701786408E-006</v>
      </c>
      <c r="BR12" s="34" t="n">
        <v>1.19892695894882E-005</v>
      </c>
      <c r="BS12" s="34" t="n">
        <v>2.3496215323398E-006</v>
      </c>
      <c r="BT12" s="34" t="n">
        <v>0</v>
      </c>
    </row>
    <row r="13" customFormat="false" ht="11.25" hidden="false" customHeight="true" outlineLevel="0" collapsed="false">
      <c r="B13" s="19" t="s">
        <v>77</v>
      </c>
      <c r="C13" s="20" t="s">
        <v>78</v>
      </c>
      <c r="D13" s="19" t="n">
        <v>7</v>
      </c>
      <c r="E13" s="33" t="n">
        <v>7.5636154400936E-006</v>
      </c>
      <c r="F13" s="33" t="n">
        <v>1.50047170221812E-005</v>
      </c>
      <c r="G13" s="33" t="n">
        <v>1.92683647055258E-006</v>
      </c>
      <c r="H13" s="33" t="n">
        <v>4.88760569687419E-005</v>
      </c>
      <c r="I13" s="33" t="n">
        <v>0.000256239149506172</v>
      </c>
      <c r="J13" s="33" t="n">
        <v>8.04581708405441E-005</v>
      </c>
      <c r="K13" s="33" t="n">
        <v>0.054328575895886</v>
      </c>
      <c r="L13" s="33" t="n">
        <v>8.6407987025922E-006</v>
      </c>
      <c r="M13" s="33" t="n">
        <v>3.10982114878714E-006</v>
      </c>
      <c r="N13" s="33" t="n">
        <v>1.51164097386702E-005</v>
      </c>
      <c r="O13" s="33" t="n">
        <v>1.11605719467241E-005</v>
      </c>
      <c r="P13" s="33" t="n">
        <v>1.4233041757741E-006</v>
      </c>
      <c r="Q13" s="33" t="n">
        <v>2.05948527838613E-006</v>
      </c>
      <c r="R13" s="33" t="n">
        <v>1.29201656839862E-006</v>
      </c>
      <c r="S13" s="33" t="n">
        <v>2.74930629075898E-006</v>
      </c>
      <c r="T13" s="33" t="n">
        <v>8.01716243097342E-007</v>
      </c>
      <c r="U13" s="33" t="n">
        <v>1.91717923770657E-005</v>
      </c>
      <c r="V13" s="33" t="n">
        <v>5.65932074781384E-005</v>
      </c>
      <c r="W13" s="33" t="n">
        <v>1.44381211776495E-007</v>
      </c>
      <c r="X13" s="33" t="n">
        <v>1.59269697202579E-005</v>
      </c>
      <c r="Y13" s="33" t="n">
        <v>8.43677457985815E-005</v>
      </c>
      <c r="Z13" s="33" t="n">
        <v>2.66586462956797E-005</v>
      </c>
      <c r="AA13" s="33" t="n">
        <v>7.17432488123654E-006</v>
      </c>
      <c r="AB13" s="33" t="n">
        <v>3.39448118854868E-006</v>
      </c>
      <c r="AC13" s="33" t="n">
        <v>7.48707749212895E-006</v>
      </c>
      <c r="AD13" s="33" t="n">
        <v>0.000508906403819963</v>
      </c>
      <c r="AE13" s="33" t="n">
        <v>0.0119184708559578</v>
      </c>
      <c r="AF13" s="33" t="n">
        <v>0.144210915660101</v>
      </c>
      <c r="AG13" s="33" t="n">
        <v>7.82862331267037E-005</v>
      </c>
      <c r="AH13" s="33" t="n">
        <v>1.02384010219415E-005</v>
      </c>
      <c r="AI13" s="33" t="n">
        <v>0.000380515555668797</v>
      </c>
      <c r="AJ13" s="33" t="n">
        <v>4.38354409148899E-005</v>
      </c>
      <c r="AK13" s="33" t="n">
        <v>2.06912902682501E-005</v>
      </c>
      <c r="AL13" s="33" t="n">
        <v>0.00022933649895286</v>
      </c>
      <c r="AM13" s="33" t="n">
        <v>8.72678414822772E-005</v>
      </c>
      <c r="AN13" s="33" t="n">
        <v>0.00013044577739825</v>
      </c>
      <c r="AO13" s="33" t="n">
        <v>2.58530134193988E-005</v>
      </c>
      <c r="AP13" s="33" t="n">
        <v>7.65102533670611E-007</v>
      </c>
      <c r="AQ13" s="33" t="n">
        <v>2.74171720388862E-005</v>
      </c>
      <c r="AR13" s="33" t="n">
        <v>7.26045486118845E-005</v>
      </c>
      <c r="AS13" s="33" t="n">
        <v>1.69260445853689E-006</v>
      </c>
      <c r="AT13" s="33" t="n">
        <v>2.61030063331452E-006</v>
      </c>
      <c r="AU13" s="33" t="n">
        <v>3.86913771035837E-007</v>
      </c>
      <c r="AV13" s="33" t="n">
        <v>2.0813202528379E-007</v>
      </c>
      <c r="AW13" s="33" t="n">
        <v>1.8183128193554E-007</v>
      </c>
      <c r="AX13" s="33" t="n">
        <v>1.13574777639883E-006</v>
      </c>
      <c r="AY13" s="33" t="n">
        <v>5.92012898027532E-006</v>
      </c>
      <c r="AZ13" s="33" t="n">
        <v>2.30583468645787E-006</v>
      </c>
      <c r="BA13" s="33" t="n">
        <v>2.93611092315444E-006</v>
      </c>
      <c r="BB13" s="33" t="n">
        <v>2.04062428509204E-006</v>
      </c>
      <c r="BC13" s="33" t="n">
        <v>2.81485755071857E-006</v>
      </c>
      <c r="BD13" s="33" t="n">
        <v>8.26420429547627E-007</v>
      </c>
      <c r="BE13" s="33" t="n">
        <v>5.81228195404463E-007</v>
      </c>
      <c r="BF13" s="33" t="n">
        <v>2.89120749400682E-006</v>
      </c>
      <c r="BG13" s="33" t="n">
        <v>1.35997492273417E-006</v>
      </c>
      <c r="BH13" s="33" t="n">
        <v>1.45626551575198E-005</v>
      </c>
      <c r="BI13" s="33" t="n">
        <v>6.33336478942731E-007</v>
      </c>
      <c r="BJ13" s="33" t="n">
        <v>1.26217936438031E-006</v>
      </c>
      <c r="BK13" s="33" t="n">
        <v>1.07724641827375E-006</v>
      </c>
      <c r="BL13" s="33" t="n">
        <v>4.51631314710972E-007</v>
      </c>
      <c r="BM13" s="33" t="n">
        <v>7.6746243150976E-007</v>
      </c>
      <c r="BN13" s="33" t="n">
        <v>6.73872517849559E-007</v>
      </c>
      <c r="BO13" s="33" t="n">
        <v>2.05762857508582E-006</v>
      </c>
      <c r="BP13" s="33" t="n">
        <v>7.69616940421587E-007</v>
      </c>
      <c r="BQ13" s="33" t="n">
        <v>1.22163293470767E-006</v>
      </c>
      <c r="BR13" s="33" t="n">
        <v>4.33816405286808E-006</v>
      </c>
      <c r="BS13" s="33" t="n">
        <v>1.2279993606376E-006</v>
      </c>
      <c r="BT13" s="33" t="n">
        <v>0</v>
      </c>
    </row>
    <row r="14" customFormat="false" ht="11.25" hidden="false" customHeight="true" outlineLevel="0" collapsed="false">
      <c r="B14" s="24" t="s">
        <v>79</v>
      </c>
      <c r="C14" s="25" t="s">
        <v>80</v>
      </c>
      <c r="D14" s="24" t="n">
        <v>8</v>
      </c>
      <c r="E14" s="34" t="n">
        <v>0.000640852539019719</v>
      </c>
      <c r="F14" s="34" t="n">
        <v>0.019922325367219</v>
      </c>
      <c r="G14" s="34" t="n">
        <v>0.00288528002686903</v>
      </c>
      <c r="H14" s="34" t="n">
        <v>0.00017364064571159</v>
      </c>
      <c r="I14" s="34" t="n">
        <v>1.28176174009691E-005</v>
      </c>
      <c r="J14" s="34" t="n">
        <v>2.16646058593618E-005</v>
      </c>
      <c r="K14" s="34" t="n">
        <v>5.48326262178593E-005</v>
      </c>
      <c r="L14" s="34" t="n">
        <v>0.0750344631169396</v>
      </c>
      <c r="M14" s="34" t="n">
        <v>7.94559897337608E-005</v>
      </c>
      <c r="N14" s="34" t="n">
        <v>0.00710745895492886</v>
      </c>
      <c r="O14" s="34" t="n">
        <v>0.000726998903101972</v>
      </c>
      <c r="P14" s="34" t="n">
        <v>0.000148552648532074</v>
      </c>
      <c r="Q14" s="34" t="n">
        <v>0.000182799530655203</v>
      </c>
      <c r="R14" s="34" t="n">
        <v>0.000141125966732733</v>
      </c>
      <c r="S14" s="34" t="n">
        <v>0.0555652907907304</v>
      </c>
      <c r="T14" s="34" t="n">
        <v>0.00010131539647212</v>
      </c>
      <c r="U14" s="34" t="n">
        <v>0.000265219622781536</v>
      </c>
      <c r="V14" s="34" t="n">
        <v>6.81555244146367E-005</v>
      </c>
      <c r="W14" s="34" t="n">
        <v>1.5126470412249E-005</v>
      </c>
      <c r="X14" s="34" t="n">
        <v>0.0125113188272542</v>
      </c>
      <c r="Y14" s="34" t="n">
        <v>0.000169117614651711</v>
      </c>
      <c r="Z14" s="34" t="n">
        <v>0.000513285633863928</v>
      </c>
      <c r="AA14" s="34" t="n">
        <v>0.0235960481275954</v>
      </c>
      <c r="AB14" s="34" t="n">
        <v>0.000296668645002485</v>
      </c>
      <c r="AC14" s="34" t="n">
        <v>0.000210176241365698</v>
      </c>
      <c r="AD14" s="34" t="n">
        <v>0.000140495475195735</v>
      </c>
      <c r="AE14" s="34" t="n">
        <v>0.00015424779659818</v>
      </c>
      <c r="AF14" s="34" t="n">
        <v>0.000106991532097397</v>
      </c>
      <c r="AG14" s="34" t="n">
        <v>0.000415957458625507</v>
      </c>
      <c r="AH14" s="34" t="n">
        <v>0.000102977721913154</v>
      </c>
      <c r="AI14" s="34" t="n">
        <v>0.000152675748488973</v>
      </c>
      <c r="AJ14" s="34" t="n">
        <v>0.000227487130044199</v>
      </c>
      <c r="AK14" s="34" t="n">
        <v>1.89236491773757E-005</v>
      </c>
      <c r="AL14" s="34" t="n">
        <v>1.56323909374006E-005</v>
      </c>
      <c r="AM14" s="34" t="n">
        <v>5.17988315724273E-005</v>
      </c>
      <c r="AN14" s="34" t="n">
        <v>0.000126211119365062</v>
      </c>
      <c r="AO14" s="34" t="n">
        <v>3.65106316847862E-005</v>
      </c>
      <c r="AP14" s="34" t="n">
        <v>3.74047564050529E-006</v>
      </c>
      <c r="AQ14" s="34" t="n">
        <v>1.37033447157817E-005</v>
      </c>
      <c r="AR14" s="34" t="n">
        <v>1.48829196743336E-005</v>
      </c>
      <c r="AS14" s="34" t="n">
        <v>1.00977408607039E-005</v>
      </c>
      <c r="AT14" s="34" t="n">
        <v>0.000362193955730872</v>
      </c>
      <c r="AU14" s="34" t="n">
        <v>2.12618814240365E-006</v>
      </c>
      <c r="AV14" s="34" t="n">
        <v>8.70079122421021E-006</v>
      </c>
      <c r="AW14" s="34" t="n">
        <v>2.98313099958629E-006</v>
      </c>
      <c r="AX14" s="34" t="n">
        <v>1.06026575880283E-005</v>
      </c>
      <c r="AY14" s="34" t="n">
        <v>0.0145751000627956</v>
      </c>
      <c r="AZ14" s="34" t="n">
        <v>0.0501629923944802</v>
      </c>
      <c r="BA14" s="34" t="n">
        <v>0.000260886035691393</v>
      </c>
      <c r="BB14" s="34" t="n">
        <v>0.000164404155729761</v>
      </c>
      <c r="BC14" s="34" t="n">
        <v>0.000240416528022824</v>
      </c>
      <c r="BD14" s="34" t="n">
        <v>3.46157720944441E-005</v>
      </c>
      <c r="BE14" s="34" t="n">
        <v>6.42083473639724E-006</v>
      </c>
      <c r="BF14" s="34" t="n">
        <v>1.81757549652909E-006</v>
      </c>
      <c r="BG14" s="34" t="n">
        <v>3.45950526545193E-005</v>
      </c>
      <c r="BH14" s="34" t="n">
        <v>4.7698172928288E-005</v>
      </c>
      <c r="BI14" s="34" t="n">
        <v>4.47850642649489E-005</v>
      </c>
      <c r="BJ14" s="34" t="n">
        <v>1.97560063212667E-005</v>
      </c>
      <c r="BK14" s="34" t="n">
        <v>2.82974924305897E-005</v>
      </c>
      <c r="BL14" s="34" t="n">
        <v>1.89253454379719E-005</v>
      </c>
      <c r="BM14" s="34" t="n">
        <v>0.00281337955737775</v>
      </c>
      <c r="BN14" s="34" t="n">
        <v>0.00600042497987068</v>
      </c>
      <c r="BO14" s="34" t="n">
        <v>0.00178128658416185</v>
      </c>
      <c r="BP14" s="34" t="n">
        <v>0.00464447094826343</v>
      </c>
      <c r="BQ14" s="34" t="n">
        <v>0.00294441549656202</v>
      </c>
      <c r="BR14" s="34" t="n">
        <v>0.000269575431322179</v>
      </c>
      <c r="BS14" s="34" t="n">
        <v>0.00189672605169761</v>
      </c>
      <c r="BT14" s="34" t="n">
        <v>0</v>
      </c>
    </row>
    <row r="15" customFormat="false" ht="11.25" hidden="false" customHeight="true" outlineLevel="0" collapsed="false">
      <c r="B15" s="19" t="s">
        <v>81</v>
      </c>
      <c r="C15" s="20" t="s">
        <v>82</v>
      </c>
      <c r="D15" s="19" t="n">
        <v>9</v>
      </c>
      <c r="E15" s="33" t="n">
        <v>0.000351157533718064</v>
      </c>
      <c r="F15" s="33" t="n">
        <v>0.00117558026123163</v>
      </c>
      <c r="G15" s="33" t="n">
        <v>0.000158593772774256</v>
      </c>
      <c r="H15" s="33" t="n">
        <v>0.000225785103288224</v>
      </c>
      <c r="I15" s="33" t="n">
        <v>0.000837645829315703</v>
      </c>
      <c r="J15" s="33" t="n">
        <v>0.0002025762954068</v>
      </c>
      <c r="K15" s="33" t="n">
        <v>0.000284060713828782</v>
      </c>
      <c r="L15" s="33" t="n">
        <v>0.00205697766196439</v>
      </c>
      <c r="M15" s="33" t="n">
        <v>0.0367956006784957</v>
      </c>
      <c r="N15" s="33" t="n">
        <v>0.0207674121163983</v>
      </c>
      <c r="O15" s="33" t="n">
        <v>0.0159450691124659</v>
      </c>
      <c r="P15" s="33" t="n">
        <v>2.67495980506335E-005</v>
      </c>
      <c r="Q15" s="33" t="n">
        <v>0.00016557397742606</v>
      </c>
      <c r="R15" s="33" t="n">
        <v>2.38373655778437E-005</v>
      </c>
      <c r="S15" s="33" t="n">
        <v>4.58984837007502E-005</v>
      </c>
      <c r="T15" s="33" t="n">
        <v>0.000127601717436399</v>
      </c>
      <c r="U15" s="33" t="n">
        <v>0.000153962776646136</v>
      </c>
      <c r="V15" s="33" t="n">
        <v>3.49063988363622E-005</v>
      </c>
      <c r="W15" s="33" t="n">
        <v>0.0173473676042031</v>
      </c>
      <c r="X15" s="33" t="n">
        <v>0.0226556877940811</v>
      </c>
      <c r="Y15" s="33" t="n">
        <v>0.000832273281698011</v>
      </c>
      <c r="Z15" s="33" t="n">
        <v>0.0106778753943503</v>
      </c>
      <c r="AA15" s="33" t="n">
        <v>0.00895908117494581</v>
      </c>
      <c r="AB15" s="33" t="n">
        <v>0.00354575808286357</v>
      </c>
      <c r="AC15" s="33" t="n">
        <v>0.000107679020112881</v>
      </c>
      <c r="AD15" s="33" t="n">
        <v>0.000196282152629687</v>
      </c>
      <c r="AE15" s="33" t="n">
        <v>0.000169331829608795</v>
      </c>
      <c r="AF15" s="33" t="n">
        <v>0.000223016251651955</v>
      </c>
      <c r="AG15" s="33" t="n">
        <v>0.000149282566978882</v>
      </c>
      <c r="AH15" s="33" t="n">
        <v>1.87539216003133E-005</v>
      </c>
      <c r="AI15" s="33" t="n">
        <v>9.87303645820367E-005</v>
      </c>
      <c r="AJ15" s="33" t="n">
        <v>0.000708524747167227</v>
      </c>
      <c r="AK15" s="33" t="n">
        <v>8.1627756689693E-005</v>
      </c>
      <c r="AL15" s="33" t="n">
        <v>6.91564007160519E-005</v>
      </c>
      <c r="AM15" s="33" t="n">
        <v>9.42181880989842E-005</v>
      </c>
      <c r="AN15" s="33" t="n">
        <v>4.02428618265106E-005</v>
      </c>
      <c r="AO15" s="33" t="n">
        <v>0.000683972260846434</v>
      </c>
      <c r="AP15" s="33" t="n">
        <v>0.00123369502078809</v>
      </c>
      <c r="AQ15" s="33" t="n">
        <v>0.000315827387305526</v>
      </c>
      <c r="AR15" s="33" t="n">
        <v>0.000218377889137197</v>
      </c>
      <c r="AS15" s="33" t="n">
        <v>0.000280785400211322</v>
      </c>
      <c r="AT15" s="33" t="n">
        <v>0.000178973103624823</v>
      </c>
      <c r="AU15" s="33" t="n">
        <v>0.000574317052066878</v>
      </c>
      <c r="AV15" s="33" t="n">
        <v>7.57003859122926E-005</v>
      </c>
      <c r="AW15" s="33" t="n">
        <v>7.94442783525108E-006</v>
      </c>
      <c r="AX15" s="33" t="n">
        <v>0.000205088120888271</v>
      </c>
      <c r="AY15" s="33" t="n">
        <v>0.000397843029412649</v>
      </c>
      <c r="AZ15" s="33" t="n">
        <v>0.00447907649318766</v>
      </c>
      <c r="BA15" s="33" t="n">
        <v>5.45255283803702E-005</v>
      </c>
      <c r="BB15" s="33" t="n">
        <v>7.06133397211227E-005</v>
      </c>
      <c r="BC15" s="33" t="n">
        <v>7.20373188510949E-005</v>
      </c>
      <c r="BD15" s="33" t="n">
        <v>2.6187904138588E-005</v>
      </c>
      <c r="BE15" s="33" t="n">
        <v>3.02274511282519E-005</v>
      </c>
      <c r="BF15" s="33" t="n">
        <v>6.30510523384474E-006</v>
      </c>
      <c r="BG15" s="33" t="n">
        <v>3.84669602194375E-005</v>
      </c>
      <c r="BH15" s="33" t="n">
        <v>0.000319164443395457</v>
      </c>
      <c r="BI15" s="33" t="n">
        <v>6.9378043340186E-005</v>
      </c>
      <c r="BJ15" s="33" t="n">
        <v>2.99185660059245E-005</v>
      </c>
      <c r="BK15" s="33" t="n">
        <v>0.000166428103658368</v>
      </c>
      <c r="BL15" s="33" t="n">
        <v>0.000597782115739693</v>
      </c>
      <c r="BM15" s="33" t="n">
        <v>0.000656640449397185</v>
      </c>
      <c r="BN15" s="33" t="n">
        <v>0.000556860737470895</v>
      </c>
      <c r="BO15" s="33" t="n">
        <v>0.000236191226553119</v>
      </c>
      <c r="BP15" s="33" t="n">
        <v>0.000442034400968917</v>
      </c>
      <c r="BQ15" s="33" t="n">
        <v>0.000293502766041959</v>
      </c>
      <c r="BR15" s="33" t="n">
        <v>0.000147039272185647</v>
      </c>
      <c r="BS15" s="33" t="n">
        <v>0.000351496267901953</v>
      </c>
      <c r="BT15" s="33" t="n">
        <v>0</v>
      </c>
    </row>
    <row r="16" customFormat="false" ht="11.25" hidden="false" customHeight="true" outlineLevel="0" collapsed="false">
      <c r="B16" s="24" t="s">
        <v>83</v>
      </c>
      <c r="C16" s="25" t="s">
        <v>84</v>
      </c>
      <c r="D16" s="24" t="n">
        <v>10</v>
      </c>
      <c r="E16" s="34" t="n">
        <v>0.0069511379792552</v>
      </c>
      <c r="F16" s="34" t="n">
        <v>0.0607407715891322</v>
      </c>
      <c r="G16" s="34" t="n">
        <v>0.0148679204164076</v>
      </c>
      <c r="H16" s="34" t="n">
        <v>0.00604497529842147</v>
      </c>
      <c r="I16" s="34" t="n">
        <v>0.000297328812319301</v>
      </c>
      <c r="J16" s="34" t="n">
        <v>0.000395199990983575</v>
      </c>
      <c r="K16" s="34" t="n">
        <v>0.0010025315834016</v>
      </c>
      <c r="L16" s="34" t="n">
        <v>0.0614126759223377</v>
      </c>
      <c r="M16" s="34" t="n">
        <v>0.00120207458065649</v>
      </c>
      <c r="N16" s="34" t="n">
        <v>0.0956230392688272</v>
      </c>
      <c r="O16" s="34" t="n">
        <v>0.027948574543048</v>
      </c>
      <c r="P16" s="34" t="n">
        <v>0.00211294271914658</v>
      </c>
      <c r="Q16" s="34" t="n">
        <v>0.00254478764558539</v>
      </c>
      <c r="R16" s="34" t="n">
        <v>0.00159872686662938</v>
      </c>
      <c r="S16" s="34" t="n">
        <v>0.00409049240263959</v>
      </c>
      <c r="T16" s="34" t="n">
        <v>0.00164693017109924</v>
      </c>
      <c r="U16" s="34" t="n">
        <v>0.00957160847783843</v>
      </c>
      <c r="V16" s="34" t="n">
        <v>0.00109315550793155</v>
      </c>
      <c r="W16" s="34" t="n">
        <v>0.00129247205671977</v>
      </c>
      <c r="X16" s="34" t="n">
        <v>0.0495398358153857</v>
      </c>
      <c r="Y16" s="34" t="n">
        <v>0.00348853671579247</v>
      </c>
      <c r="Z16" s="34" t="n">
        <v>0.0129204513678204</v>
      </c>
      <c r="AA16" s="34" t="n">
        <v>0.0186160356358576</v>
      </c>
      <c r="AB16" s="34" t="n">
        <v>0.00442907234763829</v>
      </c>
      <c r="AC16" s="34" t="n">
        <v>0.00291883838678448</v>
      </c>
      <c r="AD16" s="34" t="n">
        <v>0.00198752043839133</v>
      </c>
      <c r="AE16" s="34" t="n">
        <v>0.00225573154058417</v>
      </c>
      <c r="AF16" s="34" t="n">
        <v>0.00152018788428541</v>
      </c>
      <c r="AG16" s="34" t="n">
        <v>0.0021320965102927</v>
      </c>
      <c r="AH16" s="34" t="n">
        <v>0.00137082442156657</v>
      </c>
      <c r="AI16" s="34" t="n">
        <v>0.00209465438338047</v>
      </c>
      <c r="AJ16" s="34" t="n">
        <v>0.00299696940344581</v>
      </c>
      <c r="AK16" s="34" t="n">
        <v>0.000223308876403972</v>
      </c>
      <c r="AL16" s="34" t="n">
        <v>0.000185623428533853</v>
      </c>
      <c r="AM16" s="34" t="n">
        <v>0.000762981015935676</v>
      </c>
      <c r="AN16" s="34" t="n">
        <v>0.00156257654740265</v>
      </c>
      <c r="AO16" s="34" t="n">
        <v>0.000447348928386466</v>
      </c>
      <c r="AP16" s="34" t="n">
        <v>5.26220271660621E-005</v>
      </c>
      <c r="AQ16" s="34" t="n">
        <v>0.000291321748885159</v>
      </c>
      <c r="AR16" s="34" t="n">
        <v>0.000219761940983832</v>
      </c>
      <c r="AS16" s="34" t="n">
        <v>0.000558565541030882</v>
      </c>
      <c r="AT16" s="34" t="n">
        <v>0.00367465897096664</v>
      </c>
      <c r="AU16" s="34" t="n">
        <v>8.71282872880052E-005</v>
      </c>
      <c r="AV16" s="34" t="n">
        <v>3.19081275826097E-005</v>
      </c>
      <c r="AW16" s="34" t="n">
        <v>0.000832140954080671</v>
      </c>
      <c r="AX16" s="34" t="n">
        <v>0.00019880776907602</v>
      </c>
      <c r="AY16" s="34" t="n">
        <v>0.00879813012299332</v>
      </c>
      <c r="AZ16" s="34" t="n">
        <v>0.0401476298008841</v>
      </c>
      <c r="BA16" s="34" t="n">
        <v>0.00359136399222025</v>
      </c>
      <c r="BB16" s="34" t="n">
        <v>0.00223354410194739</v>
      </c>
      <c r="BC16" s="34" t="n">
        <v>0.00334356710809254</v>
      </c>
      <c r="BD16" s="34" t="n">
        <v>0.000466223689016288</v>
      </c>
      <c r="BE16" s="34" t="n">
        <v>0.000343970277296956</v>
      </c>
      <c r="BF16" s="34" t="n">
        <v>4.43561407807631E-005</v>
      </c>
      <c r="BG16" s="34" t="n">
        <v>0.000552291705807974</v>
      </c>
      <c r="BH16" s="34" t="n">
        <v>0.000385181793321855</v>
      </c>
      <c r="BI16" s="34" t="n">
        <v>0.00047893791826326</v>
      </c>
      <c r="BJ16" s="34" t="n">
        <v>0.000133042739597402</v>
      </c>
      <c r="BK16" s="34" t="n">
        <v>0.00039041726675674</v>
      </c>
      <c r="BL16" s="34" t="n">
        <v>0.000261429096937221</v>
      </c>
      <c r="BM16" s="34" t="n">
        <v>0.00183428449234145</v>
      </c>
      <c r="BN16" s="34" t="n">
        <v>0.00511529790191071</v>
      </c>
      <c r="BO16" s="34" t="n">
        <v>0.00170861206015676</v>
      </c>
      <c r="BP16" s="34" t="n">
        <v>0.00740725163521315</v>
      </c>
      <c r="BQ16" s="34" t="n">
        <v>0.00289355653625944</v>
      </c>
      <c r="BR16" s="34" t="n">
        <v>0.00102300592030768</v>
      </c>
      <c r="BS16" s="34" t="n">
        <v>0.0036792892104854</v>
      </c>
      <c r="BT16" s="34" t="n">
        <v>0</v>
      </c>
    </row>
    <row r="17" customFormat="false" ht="11.25" hidden="false" customHeight="true" outlineLevel="0" collapsed="false">
      <c r="B17" s="19" t="s">
        <v>85</v>
      </c>
      <c r="C17" s="20" t="s">
        <v>86</v>
      </c>
      <c r="D17" s="19" t="n">
        <v>11</v>
      </c>
      <c r="E17" s="33" t="n">
        <v>5.18116138971056E-006</v>
      </c>
      <c r="F17" s="33" t="n">
        <v>1.35584333692504E-005</v>
      </c>
      <c r="G17" s="33" t="n">
        <v>5.11618185600064E-006</v>
      </c>
      <c r="H17" s="33" t="n">
        <v>4.05025613353529E-005</v>
      </c>
      <c r="I17" s="33" t="n">
        <v>5.36663631391493E-005</v>
      </c>
      <c r="J17" s="33" t="n">
        <v>8.64439677771281E-005</v>
      </c>
      <c r="K17" s="33" t="n">
        <v>0.000134256819281596</v>
      </c>
      <c r="L17" s="33" t="n">
        <v>0.00180500628768838</v>
      </c>
      <c r="M17" s="33" t="n">
        <v>8.99651335716332E-005</v>
      </c>
      <c r="N17" s="33" t="n">
        <v>0.00033495492652104</v>
      </c>
      <c r="O17" s="33" t="n">
        <v>0.0907958713046054</v>
      </c>
      <c r="P17" s="33" t="n">
        <v>0.00016385056716585</v>
      </c>
      <c r="Q17" s="33" t="n">
        <v>0.000173444228311512</v>
      </c>
      <c r="R17" s="33" t="n">
        <v>0.000129445120156475</v>
      </c>
      <c r="S17" s="33" t="n">
        <v>0.000263552645167112</v>
      </c>
      <c r="T17" s="33" t="n">
        <v>0.000122922037688712</v>
      </c>
      <c r="U17" s="33" t="n">
        <v>0.000257655884554666</v>
      </c>
      <c r="V17" s="33" t="n">
        <v>6.22716347195944E-005</v>
      </c>
      <c r="W17" s="33" t="n">
        <v>0.000134458282367189</v>
      </c>
      <c r="X17" s="33" t="n">
        <v>0.00014363483553013</v>
      </c>
      <c r="Y17" s="33" t="n">
        <v>9.83553655941834E-005</v>
      </c>
      <c r="Z17" s="33" t="n">
        <v>0.000264264001099128</v>
      </c>
      <c r="AA17" s="33" t="n">
        <v>0.000160174147537605</v>
      </c>
      <c r="AB17" s="33" t="n">
        <v>0.000281074163741701</v>
      </c>
      <c r="AC17" s="33" t="n">
        <v>0.000222860916660861</v>
      </c>
      <c r="AD17" s="33" t="n">
        <v>0.000151094886731634</v>
      </c>
      <c r="AE17" s="33" t="n">
        <v>0.000198674678387166</v>
      </c>
      <c r="AF17" s="33" t="n">
        <v>0.000119273287748816</v>
      </c>
      <c r="AG17" s="33" t="n">
        <v>0.000296753284437733</v>
      </c>
      <c r="AH17" s="33" t="n">
        <v>0.000138447170729958</v>
      </c>
      <c r="AI17" s="33" t="n">
        <v>0.000240536722080359</v>
      </c>
      <c r="AJ17" s="33" t="n">
        <v>0.000574526277533085</v>
      </c>
      <c r="AK17" s="33" t="n">
        <v>8.22130425822748E-005</v>
      </c>
      <c r="AL17" s="33" t="n">
        <v>7.5843034475801E-005</v>
      </c>
      <c r="AM17" s="33" t="n">
        <v>0.000177172801446212</v>
      </c>
      <c r="AN17" s="33" t="n">
        <v>0.000144375641699407</v>
      </c>
      <c r="AO17" s="33" t="n">
        <v>0.000370804236458366</v>
      </c>
      <c r="AP17" s="33" t="n">
        <v>2.28544676387225E-005</v>
      </c>
      <c r="AQ17" s="33" t="n">
        <v>3.99747373251025E-005</v>
      </c>
      <c r="AR17" s="33" t="n">
        <v>0.00010840101483605</v>
      </c>
      <c r="AS17" s="33" t="n">
        <v>4.05495310178096E-005</v>
      </c>
      <c r="AT17" s="33" t="n">
        <v>0.000123852167828223</v>
      </c>
      <c r="AU17" s="33" t="n">
        <v>2.69846948833016E-005</v>
      </c>
      <c r="AV17" s="33" t="n">
        <v>2.73148409480792E-005</v>
      </c>
      <c r="AW17" s="33" t="n">
        <v>0.000247248810372105</v>
      </c>
      <c r="AX17" s="33" t="n">
        <v>2.70990714347552E-005</v>
      </c>
      <c r="AY17" s="33" t="n">
        <v>0.0183399969901837</v>
      </c>
      <c r="AZ17" s="33" t="n">
        <v>0.118301871418508</v>
      </c>
      <c r="BA17" s="33" t="n">
        <v>0.00028938136068125</v>
      </c>
      <c r="BB17" s="33" t="n">
        <v>0.000183827088561549</v>
      </c>
      <c r="BC17" s="33" t="n">
        <v>0.000268320059692405</v>
      </c>
      <c r="BD17" s="33" t="n">
        <v>4.50099780843767E-005</v>
      </c>
      <c r="BE17" s="33" t="n">
        <v>0.000244541288085496</v>
      </c>
      <c r="BF17" s="33" t="n">
        <v>6.15362467918272E-006</v>
      </c>
      <c r="BG17" s="33" t="n">
        <v>6.02336778748843E-005</v>
      </c>
      <c r="BH17" s="33" t="n">
        <v>4.54731984458947E-005</v>
      </c>
      <c r="BI17" s="33" t="n">
        <v>3.03512362063289E-005</v>
      </c>
      <c r="BJ17" s="33" t="n">
        <v>2.78695449831784E-005</v>
      </c>
      <c r="BK17" s="33" t="n">
        <v>5.67158969809231E-005</v>
      </c>
      <c r="BL17" s="33" t="n">
        <v>3.06591647189118E-005</v>
      </c>
      <c r="BM17" s="33" t="n">
        <v>0.000132849533700057</v>
      </c>
      <c r="BN17" s="33" t="n">
        <v>0.000294975332927904</v>
      </c>
      <c r="BO17" s="33" t="n">
        <v>0.000130720122776963</v>
      </c>
      <c r="BP17" s="33" t="n">
        <v>0.000227363274349192</v>
      </c>
      <c r="BQ17" s="33" t="n">
        <v>0.00082341543980942</v>
      </c>
      <c r="BR17" s="33" t="n">
        <v>0.000783011883916221</v>
      </c>
      <c r="BS17" s="33" t="n">
        <v>0.000128455950725398</v>
      </c>
      <c r="BT17" s="33" t="n">
        <v>0</v>
      </c>
    </row>
    <row r="18" customFormat="false" ht="11.25" hidden="false" customHeight="true" outlineLevel="0" collapsed="false">
      <c r="B18" s="24" t="s">
        <v>87</v>
      </c>
      <c r="C18" s="25" t="s">
        <v>88</v>
      </c>
      <c r="D18" s="24" t="n">
        <v>12</v>
      </c>
      <c r="E18" s="34" t="n">
        <v>5.77950490237185E-007</v>
      </c>
      <c r="F18" s="34" t="n">
        <v>4.4150496328873E-007</v>
      </c>
      <c r="G18" s="34" t="n">
        <v>2.02040389380365E-007</v>
      </c>
      <c r="H18" s="34" t="n">
        <v>4.34470566492682E-006</v>
      </c>
      <c r="I18" s="34" t="n">
        <v>8.61479262031801E-007</v>
      </c>
      <c r="J18" s="34" t="n">
        <v>3.50805405585742E-006</v>
      </c>
      <c r="K18" s="34" t="n">
        <v>8.30020986396014E-006</v>
      </c>
      <c r="L18" s="34" t="n">
        <v>6.83609823845589E-005</v>
      </c>
      <c r="M18" s="34" t="n">
        <v>1.80885965737574E-005</v>
      </c>
      <c r="N18" s="34" t="n">
        <v>4.87163013805484E-005</v>
      </c>
      <c r="O18" s="34" t="n">
        <v>7.59818831251459E-006</v>
      </c>
      <c r="P18" s="34" t="n">
        <v>0.0683441493065443</v>
      </c>
      <c r="Q18" s="34" t="n">
        <v>4.23469489883369E-005</v>
      </c>
      <c r="R18" s="34" t="n">
        <v>3.09575256653727E-005</v>
      </c>
      <c r="S18" s="34" t="n">
        <v>6.42474149997217E-005</v>
      </c>
      <c r="T18" s="34" t="n">
        <v>2.69429469714436E-005</v>
      </c>
      <c r="U18" s="34" t="n">
        <v>9.16987678590534E-005</v>
      </c>
      <c r="V18" s="34" t="n">
        <v>3.03010372953151E-005</v>
      </c>
      <c r="W18" s="34" t="n">
        <v>3.5325340550623E-006</v>
      </c>
      <c r="X18" s="34" t="n">
        <v>2.79090480125758E-005</v>
      </c>
      <c r="Y18" s="34" t="n">
        <v>1.84625014306833E-005</v>
      </c>
      <c r="Z18" s="34" t="n">
        <v>4.99280943530209E-005</v>
      </c>
      <c r="AA18" s="34" t="n">
        <v>2.14401732535988E-005</v>
      </c>
      <c r="AB18" s="34" t="n">
        <v>6.44084361469246E-005</v>
      </c>
      <c r="AC18" s="34" t="n">
        <v>4.52533048612467E-005</v>
      </c>
      <c r="AD18" s="34" t="n">
        <v>3.8004159639761E-005</v>
      </c>
      <c r="AE18" s="34" t="n">
        <v>3.62499908794149E-005</v>
      </c>
      <c r="AF18" s="34" t="n">
        <v>2.62063610626129E-005</v>
      </c>
      <c r="AG18" s="34" t="n">
        <v>3.56339080173795E-005</v>
      </c>
      <c r="AH18" s="34" t="n">
        <v>3.0723476753532E-005</v>
      </c>
      <c r="AI18" s="34" t="n">
        <v>3.69228636692216E-005</v>
      </c>
      <c r="AJ18" s="34" t="n">
        <v>4.91471140105213E-005</v>
      </c>
      <c r="AK18" s="34" t="n">
        <v>4.61954326337949E-006</v>
      </c>
      <c r="AL18" s="34" t="n">
        <v>4.59754025002407E-006</v>
      </c>
      <c r="AM18" s="34" t="n">
        <v>1.09924878150123E-005</v>
      </c>
      <c r="AN18" s="34" t="n">
        <v>2.55279747228222E-005</v>
      </c>
      <c r="AO18" s="34" t="n">
        <v>4.20581959453193E-007</v>
      </c>
      <c r="AP18" s="34" t="n">
        <v>3.71531750218196E-007</v>
      </c>
      <c r="AQ18" s="34" t="n">
        <v>1.01223312058343E-006</v>
      </c>
      <c r="AR18" s="34" t="n">
        <v>2.57823364985621E-007</v>
      </c>
      <c r="AS18" s="34" t="n">
        <v>1.68516695859224E-006</v>
      </c>
      <c r="AT18" s="34" t="n">
        <v>1.77922839818508E-005</v>
      </c>
      <c r="AU18" s="34" t="n">
        <v>2.23598304012056E-007</v>
      </c>
      <c r="AV18" s="34" t="n">
        <v>1.473075135041E-006</v>
      </c>
      <c r="AW18" s="34" t="n">
        <v>2.56755394613834E-007</v>
      </c>
      <c r="AX18" s="34" t="n">
        <v>1.0331896174705E-006</v>
      </c>
      <c r="AY18" s="34" t="n">
        <v>3.13873906171531E-006</v>
      </c>
      <c r="AZ18" s="34" t="n">
        <v>1.95586978367497E-006</v>
      </c>
      <c r="BA18" s="34" t="n">
        <v>8.38581513962459E-005</v>
      </c>
      <c r="BB18" s="34" t="n">
        <v>4.03086161001315E-005</v>
      </c>
      <c r="BC18" s="34" t="n">
        <v>5.88510955655174E-005</v>
      </c>
      <c r="BD18" s="34" t="n">
        <v>9.24379243645931E-006</v>
      </c>
      <c r="BE18" s="34" t="n">
        <v>1.46568848539783E-006</v>
      </c>
      <c r="BF18" s="34" t="n">
        <v>2.12970589356063E-007</v>
      </c>
      <c r="BG18" s="34" t="n">
        <v>8.72860120736828E-006</v>
      </c>
      <c r="BH18" s="34" t="n">
        <v>2.13290904438616E-005</v>
      </c>
      <c r="BI18" s="34" t="n">
        <v>6.52484819612901E-006</v>
      </c>
      <c r="BJ18" s="34" t="n">
        <v>4.54729086490301E-006</v>
      </c>
      <c r="BK18" s="34" t="n">
        <v>8.53772024670116E-006</v>
      </c>
      <c r="BL18" s="34" t="n">
        <v>3.82320215810069E-006</v>
      </c>
      <c r="BM18" s="34" t="n">
        <v>4.96977517078301E-007</v>
      </c>
      <c r="BN18" s="34" t="n">
        <v>1.0759752826913E-006</v>
      </c>
      <c r="BO18" s="34" t="n">
        <v>5.11690329678678E-006</v>
      </c>
      <c r="BP18" s="34" t="n">
        <v>3.16028370338875E-007</v>
      </c>
      <c r="BQ18" s="34" t="n">
        <v>1.66275936412218E-006</v>
      </c>
      <c r="BR18" s="34" t="n">
        <v>2.29276028076242E-006</v>
      </c>
      <c r="BS18" s="34" t="n">
        <v>1.66717801710805E-006</v>
      </c>
      <c r="BT18" s="34" t="n">
        <v>0</v>
      </c>
    </row>
    <row r="19" customFormat="false" ht="11.25" hidden="false" customHeight="true" outlineLevel="0" collapsed="false">
      <c r="B19" s="19" t="s">
        <v>89</v>
      </c>
      <c r="C19" s="20" t="s">
        <v>90</v>
      </c>
      <c r="D19" s="19" t="n">
        <v>13</v>
      </c>
      <c r="E19" s="33" t="n">
        <v>0.00205671227980753</v>
      </c>
      <c r="F19" s="33" t="n">
        <v>0.000103692681448775</v>
      </c>
      <c r="G19" s="33" t="n">
        <v>3.67184233229989E-005</v>
      </c>
      <c r="H19" s="33" t="n">
        <v>0.00790799448234689</v>
      </c>
      <c r="I19" s="33" t="n">
        <v>0.000475704537276941</v>
      </c>
      <c r="J19" s="33" t="n">
        <v>3.65353914201376E-005</v>
      </c>
      <c r="K19" s="33" t="n">
        <v>0.00028127362871196</v>
      </c>
      <c r="L19" s="33" t="n">
        <v>0.00019005803452351</v>
      </c>
      <c r="M19" s="33" t="n">
        <v>0.00177386355248361</v>
      </c>
      <c r="N19" s="33" t="n">
        <v>0.000737641420441387</v>
      </c>
      <c r="O19" s="33" t="n">
        <v>0.000150890593324938</v>
      </c>
      <c r="P19" s="33" t="n">
        <v>0.00011482827870037</v>
      </c>
      <c r="Q19" s="33" t="n">
        <v>0.180573023510834</v>
      </c>
      <c r="R19" s="33" t="n">
        <v>0.205075691087864</v>
      </c>
      <c r="S19" s="33" t="n">
        <v>0.0578372299525832</v>
      </c>
      <c r="T19" s="33" t="n">
        <v>0.00030638710566689</v>
      </c>
      <c r="U19" s="33" t="n">
        <v>0.00142876617102562</v>
      </c>
      <c r="V19" s="33" t="n">
        <v>0.000264294335764543</v>
      </c>
      <c r="W19" s="33" t="n">
        <v>9.97711782336255E-006</v>
      </c>
      <c r="X19" s="33" t="n">
        <v>8.72880037198353E-005</v>
      </c>
      <c r="Y19" s="33" t="n">
        <v>0.00027603939660029</v>
      </c>
      <c r="Z19" s="33" t="n">
        <v>0.000851549052188331</v>
      </c>
      <c r="AA19" s="33" t="n">
        <v>0.000450737064018387</v>
      </c>
      <c r="AB19" s="33" t="n">
        <v>0.0018701065728962</v>
      </c>
      <c r="AC19" s="33" t="n">
        <v>0.00605440861052565</v>
      </c>
      <c r="AD19" s="33" t="n">
        <v>0.000479385257543153</v>
      </c>
      <c r="AE19" s="33" t="n">
        <v>0.000111107708189505</v>
      </c>
      <c r="AF19" s="33" t="n">
        <v>0.00011083834183452</v>
      </c>
      <c r="AG19" s="33" t="n">
        <v>0.000546194166476417</v>
      </c>
      <c r="AH19" s="33" t="n">
        <v>0.000140580080459972</v>
      </c>
      <c r="AI19" s="33" t="n">
        <v>0.000697594909781488</v>
      </c>
      <c r="AJ19" s="33" t="n">
        <v>0.000273581891711426</v>
      </c>
      <c r="AK19" s="33" t="n">
        <v>0.000767405177371771</v>
      </c>
      <c r="AL19" s="33" t="n">
        <v>0.0135900750111228</v>
      </c>
      <c r="AM19" s="33" t="n">
        <v>0.00182314390990636</v>
      </c>
      <c r="AN19" s="33" t="n">
        <v>0.016438821623824</v>
      </c>
      <c r="AO19" s="33" t="n">
        <v>0.000120506036039757</v>
      </c>
      <c r="AP19" s="33" t="n">
        <v>7.65001022442788E-005</v>
      </c>
      <c r="AQ19" s="33" t="n">
        <v>0.000161351377952436</v>
      </c>
      <c r="AR19" s="33" t="n">
        <v>0.000871888008751621</v>
      </c>
      <c r="AS19" s="33" t="n">
        <v>0.000350586437454694</v>
      </c>
      <c r="AT19" s="33" t="n">
        <v>0.000251379200195648</v>
      </c>
      <c r="AU19" s="33" t="n">
        <v>0.000242635060837561</v>
      </c>
      <c r="AV19" s="33" t="n">
        <v>0.000720466607522669</v>
      </c>
      <c r="AW19" s="33" t="n">
        <v>0.000115518682652216</v>
      </c>
      <c r="AX19" s="33" t="n">
        <v>7.13224805810334E-005</v>
      </c>
      <c r="AY19" s="33" t="n">
        <v>0.00990446890879909</v>
      </c>
      <c r="AZ19" s="33" t="n">
        <v>0.000745779330020258</v>
      </c>
      <c r="BA19" s="33" t="n">
        <v>0.00029979909302015</v>
      </c>
      <c r="BB19" s="33" t="n">
        <v>0.000246754325059797</v>
      </c>
      <c r="BC19" s="33" t="n">
        <v>0.000181029807468817</v>
      </c>
      <c r="BD19" s="33" t="n">
        <v>6.8628814899696E-005</v>
      </c>
      <c r="BE19" s="33" t="n">
        <v>4.68312299354436E-005</v>
      </c>
      <c r="BF19" s="33" t="n">
        <v>1.55803227828164E-005</v>
      </c>
      <c r="BG19" s="33" t="n">
        <v>9.8112859429955E-005</v>
      </c>
      <c r="BH19" s="33" t="n">
        <v>0.000174343146637766</v>
      </c>
      <c r="BI19" s="33" t="n">
        <v>0.00010325859546688</v>
      </c>
      <c r="BJ19" s="33" t="n">
        <v>0.000169029244434343</v>
      </c>
      <c r="BK19" s="33" t="n">
        <v>0.00012667016574494</v>
      </c>
      <c r="BL19" s="33" t="n">
        <v>5.42121006547376E-005</v>
      </c>
      <c r="BM19" s="33" t="n">
        <v>7.71927725653938E-005</v>
      </c>
      <c r="BN19" s="33" t="n">
        <v>0.000224658995713586</v>
      </c>
      <c r="BO19" s="33" t="n">
        <v>0.000127043209649873</v>
      </c>
      <c r="BP19" s="33" t="n">
        <v>0.000266445532875636</v>
      </c>
      <c r="BQ19" s="33" t="n">
        <v>0.000374898641349509</v>
      </c>
      <c r="BR19" s="33" t="n">
        <v>0.000295168923934399</v>
      </c>
      <c r="BS19" s="33" t="n">
        <v>0.00314527344948413</v>
      </c>
      <c r="BT19" s="33" t="n">
        <v>0</v>
      </c>
    </row>
    <row r="20" customFormat="false" ht="11.25" hidden="false" customHeight="true" outlineLevel="0" collapsed="false">
      <c r="B20" s="24" t="s">
        <v>91</v>
      </c>
      <c r="C20" s="25" t="s">
        <v>92</v>
      </c>
      <c r="D20" s="24" t="n">
        <v>14</v>
      </c>
      <c r="E20" s="34" t="n">
        <v>3.77892534742844E-005</v>
      </c>
      <c r="F20" s="34" t="n">
        <v>8.03151412774842E-006</v>
      </c>
      <c r="G20" s="34" t="n">
        <v>0.00031898751083173</v>
      </c>
      <c r="H20" s="34" t="n">
        <v>0.000301417048283757</v>
      </c>
      <c r="I20" s="34" t="n">
        <v>0.000395045998798905</v>
      </c>
      <c r="J20" s="34" t="n">
        <v>4.21467781812663E-005</v>
      </c>
      <c r="K20" s="34" t="n">
        <v>6.42006752798338E-005</v>
      </c>
      <c r="L20" s="34" t="n">
        <v>0.00016865259266841</v>
      </c>
      <c r="M20" s="34" t="n">
        <v>6.85316120300514E-005</v>
      </c>
      <c r="N20" s="34" t="n">
        <v>0.000133912403984691</v>
      </c>
      <c r="O20" s="34" t="n">
        <v>2.1542041966736E-005</v>
      </c>
      <c r="P20" s="34" t="n">
        <v>8.54774486174819E-005</v>
      </c>
      <c r="Q20" s="34" t="n">
        <v>0.00202424318137359</v>
      </c>
      <c r="R20" s="34" t="n">
        <v>0.0307329449338148</v>
      </c>
      <c r="S20" s="34" t="n">
        <v>0.00215125643618578</v>
      </c>
      <c r="T20" s="34" t="n">
        <v>5.32735149105629E-005</v>
      </c>
      <c r="U20" s="34" t="n">
        <v>0.000148178422942526</v>
      </c>
      <c r="V20" s="34" t="n">
        <v>2.71569569596138E-005</v>
      </c>
      <c r="W20" s="34" t="n">
        <v>8.02737699301514E-006</v>
      </c>
      <c r="X20" s="34" t="n">
        <v>6.45021250062741E-005</v>
      </c>
      <c r="Y20" s="34" t="n">
        <v>4.40283605124704E-005</v>
      </c>
      <c r="Z20" s="34" t="n">
        <v>0.000181624124600823</v>
      </c>
      <c r="AA20" s="34" t="n">
        <v>2.25209518392028E-005</v>
      </c>
      <c r="AB20" s="34" t="n">
        <v>0.000145282583359431</v>
      </c>
      <c r="AC20" s="34" t="n">
        <v>0.000129571263493194</v>
      </c>
      <c r="AD20" s="34" t="n">
        <v>0.000211080834973103</v>
      </c>
      <c r="AE20" s="34" t="n">
        <v>0.000117313874143346</v>
      </c>
      <c r="AF20" s="34" t="n">
        <v>5.8789832402719E-005</v>
      </c>
      <c r="AG20" s="34" t="n">
        <v>0.00049563117920178</v>
      </c>
      <c r="AH20" s="34" t="n">
        <v>5.89750630092895E-005</v>
      </c>
      <c r="AI20" s="34" t="n">
        <v>0.000111876468730561</v>
      </c>
      <c r="AJ20" s="34" t="n">
        <v>0.000296060995835376</v>
      </c>
      <c r="AK20" s="34" t="n">
        <v>3.13255953219834E-005</v>
      </c>
      <c r="AL20" s="34" t="n">
        <v>0.000397479010928047</v>
      </c>
      <c r="AM20" s="34" t="n">
        <v>8.86756259337437E-005</v>
      </c>
      <c r="AN20" s="34" t="n">
        <v>0.00045695159043994</v>
      </c>
      <c r="AO20" s="34" t="n">
        <v>0.000183794097177069</v>
      </c>
      <c r="AP20" s="34" t="n">
        <v>0.000328467351638008</v>
      </c>
      <c r="AQ20" s="34" t="n">
        <v>0.0015771065439747</v>
      </c>
      <c r="AR20" s="34" t="n">
        <v>8.14188007578019E-005</v>
      </c>
      <c r="AS20" s="34" t="n">
        <v>2.50888587981683E-005</v>
      </c>
      <c r="AT20" s="34" t="n">
        <v>0.000364742414327245</v>
      </c>
      <c r="AU20" s="34" t="n">
        <v>0.000503119202957527</v>
      </c>
      <c r="AV20" s="34" t="n">
        <v>0.000505445470660742</v>
      </c>
      <c r="AW20" s="34" t="n">
        <v>0.00503012748910193</v>
      </c>
      <c r="AX20" s="34" t="n">
        <v>0.00073111012691503</v>
      </c>
      <c r="AY20" s="34" t="n">
        <v>0.00319845693077958</v>
      </c>
      <c r="AZ20" s="34" t="n">
        <v>0.000721986037784932</v>
      </c>
      <c r="BA20" s="34" t="n">
        <v>0.000153563472951704</v>
      </c>
      <c r="BB20" s="34" t="n">
        <v>0.00248155123097634</v>
      </c>
      <c r="BC20" s="34" t="n">
        <v>0.000363737676302159</v>
      </c>
      <c r="BD20" s="34" t="n">
        <v>2.65371735543656E-005</v>
      </c>
      <c r="BE20" s="34" t="n">
        <v>0.00120392952606778</v>
      </c>
      <c r="BF20" s="34" t="n">
        <v>6.35461867264962E-005</v>
      </c>
      <c r="BG20" s="34" t="n">
        <v>6.21790512353683E-005</v>
      </c>
      <c r="BH20" s="34" t="n">
        <v>0.00209051309616514</v>
      </c>
      <c r="BI20" s="34" t="n">
        <v>0.000324023905272112</v>
      </c>
      <c r="BJ20" s="34" t="n">
        <v>5.3241814632199E-005</v>
      </c>
      <c r="BK20" s="34" t="n">
        <v>0.000668252226758766</v>
      </c>
      <c r="BL20" s="34" t="n">
        <v>0.00492252494168926</v>
      </c>
      <c r="BM20" s="34" t="n">
        <v>0.000779636565574308</v>
      </c>
      <c r="BN20" s="34" t="n">
        <v>0.00236394581469252</v>
      </c>
      <c r="BO20" s="34" t="n">
        <v>2.92966721343676E-005</v>
      </c>
      <c r="BP20" s="34" t="n">
        <v>0.000344107168455915</v>
      </c>
      <c r="BQ20" s="34" t="n">
        <v>0.000302903313611708</v>
      </c>
      <c r="BR20" s="34" t="n">
        <v>0.00238892636543222</v>
      </c>
      <c r="BS20" s="34" t="n">
        <v>0.00563271335916502</v>
      </c>
      <c r="BT20" s="34" t="n">
        <v>0</v>
      </c>
    </row>
    <row r="21" customFormat="false" ht="11.25" hidden="false" customHeight="true" outlineLevel="0" collapsed="false">
      <c r="B21" s="19" t="s">
        <v>93</v>
      </c>
      <c r="C21" s="20" t="s">
        <v>94</v>
      </c>
      <c r="D21" s="19" t="n">
        <v>15</v>
      </c>
      <c r="E21" s="33" t="n">
        <v>1.20264831518145E-005</v>
      </c>
      <c r="F21" s="33" t="n">
        <v>5.9812745218974E-005</v>
      </c>
      <c r="G21" s="33" t="n">
        <v>1.23482273282705E-005</v>
      </c>
      <c r="H21" s="33" t="n">
        <v>0.000368610476144405</v>
      </c>
      <c r="I21" s="33" t="n">
        <v>3.87089307776937E-005</v>
      </c>
      <c r="J21" s="33" t="n">
        <v>3.57638195941678E-005</v>
      </c>
      <c r="K21" s="33" t="n">
        <v>6.93417715737996E-005</v>
      </c>
      <c r="L21" s="33" t="n">
        <v>0.000228320902386523</v>
      </c>
      <c r="M21" s="33" t="n">
        <v>4.89684530272581E-005</v>
      </c>
      <c r="N21" s="33" t="n">
        <v>0.000214824584509521</v>
      </c>
      <c r="O21" s="33" t="n">
        <v>5.81710750116108E-005</v>
      </c>
      <c r="P21" s="33" t="n">
        <v>9.84731995347447E-005</v>
      </c>
      <c r="Q21" s="33" t="n">
        <v>0.000235589665791144</v>
      </c>
      <c r="R21" s="33" t="n">
        <v>0.000352898127764478</v>
      </c>
      <c r="S21" s="33" t="n">
        <v>0.11431614107179</v>
      </c>
      <c r="T21" s="33" t="n">
        <v>0.000117560193292038</v>
      </c>
      <c r="U21" s="33" t="n">
        <v>0.00103621346778143</v>
      </c>
      <c r="V21" s="33" t="n">
        <v>8.18277121500099E-005</v>
      </c>
      <c r="W21" s="33" t="n">
        <v>1.17022684521222E-005</v>
      </c>
      <c r="X21" s="33" t="n">
        <v>0.000121495720027828</v>
      </c>
      <c r="Y21" s="33" t="n">
        <v>0.000109542471661589</v>
      </c>
      <c r="Z21" s="33" t="n">
        <v>0.000352955159237744</v>
      </c>
      <c r="AA21" s="33" t="n">
        <v>0.000200870279219628</v>
      </c>
      <c r="AB21" s="33" t="n">
        <v>0.000201768153608291</v>
      </c>
      <c r="AC21" s="33" t="n">
        <v>0.000365202667401489</v>
      </c>
      <c r="AD21" s="33" t="n">
        <v>0.000163912585355851</v>
      </c>
      <c r="AE21" s="33" t="n">
        <v>0.000118646131166649</v>
      </c>
      <c r="AF21" s="33" t="n">
        <v>7.88880884360281E-005</v>
      </c>
      <c r="AG21" s="33" t="n">
        <v>0.000379409755903213</v>
      </c>
      <c r="AH21" s="33" t="n">
        <v>7.80638316762947E-005</v>
      </c>
      <c r="AI21" s="33" t="n">
        <v>0.000164351465687235</v>
      </c>
      <c r="AJ21" s="33" t="n">
        <v>0.000191140057639738</v>
      </c>
      <c r="AK21" s="33" t="n">
        <v>8.70452395662006E-005</v>
      </c>
      <c r="AL21" s="33" t="n">
        <v>0.000120644842024869</v>
      </c>
      <c r="AM21" s="33" t="n">
        <v>8.3854366553498E-005</v>
      </c>
      <c r="AN21" s="33" t="n">
        <v>0.000473270001839386</v>
      </c>
      <c r="AO21" s="33" t="n">
        <v>7.26220890348063E-005</v>
      </c>
      <c r="AP21" s="33" t="n">
        <v>0.000398001719342424</v>
      </c>
      <c r="AQ21" s="33" t="n">
        <v>3.25515129621607E-005</v>
      </c>
      <c r="AR21" s="33" t="n">
        <v>8.44380512181198E-005</v>
      </c>
      <c r="AS21" s="33" t="n">
        <v>1.41785061549764E-005</v>
      </c>
      <c r="AT21" s="33" t="n">
        <v>5.51721219442324E-005</v>
      </c>
      <c r="AU21" s="33" t="n">
        <v>2.57791666914589E-005</v>
      </c>
      <c r="AV21" s="33" t="n">
        <v>1.67623799280502E-005</v>
      </c>
      <c r="AW21" s="33" t="n">
        <v>5.43247743820702E-005</v>
      </c>
      <c r="AX21" s="33" t="n">
        <v>9.98348160077256E-006</v>
      </c>
      <c r="AY21" s="33" t="n">
        <v>7.0546479989609E-005</v>
      </c>
      <c r="AZ21" s="33" t="n">
        <v>5.47675931250788E-005</v>
      </c>
      <c r="BA21" s="33" t="n">
        <v>0.000163907473140938</v>
      </c>
      <c r="BB21" s="33" t="n">
        <v>0.000748611103815091</v>
      </c>
      <c r="BC21" s="33" t="n">
        <v>0.000148812089805956</v>
      </c>
      <c r="BD21" s="33" t="n">
        <v>4.94988538488401E-005</v>
      </c>
      <c r="BE21" s="33" t="n">
        <v>7.71284942984571E-006</v>
      </c>
      <c r="BF21" s="33" t="n">
        <v>2.18531820816431E-006</v>
      </c>
      <c r="BG21" s="33" t="n">
        <v>2.12357124750309E-005</v>
      </c>
      <c r="BH21" s="33" t="n">
        <v>6.81971410983538E-005</v>
      </c>
      <c r="BI21" s="33" t="n">
        <v>2.04685365288719E-005</v>
      </c>
      <c r="BJ21" s="33" t="n">
        <v>3.74950396140782E-005</v>
      </c>
      <c r="BK21" s="33" t="n">
        <v>4.35403608300262E-005</v>
      </c>
      <c r="BL21" s="33" t="n">
        <v>0.00150922472318263</v>
      </c>
      <c r="BM21" s="33" t="n">
        <v>3.58312456840599E-005</v>
      </c>
      <c r="BN21" s="33" t="n">
        <v>2.99271322850388E-005</v>
      </c>
      <c r="BO21" s="33" t="n">
        <v>1.53773899810328E-005</v>
      </c>
      <c r="BP21" s="33" t="n">
        <v>5.16341200188998E-005</v>
      </c>
      <c r="BQ21" s="33" t="n">
        <v>9.21441367826772E-005</v>
      </c>
      <c r="BR21" s="33" t="n">
        <v>3.30383123940192E-005</v>
      </c>
      <c r="BS21" s="33" t="n">
        <v>3.10814571846112E-005</v>
      </c>
      <c r="BT21" s="33" t="n">
        <v>0</v>
      </c>
    </row>
    <row r="22" customFormat="false" ht="11.25" hidden="false" customHeight="true" outlineLevel="0" collapsed="false">
      <c r="B22" s="24" t="s">
        <v>95</v>
      </c>
      <c r="C22" s="25" t="s">
        <v>96</v>
      </c>
      <c r="D22" s="24" t="n">
        <v>16</v>
      </c>
      <c r="E22" s="34" t="n">
        <v>0.00175705735069506</v>
      </c>
      <c r="F22" s="34" t="n">
        <v>0.00222504977881171</v>
      </c>
      <c r="G22" s="34" t="n">
        <v>0.000427313437913312</v>
      </c>
      <c r="H22" s="34" t="n">
        <v>0.000307982399307479</v>
      </c>
      <c r="I22" s="34" t="n">
        <v>2.02112867481084E-005</v>
      </c>
      <c r="J22" s="34" t="n">
        <v>2.18839726183819E-005</v>
      </c>
      <c r="K22" s="34" t="n">
        <v>3.44832250250707E-005</v>
      </c>
      <c r="L22" s="34" t="n">
        <v>0.000213575350052656</v>
      </c>
      <c r="M22" s="34" t="n">
        <v>2.59130339911144E-005</v>
      </c>
      <c r="N22" s="34" t="n">
        <v>0.00137444474597531</v>
      </c>
      <c r="O22" s="34" t="n">
        <v>0.00134523435572583</v>
      </c>
      <c r="P22" s="34" t="n">
        <v>3.99798322515993E-005</v>
      </c>
      <c r="Q22" s="34" t="n">
        <v>0.000614203812491472</v>
      </c>
      <c r="R22" s="34" t="n">
        <v>5.11257105169966E-005</v>
      </c>
      <c r="S22" s="34" t="n">
        <v>6.53265871546308E-005</v>
      </c>
      <c r="T22" s="34" t="n">
        <v>0.123254937442375</v>
      </c>
      <c r="U22" s="34" t="n">
        <v>0.00590405459747947</v>
      </c>
      <c r="V22" s="34" t="n">
        <v>8.94655785328518E-005</v>
      </c>
      <c r="W22" s="34" t="n">
        <v>4.17136838928631E-006</v>
      </c>
      <c r="X22" s="34" t="n">
        <v>3.17507654881888E-005</v>
      </c>
      <c r="Y22" s="34" t="n">
        <v>0.00016381829813254</v>
      </c>
      <c r="Z22" s="34" t="n">
        <v>0.00069192546516552</v>
      </c>
      <c r="AA22" s="34" t="n">
        <v>8.65226578385277E-005</v>
      </c>
      <c r="AB22" s="34" t="n">
        <v>5.86739607546283E-005</v>
      </c>
      <c r="AC22" s="34" t="n">
        <v>0.000176947261678328</v>
      </c>
      <c r="AD22" s="34" t="n">
        <v>0.000474685220122965</v>
      </c>
      <c r="AE22" s="34" t="n">
        <v>0.000206627800924849</v>
      </c>
      <c r="AF22" s="34" t="n">
        <v>8.47700461903807E-005</v>
      </c>
      <c r="AG22" s="34" t="n">
        <v>0.00230149938059767</v>
      </c>
      <c r="AH22" s="34" t="n">
        <v>5.87357689934995E-005</v>
      </c>
      <c r="AI22" s="34" t="n">
        <v>0.000172470735922589</v>
      </c>
      <c r="AJ22" s="34" t="n">
        <v>0.00301835170458867</v>
      </c>
      <c r="AK22" s="34" t="n">
        <v>0.00142370551412832</v>
      </c>
      <c r="AL22" s="34" t="n">
        <v>0.000850039066370262</v>
      </c>
      <c r="AM22" s="34" t="n">
        <v>0.00440931881336495</v>
      </c>
      <c r="AN22" s="34" t="n">
        <v>0.0894109835974492</v>
      </c>
      <c r="AO22" s="34" t="n">
        <v>0.000114846928764294</v>
      </c>
      <c r="AP22" s="34" t="n">
        <v>0.00179287020535332</v>
      </c>
      <c r="AQ22" s="34" t="n">
        <v>0.000222978275644526</v>
      </c>
      <c r="AR22" s="34" t="n">
        <v>0.00979124008152967</v>
      </c>
      <c r="AS22" s="34" t="n">
        <v>9.31679245815022E-005</v>
      </c>
      <c r="AT22" s="34" t="n">
        <v>0.00248180851388305</v>
      </c>
      <c r="AU22" s="34" t="n">
        <v>1.40571670880503E-005</v>
      </c>
      <c r="AV22" s="34" t="n">
        <v>2.58244197407367E-005</v>
      </c>
      <c r="AW22" s="34" t="n">
        <v>1.39629075485363E-005</v>
      </c>
      <c r="AX22" s="34" t="n">
        <v>0.000799605545123779</v>
      </c>
      <c r="AY22" s="34" t="n">
        <v>0.000159286499349804</v>
      </c>
      <c r="AZ22" s="34" t="n">
        <v>8.22089026327381E-005</v>
      </c>
      <c r="BA22" s="34" t="n">
        <v>9.41395937237917E-005</v>
      </c>
      <c r="BB22" s="34" t="n">
        <v>0.00504624569377769</v>
      </c>
      <c r="BC22" s="34" t="n">
        <v>8.38326235571365E-005</v>
      </c>
      <c r="BD22" s="34" t="n">
        <v>4.70454711357135E-005</v>
      </c>
      <c r="BE22" s="34" t="n">
        <v>4.38508181174174E-005</v>
      </c>
      <c r="BF22" s="34" t="n">
        <v>0.00089044251475688</v>
      </c>
      <c r="BG22" s="34" t="n">
        <v>9.47060624136332E-005</v>
      </c>
      <c r="BH22" s="34" t="n">
        <v>6.37468334693121E-005</v>
      </c>
      <c r="BI22" s="34" t="n">
        <v>3.97043226216797E-005</v>
      </c>
      <c r="BJ22" s="34" t="n">
        <v>0.000103980834376909</v>
      </c>
      <c r="BK22" s="34" t="n">
        <v>0.000651117313445104</v>
      </c>
      <c r="BL22" s="34" t="n">
        <v>2.83436144514557E-005</v>
      </c>
      <c r="BM22" s="34" t="n">
        <v>0.000125899800813523</v>
      </c>
      <c r="BN22" s="34" t="n">
        <v>0.000112512743819542</v>
      </c>
      <c r="BO22" s="34" t="n">
        <v>0.000154882977606032</v>
      </c>
      <c r="BP22" s="34" t="n">
        <v>4.42290318806427E-005</v>
      </c>
      <c r="BQ22" s="34" t="n">
        <v>6.31376939160804E-005</v>
      </c>
      <c r="BR22" s="34" t="n">
        <v>0.000322744228137296</v>
      </c>
      <c r="BS22" s="34" t="n">
        <v>0.00141337506428535</v>
      </c>
      <c r="BT22" s="34" t="n">
        <v>0</v>
      </c>
    </row>
    <row r="23" customFormat="false" ht="11.25" hidden="false" customHeight="true" outlineLevel="0" collapsed="false">
      <c r="B23" s="19" t="s">
        <v>97</v>
      </c>
      <c r="C23" s="20" t="s">
        <v>98</v>
      </c>
      <c r="D23" s="19" t="n">
        <v>17</v>
      </c>
      <c r="E23" s="33" t="n">
        <v>0.00150351208925864</v>
      </c>
      <c r="F23" s="33" t="n">
        <v>0.00107539526637271</v>
      </c>
      <c r="G23" s="33" t="n">
        <v>0.000594881665439413</v>
      </c>
      <c r="H23" s="33" t="n">
        <v>0.000670205878039095</v>
      </c>
      <c r="I23" s="33" t="n">
        <v>0.000315146612595073</v>
      </c>
      <c r="J23" s="33" t="n">
        <v>0.00112068479755034</v>
      </c>
      <c r="K23" s="33" t="n">
        <v>0.00154263322103222</v>
      </c>
      <c r="L23" s="33" t="n">
        <v>0.0112715781837703</v>
      </c>
      <c r="M23" s="33" t="n">
        <v>0.000538326357072629</v>
      </c>
      <c r="N23" s="33" t="n">
        <v>0.0126930629211541</v>
      </c>
      <c r="O23" s="33" t="n">
        <v>0.00321742315224193</v>
      </c>
      <c r="P23" s="33" t="n">
        <v>0.0483227280035746</v>
      </c>
      <c r="Q23" s="33" t="n">
        <v>0.0133149855357042</v>
      </c>
      <c r="R23" s="33" t="n">
        <v>0.00875180348045234</v>
      </c>
      <c r="S23" s="33" t="n">
        <v>0.0153198573448349</v>
      </c>
      <c r="T23" s="33" t="n">
        <v>0.0185349470793027</v>
      </c>
      <c r="U23" s="33" t="n">
        <v>0.171427450516919</v>
      </c>
      <c r="V23" s="33" t="n">
        <v>0.0611211982588836</v>
      </c>
      <c r="W23" s="33" t="n">
        <v>0.000379185252323959</v>
      </c>
      <c r="X23" s="33" t="n">
        <v>0.0012529747973132</v>
      </c>
      <c r="Y23" s="33" t="n">
        <v>0.000915117398562747</v>
      </c>
      <c r="Z23" s="33" t="n">
        <v>0.00295083902380141</v>
      </c>
      <c r="AA23" s="33" t="n">
        <v>0.037427183359093</v>
      </c>
      <c r="AB23" s="33" t="n">
        <v>0.0137495939703115</v>
      </c>
      <c r="AC23" s="33" t="n">
        <v>0.017347447978715</v>
      </c>
      <c r="AD23" s="33" t="n">
        <v>0.0183327672805883</v>
      </c>
      <c r="AE23" s="33" t="n">
        <v>0.000651284639154143</v>
      </c>
      <c r="AF23" s="33" t="n">
        <v>0.000502753446896706</v>
      </c>
      <c r="AG23" s="33" t="n">
        <v>0.0100208278268567</v>
      </c>
      <c r="AH23" s="33" t="n">
        <v>0.0149835078056721</v>
      </c>
      <c r="AI23" s="33" t="n">
        <v>0.00557643513740528</v>
      </c>
      <c r="AJ23" s="33" t="n">
        <v>0.00164992564501623</v>
      </c>
      <c r="AK23" s="33" t="n">
        <v>0.00195645183925472</v>
      </c>
      <c r="AL23" s="33" t="n">
        <v>0.00724854958313311</v>
      </c>
      <c r="AM23" s="33" t="n">
        <v>0.00157101601955483</v>
      </c>
      <c r="AN23" s="33" t="n">
        <v>0.0114091484619956</v>
      </c>
      <c r="AO23" s="33" t="n">
        <v>0.000580807249596973</v>
      </c>
      <c r="AP23" s="33" t="n">
        <v>0.00029923177239244</v>
      </c>
      <c r="AQ23" s="33" t="n">
        <v>0.00154557007387003</v>
      </c>
      <c r="AR23" s="33" t="n">
        <v>0.000885207851926923</v>
      </c>
      <c r="AS23" s="33" t="n">
        <v>0.00440786438428225</v>
      </c>
      <c r="AT23" s="33" t="n">
        <v>0.00569095094787854</v>
      </c>
      <c r="AU23" s="33" t="n">
        <v>0.000601505365892567</v>
      </c>
      <c r="AV23" s="33" t="n">
        <v>0.00434274710965718</v>
      </c>
      <c r="AW23" s="33" t="n">
        <v>0.000757143134296347</v>
      </c>
      <c r="AX23" s="33" t="n">
        <v>0.00267296457180351</v>
      </c>
      <c r="AY23" s="33" t="n">
        <v>0.00808514160976783</v>
      </c>
      <c r="AZ23" s="33" t="n">
        <v>0.00514469648449717</v>
      </c>
      <c r="BA23" s="33" t="n">
        <v>0.0580829314073777</v>
      </c>
      <c r="BB23" s="33" t="n">
        <v>0.00273015311668227</v>
      </c>
      <c r="BC23" s="33" t="n">
        <v>0.000556983549984613</v>
      </c>
      <c r="BD23" s="33" t="n">
        <v>0.00247575683441648</v>
      </c>
      <c r="BE23" s="33" t="n">
        <v>0.00328119956498902</v>
      </c>
      <c r="BF23" s="33" t="n">
        <v>0.000547751190887356</v>
      </c>
      <c r="BG23" s="33" t="n">
        <v>0.00787121368801009</v>
      </c>
      <c r="BH23" s="33" t="n">
        <v>0.00589366015628748</v>
      </c>
      <c r="BI23" s="33" t="n">
        <v>0.00624879554840351</v>
      </c>
      <c r="BJ23" s="33" t="n">
        <v>0.00993146100042597</v>
      </c>
      <c r="BK23" s="33" t="n">
        <v>0.00954507540894914</v>
      </c>
      <c r="BL23" s="33" t="n">
        <v>0.00132309518603692</v>
      </c>
      <c r="BM23" s="33" t="n">
        <v>0.0013816333594047</v>
      </c>
      <c r="BN23" s="33" t="n">
        <v>0.00302731721379678</v>
      </c>
      <c r="BO23" s="33" t="n">
        <v>0.00469737050027348</v>
      </c>
      <c r="BP23" s="33" t="n">
        <v>0.000963656371400723</v>
      </c>
      <c r="BQ23" s="33" t="n">
        <v>0.00460199708802646</v>
      </c>
      <c r="BR23" s="33" t="n">
        <v>0.00217377671261301</v>
      </c>
      <c r="BS23" s="33" t="n">
        <v>0.00392185047145804</v>
      </c>
      <c r="BT23" s="33" t="n">
        <v>0</v>
      </c>
    </row>
    <row r="24" customFormat="false" ht="11.25" hidden="false" customHeight="true" outlineLevel="0" collapsed="false">
      <c r="B24" s="24" t="s">
        <v>99</v>
      </c>
      <c r="C24" s="25" t="s">
        <v>100</v>
      </c>
      <c r="D24" s="24" t="n">
        <v>18</v>
      </c>
      <c r="E24" s="34" t="n">
        <v>2.72831040710459E-005</v>
      </c>
      <c r="F24" s="34" t="n">
        <v>1.15352213732101E-005</v>
      </c>
      <c r="G24" s="34" t="n">
        <v>0.000102152360587137</v>
      </c>
      <c r="H24" s="34" t="n">
        <v>2.71923499971566E-005</v>
      </c>
      <c r="I24" s="34" t="n">
        <v>4.16341387536657E-005</v>
      </c>
      <c r="J24" s="34" t="n">
        <v>0.000148627352869633</v>
      </c>
      <c r="K24" s="34" t="n">
        <v>0.000280594339897593</v>
      </c>
      <c r="L24" s="34" t="n">
        <v>0.000351473082396567</v>
      </c>
      <c r="M24" s="34" t="n">
        <v>0.000277998061347335</v>
      </c>
      <c r="N24" s="34" t="n">
        <v>0.000499654968290535</v>
      </c>
      <c r="O24" s="34" t="n">
        <v>0.00292342309753819</v>
      </c>
      <c r="P24" s="34" t="n">
        <v>0.000429749968962366</v>
      </c>
      <c r="Q24" s="34" t="n">
        <v>0.000433827683416025</v>
      </c>
      <c r="R24" s="34" t="n">
        <v>0.000520589830832889</v>
      </c>
      <c r="S24" s="34" t="n">
        <v>0.00041225326770574</v>
      </c>
      <c r="T24" s="34" t="n">
        <v>0.000564291505707408</v>
      </c>
      <c r="U24" s="34" t="n">
        <v>0.00240537169520235</v>
      </c>
      <c r="V24" s="34" t="n">
        <v>0.0630443322878165</v>
      </c>
      <c r="W24" s="34" t="n">
        <v>1.96378871989965E-005</v>
      </c>
      <c r="X24" s="34" t="n">
        <v>0.000209873175722543</v>
      </c>
      <c r="Y24" s="34" t="n">
        <v>5.53275386410492E-005</v>
      </c>
      <c r="Z24" s="34" t="n">
        <v>0.000331507755068031</v>
      </c>
      <c r="AA24" s="34" t="n">
        <v>0.000374869710866172</v>
      </c>
      <c r="AB24" s="34" t="n">
        <v>0.000319091819415278</v>
      </c>
      <c r="AC24" s="34" t="n">
        <v>0.000547504929044721</v>
      </c>
      <c r="AD24" s="34" t="n">
        <v>0.000338580450965815</v>
      </c>
      <c r="AE24" s="34" t="n">
        <v>0.000184773985412003</v>
      </c>
      <c r="AF24" s="34" t="n">
        <v>6.27016710442942E-005</v>
      </c>
      <c r="AG24" s="34" t="n">
        <v>0.000300192380598209</v>
      </c>
      <c r="AH24" s="34" t="n">
        <v>0.00167761606134108</v>
      </c>
      <c r="AI24" s="34" t="n">
        <v>0.000268070627271823</v>
      </c>
      <c r="AJ24" s="34" t="n">
        <v>0.000275038558544791</v>
      </c>
      <c r="AK24" s="34" t="n">
        <v>0.000184730778647169</v>
      </c>
      <c r="AL24" s="34" t="n">
        <v>0.00026526257378392</v>
      </c>
      <c r="AM24" s="34" t="n">
        <v>0.000151144389768886</v>
      </c>
      <c r="AN24" s="34" t="n">
        <v>0.000571082109801849</v>
      </c>
      <c r="AO24" s="34" t="n">
        <v>4.78578766249851E-005</v>
      </c>
      <c r="AP24" s="34" t="n">
        <v>9.63225077331181E-005</v>
      </c>
      <c r="AQ24" s="34" t="n">
        <v>0.00020833715546659</v>
      </c>
      <c r="AR24" s="34" t="n">
        <v>0.000115012026956505</v>
      </c>
      <c r="AS24" s="34" t="n">
        <v>0.0007641984061995</v>
      </c>
      <c r="AT24" s="34" t="n">
        <v>0.00681175336503861</v>
      </c>
      <c r="AU24" s="34" t="n">
        <v>0.000202611590521299</v>
      </c>
      <c r="AV24" s="34" t="n">
        <v>0.000191188339406341</v>
      </c>
      <c r="AW24" s="34" t="n">
        <v>0.00127910185227413</v>
      </c>
      <c r="AX24" s="34" t="n">
        <v>0.000529835779452043</v>
      </c>
      <c r="AY24" s="34" t="n">
        <v>0.00040271627842729</v>
      </c>
      <c r="AZ24" s="34" t="n">
        <v>0.000375105205337804</v>
      </c>
      <c r="BA24" s="34" t="n">
        <v>0.0839516731146935</v>
      </c>
      <c r="BB24" s="34" t="n">
        <v>0.0104085500354684</v>
      </c>
      <c r="BC24" s="34" t="n">
        <v>0.00420726992032739</v>
      </c>
      <c r="BD24" s="34" t="n">
        <v>0.010090911795719</v>
      </c>
      <c r="BE24" s="34" t="n">
        <v>0.00382747910410886</v>
      </c>
      <c r="BF24" s="34" t="n">
        <v>0.000596789954230819</v>
      </c>
      <c r="BG24" s="34" t="n">
        <v>0.00274154029394134</v>
      </c>
      <c r="BH24" s="34" t="n">
        <v>0.00396008424198871</v>
      </c>
      <c r="BI24" s="34" t="n">
        <v>0.0372404148820139</v>
      </c>
      <c r="BJ24" s="34" t="n">
        <v>0.00151825382805539</v>
      </c>
      <c r="BK24" s="34" t="n">
        <v>0.00781452764119247</v>
      </c>
      <c r="BL24" s="34" t="n">
        <v>0.000113388083623498</v>
      </c>
      <c r="BM24" s="34" t="n">
        <v>0.00162750261165876</v>
      </c>
      <c r="BN24" s="34" t="n">
        <v>0.0010574120362145</v>
      </c>
      <c r="BO24" s="34" t="n">
        <v>0.000410529488924126</v>
      </c>
      <c r="BP24" s="34" t="n">
        <v>0.00070868076762178</v>
      </c>
      <c r="BQ24" s="34" t="n">
        <v>0.000788998319521709</v>
      </c>
      <c r="BR24" s="34" t="n">
        <v>0.0105831022250151</v>
      </c>
      <c r="BS24" s="34" t="n">
        <v>0.00364299486445828</v>
      </c>
      <c r="BT24" s="34" t="n">
        <v>0</v>
      </c>
    </row>
    <row r="25" customFormat="false" ht="11.25" hidden="false" customHeight="true" outlineLevel="0" collapsed="false">
      <c r="B25" s="19" t="s">
        <v>101</v>
      </c>
      <c r="C25" s="20" t="s">
        <v>102</v>
      </c>
      <c r="D25" s="19" t="n">
        <v>19</v>
      </c>
      <c r="E25" s="33" t="n">
        <v>0.0344871681583688</v>
      </c>
      <c r="F25" s="33" t="n">
        <v>0.0298118603815688</v>
      </c>
      <c r="G25" s="33" t="n">
        <v>0.0185849393782502</v>
      </c>
      <c r="H25" s="33" t="n">
        <v>0.0463358976588808</v>
      </c>
      <c r="I25" s="33" t="n">
        <v>0.00787307070936637</v>
      </c>
      <c r="J25" s="33" t="n">
        <v>0.0261659341233861</v>
      </c>
      <c r="K25" s="33" t="n">
        <v>0.07600685559565</v>
      </c>
      <c r="L25" s="33" t="n">
        <v>0.00961111620697032</v>
      </c>
      <c r="M25" s="33" t="n">
        <v>0.0215048664666335</v>
      </c>
      <c r="N25" s="33" t="n">
        <v>0.0123136040573825</v>
      </c>
      <c r="O25" s="33" t="n">
        <v>0.00791072659781533</v>
      </c>
      <c r="P25" s="33" t="n">
        <v>0.00141384840272875</v>
      </c>
      <c r="Q25" s="33" t="n">
        <v>0.00527898342465581</v>
      </c>
      <c r="R25" s="33" t="n">
        <v>0.001518331911921</v>
      </c>
      <c r="S25" s="33" t="n">
        <v>0.00465507733367938</v>
      </c>
      <c r="T25" s="33" t="n">
        <v>0.00593442618677302</v>
      </c>
      <c r="U25" s="33" t="n">
        <v>0.0168684579799221</v>
      </c>
      <c r="V25" s="33" t="n">
        <v>0.00134013255380153</v>
      </c>
      <c r="W25" s="33" t="n">
        <v>0.257963289183772</v>
      </c>
      <c r="X25" s="33" t="n">
        <v>0.0178984568510956</v>
      </c>
      <c r="Y25" s="33" t="n">
        <v>0.0746220727147855</v>
      </c>
      <c r="Z25" s="33" t="n">
        <v>0.0176068521188573</v>
      </c>
      <c r="AA25" s="33" t="n">
        <v>0.0119659718337969</v>
      </c>
      <c r="AB25" s="33" t="n">
        <v>0.00278717081616187</v>
      </c>
      <c r="AC25" s="33" t="n">
        <v>0.0158962357342609</v>
      </c>
      <c r="AD25" s="33" t="n">
        <v>0.0367986510243443</v>
      </c>
      <c r="AE25" s="33" t="n">
        <v>0.022552581611649</v>
      </c>
      <c r="AF25" s="33" t="n">
        <v>0.0333966092722495</v>
      </c>
      <c r="AG25" s="33" t="n">
        <v>0.00345704376125132</v>
      </c>
      <c r="AH25" s="33" t="n">
        <v>0.00176258752906757</v>
      </c>
      <c r="AI25" s="33" t="n">
        <v>0.00866033358843724</v>
      </c>
      <c r="AJ25" s="33" t="n">
        <v>0.00356135642022566</v>
      </c>
      <c r="AK25" s="33" t="n">
        <v>0.00492922508043147</v>
      </c>
      <c r="AL25" s="33" t="n">
        <v>0.00396145994506518</v>
      </c>
      <c r="AM25" s="33" t="n">
        <v>0.00273748534635713</v>
      </c>
      <c r="AN25" s="33" t="n">
        <v>0.00345877349425691</v>
      </c>
      <c r="AO25" s="33" t="n">
        <v>0.00471851073648663</v>
      </c>
      <c r="AP25" s="33" t="n">
        <v>0.0190507976834479</v>
      </c>
      <c r="AQ25" s="33" t="n">
        <v>0.0143547111286647</v>
      </c>
      <c r="AR25" s="33" t="n">
        <v>0.0139136076240733</v>
      </c>
      <c r="AS25" s="33" t="n">
        <v>0.00557553274938564</v>
      </c>
      <c r="AT25" s="33" t="n">
        <v>0.013480297772947</v>
      </c>
      <c r="AU25" s="33" t="n">
        <v>0.185088794747032</v>
      </c>
      <c r="AV25" s="33" t="n">
        <v>0.0951564852238109</v>
      </c>
      <c r="AW25" s="33" t="n">
        <v>0.12217060130571</v>
      </c>
      <c r="AX25" s="33" t="n">
        <v>0.013698262137847</v>
      </c>
      <c r="AY25" s="33" t="n">
        <v>0.00318447414067388</v>
      </c>
      <c r="AZ25" s="33" t="n">
        <v>0.00641162591061945</v>
      </c>
      <c r="BA25" s="33" t="n">
        <v>0.00175396221129626</v>
      </c>
      <c r="BB25" s="33" t="n">
        <v>0.00163282147293636</v>
      </c>
      <c r="BC25" s="33" t="n">
        <v>0.000708395135857925</v>
      </c>
      <c r="BD25" s="33" t="n">
        <v>0.00118872418616176</v>
      </c>
      <c r="BE25" s="33" t="n">
        <v>0.00133328914030043</v>
      </c>
      <c r="BF25" s="33" t="n">
        <v>0.000196358353033828</v>
      </c>
      <c r="BG25" s="33" t="n">
        <v>0.00298177567789384</v>
      </c>
      <c r="BH25" s="33" t="n">
        <v>0.00675513722895191</v>
      </c>
      <c r="BI25" s="33" t="n">
        <v>0.00123031673699305</v>
      </c>
      <c r="BJ25" s="33" t="n">
        <v>0.015320660247147</v>
      </c>
      <c r="BK25" s="33" t="n">
        <v>0.00277683717933002</v>
      </c>
      <c r="BL25" s="33" t="n">
        <v>0.00995107107725337</v>
      </c>
      <c r="BM25" s="33" t="n">
        <v>0.00336318412462637</v>
      </c>
      <c r="BN25" s="33" t="n">
        <v>0.00153706337925465</v>
      </c>
      <c r="BO25" s="33" t="n">
        <v>0.00129011854787954</v>
      </c>
      <c r="BP25" s="33" t="n">
        <v>0.000855630403437662</v>
      </c>
      <c r="BQ25" s="33" t="n">
        <v>0.00166816561152332</v>
      </c>
      <c r="BR25" s="33" t="n">
        <v>0.00370478483355954</v>
      </c>
      <c r="BS25" s="33" t="n">
        <v>0.00360939874558026</v>
      </c>
      <c r="BT25" s="33" t="n">
        <v>0</v>
      </c>
    </row>
    <row r="26" customFormat="false" ht="11.25" hidden="false" customHeight="true" outlineLevel="0" collapsed="false">
      <c r="B26" s="24" t="s">
        <v>103</v>
      </c>
      <c r="C26" s="25" t="s">
        <v>104</v>
      </c>
      <c r="D26" s="24" t="n">
        <v>20</v>
      </c>
      <c r="E26" s="34" t="n">
        <v>0.000283074309245623</v>
      </c>
      <c r="F26" s="34" t="n">
        <v>0.000612384076143506</v>
      </c>
      <c r="G26" s="34" t="n">
        <v>0.000122853383461781</v>
      </c>
      <c r="H26" s="34" t="n">
        <v>0.000255013057487912</v>
      </c>
      <c r="I26" s="34" t="n">
        <v>0.00111437849100163</v>
      </c>
      <c r="J26" s="34" t="n">
        <v>4.16225589787051E-005</v>
      </c>
      <c r="K26" s="34" t="n">
        <v>7.15685155379736E-005</v>
      </c>
      <c r="L26" s="34" t="n">
        <v>0.000661362785550235</v>
      </c>
      <c r="M26" s="34" t="n">
        <v>0.00610978114203375</v>
      </c>
      <c r="N26" s="34" t="n">
        <v>0.00392563644240874</v>
      </c>
      <c r="O26" s="34" t="n">
        <v>0.00245793043896024</v>
      </c>
      <c r="P26" s="34" t="n">
        <v>2.26984045465153E-005</v>
      </c>
      <c r="Q26" s="34" t="n">
        <v>6.92869023355356E-005</v>
      </c>
      <c r="R26" s="34" t="n">
        <v>1.97106152568324E-005</v>
      </c>
      <c r="S26" s="34" t="n">
        <v>4.99375352921184E-005</v>
      </c>
      <c r="T26" s="34" t="n">
        <v>5.39124323888102E-005</v>
      </c>
      <c r="U26" s="34" t="n">
        <v>8.30526198804615E-005</v>
      </c>
      <c r="V26" s="34" t="n">
        <v>3.11277802235298E-005</v>
      </c>
      <c r="W26" s="34" t="n">
        <v>0.0248961254337647</v>
      </c>
      <c r="X26" s="34" t="n">
        <v>0.00714939256161954</v>
      </c>
      <c r="Y26" s="34" t="n">
        <v>0.00104815590688572</v>
      </c>
      <c r="Z26" s="34" t="n">
        <v>0.0037509204064443</v>
      </c>
      <c r="AA26" s="34" t="n">
        <v>0.0131354882820777</v>
      </c>
      <c r="AB26" s="34" t="n">
        <v>0.0050671108829854</v>
      </c>
      <c r="AC26" s="34" t="n">
        <v>6.08552058433475E-005</v>
      </c>
      <c r="AD26" s="34" t="n">
        <v>7.43062902755738E-005</v>
      </c>
      <c r="AE26" s="34" t="n">
        <v>6.90385538363362E-005</v>
      </c>
      <c r="AF26" s="34" t="n">
        <v>0.000103305080203666</v>
      </c>
      <c r="AG26" s="34" t="n">
        <v>0.000164590666269608</v>
      </c>
      <c r="AH26" s="34" t="n">
        <v>1.53170137616317E-005</v>
      </c>
      <c r="AI26" s="34" t="n">
        <v>6.68455186813105E-005</v>
      </c>
      <c r="AJ26" s="34" t="n">
        <v>0.000130113120270201</v>
      </c>
      <c r="AK26" s="34" t="n">
        <v>3.86497178107119E-005</v>
      </c>
      <c r="AL26" s="34" t="n">
        <v>3.12156470118725E-005</v>
      </c>
      <c r="AM26" s="34" t="n">
        <v>2.68143334228085E-005</v>
      </c>
      <c r="AN26" s="34" t="n">
        <v>4.61530315082546E-005</v>
      </c>
      <c r="AO26" s="34" t="n">
        <v>0.000103379933547808</v>
      </c>
      <c r="AP26" s="34" t="n">
        <v>0.000350028760797082</v>
      </c>
      <c r="AQ26" s="34" t="n">
        <v>0.000117317929333446</v>
      </c>
      <c r="AR26" s="34" t="n">
        <v>0.000264099980373608</v>
      </c>
      <c r="AS26" s="34" t="n">
        <v>0.000336302715495058</v>
      </c>
      <c r="AT26" s="34" t="n">
        <v>0.00013093162553251</v>
      </c>
      <c r="AU26" s="34" t="n">
        <v>0.000798502608675646</v>
      </c>
      <c r="AV26" s="34" t="n">
        <v>1.48019030661614E-005</v>
      </c>
      <c r="AW26" s="34" t="n">
        <v>3.54248413341587E-006</v>
      </c>
      <c r="AX26" s="34" t="n">
        <v>0.000221838389360846</v>
      </c>
      <c r="AY26" s="34" t="n">
        <v>0.000115821407404208</v>
      </c>
      <c r="AZ26" s="34" t="n">
        <v>0.000846421948613405</v>
      </c>
      <c r="BA26" s="34" t="n">
        <v>4.4143083219418E-005</v>
      </c>
      <c r="BB26" s="34" t="n">
        <v>5.09025940306635E-005</v>
      </c>
      <c r="BC26" s="34" t="n">
        <v>4.71588429454404E-005</v>
      </c>
      <c r="BD26" s="34" t="n">
        <v>1.39645339113908E-005</v>
      </c>
      <c r="BE26" s="34" t="n">
        <v>1.20514785153854E-005</v>
      </c>
      <c r="BF26" s="34" t="n">
        <v>3.20870568473593E-006</v>
      </c>
      <c r="BG26" s="34" t="n">
        <v>2.13340343211127E-005</v>
      </c>
      <c r="BH26" s="34" t="n">
        <v>0.000411160935905134</v>
      </c>
      <c r="BI26" s="34" t="n">
        <v>8.69061906116195E-005</v>
      </c>
      <c r="BJ26" s="34" t="n">
        <v>1.80569377886058E-005</v>
      </c>
      <c r="BK26" s="34" t="n">
        <v>5.17101696827855E-005</v>
      </c>
      <c r="BL26" s="34" t="n">
        <v>0.000843500357837677</v>
      </c>
      <c r="BM26" s="34" t="n">
        <v>0.000727290500547021</v>
      </c>
      <c r="BN26" s="34" t="n">
        <v>0.000345582853066017</v>
      </c>
      <c r="BO26" s="34" t="n">
        <v>6.76554399280249E-005</v>
      </c>
      <c r="BP26" s="34" t="n">
        <v>0.000250141960441876</v>
      </c>
      <c r="BQ26" s="34" t="n">
        <v>0.000150664550920041</v>
      </c>
      <c r="BR26" s="34" t="n">
        <v>7.33356225068016E-005</v>
      </c>
      <c r="BS26" s="34" t="n">
        <v>0.000295318122416267</v>
      </c>
      <c r="BT26" s="34" t="n">
        <v>0</v>
      </c>
    </row>
    <row r="27" customFormat="false" ht="11.25" hidden="false" customHeight="true" outlineLevel="0" collapsed="false">
      <c r="B27" s="19" t="s">
        <v>105</v>
      </c>
      <c r="C27" s="20" t="s">
        <v>106</v>
      </c>
      <c r="D27" s="19" t="n">
        <v>21</v>
      </c>
      <c r="E27" s="33" t="n">
        <v>0.0946911929972276</v>
      </c>
      <c r="F27" s="33" t="n">
        <v>0.0211968105101453</v>
      </c>
      <c r="G27" s="33" t="n">
        <v>0.0107683979696087</v>
      </c>
      <c r="H27" s="33" t="n">
        <v>0.00899885747295487</v>
      </c>
      <c r="I27" s="33" t="n">
        <v>0.0127939320471312</v>
      </c>
      <c r="J27" s="33" t="n">
        <v>0.00233801646917911</v>
      </c>
      <c r="K27" s="33" t="n">
        <v>0.00734724073442816</v>
      </c>
      <c r="L27" s="33" t="n">
        <v>0.00176211737758614</v>
      </c>
      <c r="M27" s="33" t="n">
        <v>0.00396888947279951</v>
      </c>
      <c r="N27" s="33" t="n">
        <v>0.00343436398983905</v>
      </c>
      <c r="O27" s="33" t="n">
        <v>0.00136403178524432</v>
      </c>
      <c r="P27" s="33" t="n">
        <v>0.00155596219504974</v>
      </c>
      <c r="Q27" s="33" t="n">
        <v>0.0765573170671868</v>
      </c>
      <c r="R27" s="33" t="n">
        <v>0.00235687448099194</v>
      </c>
      <c r="S27" s="33" t="n">
        <v>0.032262421055827</v>
      </c>
      <c r="T27" s="33" t="n">
        <v>0.0132396855036225</v>
      </c>
      <c r="U27" s="33" t="n">
        <v>0.0391359223737759</v>
      </c>
      <c r="V27" s="33" t="n">
        <v>0.00315813248078881</v>
      </c>
      <c r="W27" s="33" t="n">
        <v>0.00324535450825984</v>
      </c>
      <c r="X27" s="33" t="n">
        <v>0.00973569584322625</v>
      </c>
      <c r="Y27" s="33" t="n">
        <v>0.195995206472643</v>
      </c>
      <c r="Z27" s="33" t="n">
        <v>0.160493021888566</v>
      </c>
      <c r="AA27" s="33" t="n">
        <v>0.0885913187225832</v>
      </c>
      <c r="AB27" s="33" t="n">
        <v>0.0210457716918363</v>
      </c>
      <c r="AC27" s="33" t="n">
        <v>0.127603416233102</v>
      </c>
      <c r="AD27" s="33" t="n">
        <v>0.023427914996452</v>
      </c>
      <c r="AE27" s="33" t="n">
        <v>0.0074938150322532</v>
      </c>
      <c r="AF27" s="33" t="n">
        <v>0.015336225113168</v>
      </c>
      <c r="AG27" s="33" t="n">
        <v>0.0106367276997454</v>
      </c>
      <c r="AH27" s="33" t="n">
        <v>0.00193554325066667</v>
      </c>
      <c r="AI27" s="33" t="n">
        <v>0.0320973541906209</v>
      </c>
      <c r="AJ27" s="33" t="n">
        <v>0.00227543528254324</v>
      </c>
      <c r="AK27" s="33" t="n">
        <v>0.000860391531733405</v>
      </c>
      <c r="AL27" s="33" t="n">
        <v>0.0116133636147834</v>
      </c>
      <c r="AM27" s="33" t="n">
        <v>0.00786286390299771</v>
      </c>
      <c r="AN27" s="33" t="n">
        <v>0.0197786893625017</v>
      </c>
      <c r="AO27" s="33" t="n">
        <v>0.00305980951789353</v>
      </c>
      <c r="AP27" s="33" t="n">
        <v>0.000471011053402238</v>
      </c>
      <c r="AQ27" s="33" t="n">
        <v>0.0115207656813174</v>
      </c>
      <c r="AR27" s="33" t="n">
        <v>0.000490215064990782</v>
      </c>
      <c r="AS27" s="33" t="n">
        <v>0.000547152381907197</v>
      </c>
      <c r="AT27" s="33" t="n">
        <v>0.00109061294672421</v>
      </c>
      <c r="AU27" s="33" t="n">
        <v>0.000238246190544634</v>
      </c>
      <c r="AV27" s="33" t="n">
        <v>0.000186689336450982</v>
      </c>
      <c r="AW27" s="33" t="n">
        <v>7.48711290478946E-005</v>
      </c>
      <c r="AX27" s="33" t="n">
        <v>0.000336174651202543</v>
      </c>
      <c r="AY27" s="33" t="n">
        <v>0.00072323056121346</v>
      </c>
      <c r="AZ27" s="33" t="n">
        <v>0.000434119144690405</v>
      </c>
      <c r="BA27" s="33" t="n">
        <v>0.000835287033166586</v>
      </c>
      <c r="BB27" s="33" t="n">
        <v>0.000493361012296627</v>
      </c>
      <c r="BC27" s="33" t="n">
        <v>0.000615544105343439</v>
      </c>
      <c r="BD27" s="33" t="n">
        <v>0.00021681887007419</v>
      </c>
      <c r="BE27" s="33" t="n">
        <v>0.000164144097576498</v>
      </c>
      <c r="BF27" s="33" t="n">
        <v>8.09237602974686E-005</v>
      </c>
      <c r="BG27" s="33" t="n">
        <v>0.000395484537914505</v>
      </c>
      <c r="BH27" s="33" t="n">
        <v>0.00101925177234996</v>
      </c>
      <c r="BI27" s="33" t="n">
        <v>0.000247048485781719</v>
      </c>
      <c r="BJ27" s="33" t="n">
        <v>0.000473558150520976</v>
      </c>
      <c r="BK27" s="33" t="n">
        <v>0.000486796513742635</v>
      </c>
      <c r="BL27" s="33" t="n">
        <v>0.000119494297653293</v>
      </c>
      <c r="BM27" s="33" t="n">
        <v>0.000100594899012325</v>
      </c>
      <c r="BN27" s="33" t="n">
        <v>0.000324666550929427</v>
      </c>
      <c r="BO27" s="33" t="n">
        <v>0.000604844465480825</v>
      </c>
      <c r="BP27" s="33" t="n">
        <v>0.00186363809527096</v>
      </c>
      <c r="BQ27" s="33" t="n">
        <v>0.00374521745437124</v>
      </c>
      <c r="BR27" s="33" t="n">
        <v>0.00126594875449474</v>
      </c>
      <c r="BS27" s="33" t="n">
        <v>0.0014038717522322</v>
      </c>
      <c r="BT27" s="33" t="n">
        <v>0</v>
      </c>
    </row>
    <row r="28" customFormat="false" ht="11.25" hidden="false" customHeight="true" outlineLevel="0" collapsed="false">
      <c r="B28" s="24" t="s">
        <v>107</v>
      </c>
      <c r="C28" s="25" t="s">
        <v>108</v>
      </c>
      <c r="D28" s="24" t="n">
        <v>22</v>
      </c>
      <c r="E28" s="34" t="n">
        <v>0.0429696603797701</v>
      </c>
      <c r="F28" s="34" t="n">
        <v>0.00810968714240073</v>
      </c>
      <c r="G28" s="34" t="n">
        <v>0.00139448861387423</v>
      </c>
      <c r="H28" s="34" t="n">
        <v>0.0923456724741428</v>
      </c>
      <c r="I28" s="34" t="n">
        <v>0.00214841429873985</v>
      </c>
      <c r="J28" s="34" t="n">
        <v>0.00285429142652582</v>
      </c>
      <c r="K28" s="34" t="n">
        <v>0.00830759002967021</v>
      </c>
      <c r="L28" s="34" t="n">
        <v>0.00373486366872255</v>
      </c>
      <c r="M28" s="34" t="n">
        <v>0.00081854793073712</v>
      </c>
      <c r="N28" s="34" t="n">
        <v>0.0104383667425841</v>
      </c>
      <c r="O28" s="34" t="n">
        <v>0.00167400742181576</v>
      </c>
      <c r="P28" s="34" t="n">
        <v>0.000881571969358263</v>
      </c>
      <c r="Q28" s="34" t="n">
        <v>0.0113453199286039</v>
      </c>
      <c r="R28" s="34" t="n">
        <v>0.00115858509234545</v>
      </c>
      <c r="S28" s="34" t="n">
        <v>0.00784835978514117</v>
      </c>
      <c r="T28" s="34" t="n">
        <v>0.0190812526019439</v>
      </c>
      <c r="U28" s="34" t="n">
        <v>0.0232632870178138</v>
      </c>
      <c r="V28" s="34" t="n">
        <v>0.0524369962696846</v>
      </c>
      <c r="W28" s="34" t="n">
        <v>0.00108855802808266</v>
      </c>
      <c r="X28" s="34" t="n">
        <v>0.00374952525631556</v>
      </c>
      <c r="Y28" s="34" t="n">
        <v>0.0142418970936687</v>
      </c>
      <c r="Z28" s="34" t="n">
        <v>0.0879568210474139</v>
      </c>
      <c r="AA28" s="34" t="n">
        <v>0.0362744802076464</v>
      </c>
      <c r="AB28" s="34" t="n">
        <v>0.0143803847075737</v>
      </c>
      <c r="AC28" s="34" t="n">
        <v>0.0361093812037524</v>
      </c>
      <c r="AD28" s="34" t="n">
        <v>0.0143345281601439</v>
      </c>
      <c r="AE28" s="34" t="n">
        <v>0.00421646506823485</v>
      </c>
      <c r="AF28" s="34" t="n">
        <v>0.00203825453713911</v>
      </c>
      <c r="AG28" s="34" t="n">
        <v>0.00764337091349247</v>
      </c>
      <c r="AH28" s="34" t="n">
        <v>0.00590804521279311</v>
      </c>
      <c r="AI28" s="34" t="n">
        <v>0.0049393447780065</v>
      </c>
      <c r="AJ28" s="34" t="n">
        <v>0.00244875774684477</v>
      </c>
      <c r="AK28" s="34" t="n">
        <v>0.00392496566433902</v>
      </c>
      <c r="AL28" s="34" t="n">
        <v>0.0039981965543506</v>
      </c>
      <c r="AM28" s="34" t="n">
        <v>0.00443378239395242</v>
      </c>
      <c r="AN28" s="34" t="n">
        <v>0.0090937144960344</v>
      </c>
      <c r="AO28" s="34" t="n">
        <v>0.0122343570618524</v>
      </c>
      <c r="AP28" s="34" t="n">
        <v>0.000431317281787661</v>
      </c>
      <c r="AQ28" s="34" t="n">
        <v>0.00501746679982024</v>
      </c>
      <c r="AR28" s="34" t="n">
        <v>0.0113889837816654</v>
      </c>
      <c r="AS28" s="34" t="n">
        <v>0.00802083141363362</v>
      </c>
      <c r="AT28" s="34" t="n">
        <v>0.00211763448175278</v>
      </c>
      <c r="AU28" s="34" t="n">
        <v>0.00104063291064022</v>
      </c>
      <c r="AV28" s="34" t="n">
        <v>0.00018187591547432</v>
      </c>
      <c r="AW28" s="34" t="n">
        <v>0.000274605132212797</v>
      </c>
      <c r="AX28" s="34" t="n">
        <v>0.000456208642360114</v>
      </c>
      <c r="AY28" s="34" t="n">
        <v>0.000777468819175258</v>
      </c>
      <c r="AZ28" s="34" t="n">
        <v>0.00021520037469409</v>
      </c>
      <c r="BA28" s="34" t="n">
        <v>0.0103388818010597</v>
      </c>
      <c r="BB28" s="34" t="n">
        <v>0.00293798315057295</v>
      </c>
      <c r="BC28" s="34" t="n">
        <v>0.000606442164539304</v>
      </c>
      <c r="BD28" s="34" t="n">
        <v>0.000186350004375417</v>
      </c>
      <c r="BE28" s="34" t="n">
        <v>0.000137677190069704</v>
      </c>
      <c r="BF28" s="34" t="n">
        <v>0.00176951321033714</v>
      </c>
      <c r="BG28" s="34" t="n">
        <v>0.000205878178796988</v>
      </c>
      <c r="BH28" s="34" t="n">
        <v>0.00103376306593352</v>
      </c>
      <c r="BI28" s="34" t="n">
        <v>0.000381011373338024</v>
      </c>
      <c r="BJ28" s="34" t="n">
        <v>0.000769930240673493</v>
      </c>
      <c r="BK28" s="34" t="n">
        <v>0.00487549646958375</v>
      </c>
      <c r="BL28" s="34" t="n">
        <v>0.000111715238368201</v>
      </c>
      <c r="BM28" s="34" t="n">
        <v>0.000399176625864468</v>
      </c>
      <c r="BN28" s="34" t="n">
        <v>0.00144735984992538</v>
      </c>
      <c r="BO28" s="34" t="n">
        <v>0.000334888259346745</v>
      </c>
      <c r="BP28" s="34" t="n">
        <v>0.00493103668343497</v>
      </c>
      <c r="BQ28" s="34" t="n">
        <v>0.00028069526165947</v>
      </c>
      <c r="BR28" s="34" t="n">
        <v>0.00130087593830659</v>
      </c>
      <c r="BS28" s="34" t="n">
        <v>0.000922320707921803</v>
      </c>
      <c r="BT28" s="34" t="n">
        <v>0</v>
      </c>
    </row>
    <row r="29" customFormat="false" ht="11.25" hidden="false" customHeight="true" outlineLevel="0" collapsed="false">
      <c r="B29" s="19" t="s">
        <v>109</v>
      </c>
      <c r="C29" s="20" t="s">
        <v>110</v>
      </c>
      <c r="D29" s="19" t="n">
        <v>23</v>
      </c>
      <c r="E29" s="33" t="n">
        <v>0.00133811738387664</v>
      </c>
      <c r="F29" s="33" t="n">
        <v>0.000562716923376655</v>
      </c>
      <c r="G29" s="33" t="n">
        <v>5.45132685803879E-005</v>
      </c>
      <c r="H29" s="33" t="n">
        <v>0.00157403910160494</v>
      </c>
      <c r="I29" s="33" t="n">
        <v>0.000328980603973994</v>
      </c>
      <c r="J29" s="33" t="n">
        <v>0.000548081278809892</v>
      </c>
      <c r="K29" s="33" t="n">
        <v>0.000803306939721128</v>
      </c>
      <c r="L29" s="33" t="n">
        <v>0.00123712769736207</v>
      </c>
      <c r="M29" s="33" t="n">
        <v>0.000466214783569034</v>
      </c>
      <c r="N29" s="33" t="n">
        <v>0.00134427616521808</v>
      </c>
      <c r="O29" s="33" t="n">
        <v>0.000362251991716225</v>
      </c>
      <c r="P29" s="33" t="n">
        <v>0.000650765185785977</v>
      </c>
      <c r="Q29" s="33" t="n">
        <v>0.00128094720484243</v>
      </c>
      <c r="R29" s="33" t="n">
        <v>0.000876759270985693</v>
      </c>
      <c r="S29" s="33" t="n">
        <v>0.00108565268449056</v>
      </c>
      <c r="T29" s="33" t="n">
        <v>0.000852218646189164</v>
      </c>
      <c r="U29" s="33" t="n">
        <v>0.00153731584620371</v>
      </c>
      <c r="V29" s="33" t="n">
        <v>0.00053142256154788</v>
      </c>
      <c r="W29" s="33" t="n">
        <v>0.000300906735758037</v>
      </c>
      <c r="X29" s="33" t="n">
        <v>0.000630084981822453</v>
      </c>
      <c r="Y29" s="33" t="n">
        <v>0.00139201446862741</v>
      </c>
      <c r="Z29" s="33" t="n">
        <v>0.00426874854836071</v>
      </c>
      <c r="AA29" s="33" t="n">
        <v>0.0215018177189324</v>
      </c>
      <c r="AB29" s="33" t="n">
        <v>0.00185201596939864</v>
      </c>
      <c r="AC29" s="33" t="n">
        <v>0.00111474767770168</v>
      </c>
      <c r="AD29" s="33" t="n">
        <v>0.0010224778724973</v>
      </c>
      <c r="AE29" s="33" t="n">
        <v>0.000728125515790525</v>
      </c>
      <c r="AF29" s="33" t="n">
        <v>0.000955583559087631</v>
      </c>
      <c r="AG29" s="33" t="n">
        <v>0.00292726505132088</v>
      </c>
      <c r="AH29" s="33" t="n">
        <v>0.000914778757911145</v>
      </c>
      <c r="AI29" s="33" t="n">
        <v>0.000707685455455804</v>
      </c>
      <c r="AJ29" s="33" t="n">
        <v>0.00107624766770886</v>
      </c>
      <c r="AK29" s="33" t="n">
        <v>0.000184702027066984</v>
      </c>
      <c r="AL29" s="33" t="n">
        <v>0.000261515519949508</v>
      </c>
      <c r="AM29" s="33" t="n">
        <v>0.000265773708024196</v>
      </c>
      <c r="AN29" s="33" t="n">
        <v>0.000543395762992425</v>
      </c>
      <c r="AO29" s="33" t="n">
        <v>0.000245428608634327</v>
      </c>
      <c r="AP29" s="33" t="n">
        <v>5.0435347673956E-005</v>
      </c>
      <c r="AQ29" s="33" t="n">
        <v>0.000612394687593061</v>
      </c>
      <c r="AR29" s="33" t="n">
        <v>0.0001900797310904</v>
      </c>
      <c r="AS29" s="33" t="n">
        <v>0.000826207271007162</v>
      </c>
      <c r="AT29" s="33" t="n">
        <v>0.00160300005293798</v>
      </c>
      <c r="AU29" s="33" t="n">
        <v>0.000597077205232385</v>
      </c>
      <c r="AV29" s="33" t="n">
        <v>0.000437183863770507</v>
      </c>
      <c r="AW29" s="33" t="n">
        <v>1.57808205887005E-005</v>
      </c>
      <c r="AX29" s="33" t="n">
        <v>0.000564062740403981</v>
      </c>
      <c r="AY29" s="33" t="n">
        <v>0.00205772734723765</v>
      </c>
      <c r="AZ29" s="33" t="n">
        <v>0.000285584874468825</v>
      </c>
      <c r="BA29" s="33" t="n">
        <v>0.00136138523239356</v>
      </c>
      <c r="BB29" s="33" t="n">
        <v>0.00127404942531331</v>
      </c>
      <c r="BC29" s="33" t="n">
        <v>0.00131861566371915</v>
      </c>
      <c r="BD29" s="33" t="n">
        <v>0.000183176881389357</v>
      </c>
      <c r="BE29" s="33" t="n">
        <v>4.67827847558047E-005</v>
      </c>
      <c r="BF29" s="33" t="n">
        <v>7.07043451870321E-006</v>
      </c>
      <c r="BG29" s="33" t="n">
        <v>0.000988587846201059</v>
      </c>
      <c r="BH29" s="33" t="n">
        <v>0.00133682612526685</v>
      </c>
      <c r="BI29" s="33" t="n">
        <v>0.00165734008133649</v>
      </c>
      <c r="BJ29" s="33" t="n">
        <v>0.00167272223228093</v>
      </c>
      <c r="BK29" s="33" t="n">
        <v>0.00512335293443469</v>
      </c>
      <c r="BL29" s="33" t="n">
        <v>9.41302056763174E-005</v>
      </c>
      <c r="BM29" s="33" t="n">
        <v>0.000196201023403636</v>
      </c>
      <c r="BN29" s="33" t="n">
        <v>0.000531928041286068</v>
      </c>
      <c r="BO29" s="33" t="n">
        <v>0.000997232386959498</v>
      </c>
      <c r="BP29" s="33" t="n">
        <v>0.000601748254677827</v>
      </c>
      <c r="BQ29" s="33" t="n">
        <v>0.00252484131134574</v>
      </c>
      <c r="BR29" s="33" t="n">
        <v>0.00307716228547334</v>
      </c>
      <c r="BS29" s="33" t="n">
        <v>0.00404337700643997</v>
      </c>
      <c r="BT29" s="33" t="n">
        <v>0</v>
      </c>
    </row>
    <row r="30" customFormat="false" ht="11.25" hidden="false" customHeight="true" outlineLevel="0" collapsed="false">
      <c r="B30" s="24" t="s">
        <v>111</v>
      </c>
      <c r="C30" s="25" t="s">
        <v>112</v>
      </c>
      <c r="D30" s="24" t="n">
        <v>24</v>
      </c>
      <c r="E30" s="34" t="n">
        <v>0.00178377582789132</v>
      </c>
      <c r="F30" s="34" t="n">
        <v>0.0180297046737146</v>
      </c>
      <c r="G30" s="34" t="n">
        <v>0.000489665029145239</v>
      </c>
      <c r="H30" s="34" t="n">
        <v>0.00023569784082285</v>
      </c>
      <c r="I30" s="34" t="n">
        <v>0.00101808324040902</v>
      </c>
      <c r="J30" s="34" t="n">
        <v>8.5339868535316E-005</v>
      </c>
      <c r="K30" s="34" t="n">
        <v>0.000132384778067123</v>
      </c>
      <c r="L30" s="34" t="n">
        <v>0.000399873801929601</v>
      </c>
      <c r="M30" s="34" t="n">
        <v>0.000126582956437163</v>
      </c>
      <c r="N30" s="34" t="n">
        <v>0.000774376464460299</v>
      </c>
      <c r="O30" s="34" t="n">
        <v>0.000218910336849413</v>
      </c>
      <c r="P30" s="34" t="n">
        <v>0.00021665917754326</v>
      </c>
      <c r="Q30" s="34" t="n">
        <v>0.00103035717865089</v>
      </c>
      <c r="R30" s="34" t="n">
        <v>0.000909055898142933</v>
      </c>
      <c r="S30" s="34" t="n">
        <v>0.000741631081104336</v>
      </c>
      <c r="T30" s="34" t="n">
        <v>0.000249755824194059</v>
      </c>
      <c r="U30" s="34" t="n">
        <v>0.000553877182486899</v>
      </c>
      <c r="V30" s="34" t="n">
        <v>0.000144244966560496</v>
      </c>
      <c r="W30" s="34" t="n">
        <v>1.99160255882091E-005</v>
      </c>
      <c r="X30" s="34" t="n">
        <v>0.000205336518764427</v>
      </c>
      <c r="Y30" s="34" t="n">
        <v>0.000898832342499927</v>
      </c>
      <c r="Z30" s="34" t="n">
        <v>0.00405841342954299</v>
      </c>
      <c r="AA30" s="34" t="n">
        <v>0.00093844316354136</v>
      </c>
      <c r="AB30" s="34" t="n">
        <v>0.0473789877043474</v>
      </c>
      <c r="AC30" s="34" t="n">
        <v>0.00146071911769897</v>
      </c>
      <c r="AD30" s="34" t="n">
        <v>0.000538485612364794</v>
      </c>
      <c r="AE30" s="34" t="n">
        <v>0.000243601873959506</v>
      </c>
      <c r="AF30" s="34" t="n">
        <v>0.000212192485436605</v>
      </c>
      <c r="AG30" s="34" t="n">
        <v>0.000280528595399103</v>
      </c>
      <c r="AH30" s="34" t="n">
        <v>0.000197177127071567</v>
      </c>
      <c r="AI30" s="34" t="n">
        <v>0.000527843996043293</v>
      </c>
      <c r="AJ30" s="34" t="n">
        <v>0.000487587815545</v>
      </c>
      <c r="AK30" s="34" t="n">
        <v>0.000157422130463641</v>
      </c>
      <c r="AL30" s="34" t="n">
        <v>0.000219633952734598</v>
      </c>
      <c r="AM30" s="34" t="n">
        <v>0.000163380523027753</v>
      </c>
      <c r="AN30" s="34" t="n">
        <v>0.000434055441107668</v>
      </c>
      <c r="AO30" s="34" t="n">
        <v>0.000226315167364817</v>
      </c>
      <c r="AP30" s="34" t="n">
        <v>1.71880041284524E-005</v>
      </c>
      <c r="AQ30" s="34" t="n">
        <v>7.1509810674529E-005</v>
      </c>
      <c r="AR30" s="34" t="n">
        <v>0.000253923943598047</v>
      </c>
      <c r="AS30" s="34" t="n">
        <v>6.18499502725736E-005</v>
      </c>
      <c r="AT30" s="34" t="n">
        <v>0.000347184651455668</v>
      </c>
      <c r="AU30" s="34" t="n">
        <v>1.47854287406037E-005</v>
      </c>
      <c r="AV30" s="34" t="n">
        <v>6.14060449920776E-005</v>
      </c>
      <c r="AW30" s="34" t="n">
        <v>1.18465134067336E-005</v>
      </c>
      <c r="AX30" s="34" t="n">
        <v>5.01407130714153E-005</v>
      </c>
      <c r="AY30" s="34" t="n">
        <v>0.000149157340849902</v>
      </c>
      <c r="AZ30" s="34" t="n">
        <v>7.81127111574774E-005</v>
      </c>
      <c r="BA30" s="34" t="n">
        <v>0.000357849520878304</v>
      </c>
      <c r="BB30" s="34" t="n">
        <v>0.000233872067846871</v>
      </c>
      <c r="BC30" s="34" t="n">
        <v>0.000327495191849143</v>
      </c>
      <c r="BD30" s="34" t="n">
        <v>8.10385303214645E-005</v>
      </c>
      <c r="BE30" s="34" t="n">
        <v>2.48876948951145E-005</v>
      </c>
      <c r="BF30" s="34" t="n">
        <v>1.7435844502498E-005</v>
      </c>
      <c r="BG30" s="34" t="n">
        <v>8.71516924844751E-005</v>
      </c>
      <c r="BH30" s="34" t="n">
        <v>0.000533951155502501</v>
      </c>
      <c r="BI30" s="34" t="n">
        <v>0.00021736503072716</v>
      </c>
      <c r="BJ30" s="34" t="n">
        <v>0.000142745109845797</v>
      </c>
      <c r="BK30" s="34" t="n">
        <v>0.000145348803905032</v>
      </c>
      <c r="BL30" s="34" t="n">
        <v>3.40489670157446E-005</v>
      </c>
      <c r="BM30" s="34" t="n">
        <v>0.000377751466236645</v>
      </c>
      <c r="BN30" s="34" t="n">
        <v>0.00127600716625034</v>
      </c>
      <c r="BO30" s="34" t="n">
        <v>0.00132729732403245</v>
      </c>
      <c r="BP30" s="34" t="n">
        <v>0.0166675972043417</v>
      </c>
      <c r="BQ30" s="34" t="n">
        <v>0.0299875933061074</v>
      </c>
      <c r="BR30" s="34" t="n">
        <v>0.000307216484018416</v>
      </c>
      <c r="BS30" s="34" t="n">
        <v>0.00262781872084438</v>
      </c>
      <c r="BT30" s="34" t="n">
        <v>0</v>
      </c>
    </row>
    <row r="31" customFormat="false" ht="11.25" hidden="false" customHeight="true" outlineLevel="0" collapsed="false">
      <c r="B31" s="19" t="s">
        <v>113</v>
      </c>
      <c r="C31" s="20" t="s">
        <v>114</v>
      </c>
      <c r="D31" s="19" t="n">
        <v>25</v>
      </c>
      <c r="E31" s="33" t="n">
        <v>0.00199848709579236</v>
      </c>
      <c r="F31" s="33" t="n">
        <v>0.00138385382210216</v>
      </c>
      <c r="G31" s="33" t="n">
        <v>0.00118033646960028</v>
      </c>
      <c r="H31" s="33" t="n">
        <v>0.00833913154124802</v>
      </c>
      <c r="I31" s="33" t="n">
        <v>0.00108868751429454</v>
      </c>
      <c r="J31" s="33" t="n">
        <v>0.00569558254125818</v>
      </c>
      <c r="K31" s="33" t="n">
        <v>0.00462085488039263</v>
      </c>
      <c r="L31" s="33" t="n">
        <v>0.00919988283823073</v>
      </c>
      <c r="M31" s="33" t="n">
        <v>0.00292928146679408</v>
      </c>
      <c r="N31" s="33" t="n">
        <v>0.0233457993936603</v>
      </c>
      <c r="O31" s="33" t="n">
        <v>0.0338109769254489</v>
      </c>
      <c r="P31" s="33" t="n">
        <v>0.000511586533662472</v>
      </c>
      <c r="Q31" s="33" t="n">
        <v>0.00557210721345006</v>
      </c>
      <c r="R31" s="33" t="n">
        <v>0.00388734937817886</v>
      </c>
      <c r="S31" s="33" t="n">
        <v>0.0179066957621261</v>
      </c>
      <c r="T31" s="33" t="n">
        <v>0.00571797288046096</v>
      </c>
      <c r="U31" s="33" t="n">
        <v>0.00872438179605907</v>
      </c>
      <c r="V31" s="33" t="n">
        <v>0.0403412838199309</v>
      </c>
      <c r="W31" s="33" t="n">
        <v>0.000245362357677137</v>
      </c>
      <c r="X31" s="33" t="n">
        <v>0.00103050279099936</v>
      </c>
      <c r="Y31" s="33" t="n">
        <v>0.00850688571071233</v>
      </c>
      <c r="Z31" s="33" t="n">
        <v>0.0100809176845547</v>
      </c>
      <c r="AA31" s="33" t="n">
        <v>0.0372096769402419</v>
      </c>
      <c r="AB31" s="33" t="n">
        <v>0.00669931247693079</v>
      </c>
      <c r="AC31" s="33" t="n">
        <v>0.121039473004129</v>
      </c>
      <c r="AD31" s="33" t="n">
        <v>0.0197614896628987</v>
      </c>
      <c r="AE31" s="33" t="n">
        <v>0.00418375416377118</v>
      </c>
      <c r="AF31" s="33" t="n">
        <v>0.000792068245810604</v>
      </c>
      <c r="AG31" s="33" t="n">
        <v>0.00633793065778387</v>
      </c>
      <c r="AH31" s="33" t="n">
        <v>0.015850752612562</v>
      </c>
      <c r="AI31" s="33" t="n">
        <v>0.0255032358680415</v>
      </c>
      <c r="AJ31" s="33" t="n">
        <v>0.0153101065764392</v>
      </c>
      <c r="AK31" s="33" t="n">
        <v>0.0408949418132174</v>
      </c>
      <c r="AL31" s="33" t="n">
        <v>0.0364232803957371</v>
      </c>
      <c r="AM31" s="33" t="n">
        <v>0.0176457355566859</v>
      </c>
      <c r="AN31" s="33" t="n">
        <v>0.0278207445366754</v>
      </c>
      <c r="AO31" s="33" t="n">
        <v>0.0159764271732526</v>
      </c>
      <c r="AP31" s="33" t="n">
        <v>0.000649599077054732</v>
      </c>
      <c r="AQ31" s="33" t="n">
        <v>0.00519880059444238</v>
      </c>
      <c r="AR31" s="33" t="n">
        <v>0.0165726588357648</v>
      </c>
      <c r="AS31" s="33" t="n">
        <v>0.00850984588578204</v>
      </c>
      <c r="AT31" s="33" t="n">
        <v>0.00524606241556151</v>
      </c>
      <c r="AU31" s="33" t="n">
        <v>0.0145097654261419</v>
      </c>
      <c r="AV31" s="33" t="n">
        <v>0.000216093575646092</v>
      </c>
      <c r="AW31" s="33" t="n">
        <v>0.0228653274897712</v>
      </c>
      <c r="AX31" s="33" t="n">
        <v>0.00110602205854415</v>
      </c>
      <c r="AY31" s="33" t="n">
        <v>0.00106207428152614</v>
      </c>
      <c r="AZ31" s="33" t="n">
        <v>0.0019690763176288</v>
      </c>
      <c r="BA31" s="33" t="n">
        <v>0.000919355341547657</v>
      </c>
      <c r="BB31" s="33" t="n">
        <v>0.000361695544727687</v>
      </c>
      <c r="BC31" s="33" t="n">
        <v>0.000415909819309963</v>
      </c>
      <c r="BD31" s="33" t="n">
        <v>0.000255241606552323</v>
      </c>
      <c r="BE31" s="33" t="n">
        <v>0.000212093971121419</v>
      </c>
      <c r="BF31" s="33" t="n">
        <v>0.000212717411254367</v>
      </c>
      <c r="BG31" s="33" t="n">
        <v>0.00266735668232669</v>
      </c>
      <c r="BH31" s="33" t="n">
        <v>0.000491947983865428</v>
      </c>
      <c r="BI31" s="33" t="n">
        <v>0.000251524054544322</v>
      </c>
      <c r="BJ31" s="33" t="n">
        <v>0.00682722503778769</v>
      </c>
      <c r="BK31" s="33" t="n">
        <v>0.00256271059937375</v>
      </c>
      <c r="BL31" s="33" t="n">
        <v>0.000120704707162946</v>
      </c>
      <c r="BM31" s="33" t="n">
        <v>0.000285182213080354</v>
      </c>
      <c r="BN31" s="33" t="n">
        <v>0.000879781586495571</v>
      </c>
      <c r="BO31" s="33" t="n">
        <v>0.000437991885410389</v>
      </c>
      <c r="BP31" s="33" t="n">
        <v>0.00336325295383047</v>
      </c>
      <c r="BQ31" s="33" t="n">
        <v>0.0026486542483605</v>
      </c>
      <c r="BR31" s="33" t="n">
        <v>0.000915366669881138</v>
      </c>
      <c r="BS31" s="33" t="n">
        <v>0.00088825607346181</v>
      </c>
      <c r="BT31" s="33" t="n">
        <v>0</v>
      </c>
    </row>
    <row r="32" customFormat="false" ht="11.25" hidden="false" customHeight="true" outlineLevel="0" collapsed="false">
      <c r="B32" s="24" t="s">
        <v>115</v>
      </c>
      <c r="C32" s="25" t="s">
        <v>116</v>
      </c>
      <c r="D32" s="24" t="n">
        <v>26</v>
      </c>
      <c r="E32" s="34" t="n">
        <v>0.0102868358859803</v>
      </c>
      <c r="F32" s="34" t="n">
        <v>0.0154551046910113</v>
      </c>
      <c r="G32" s="34" t="n">
        <v>0.00200852711767592</v>
      </c>
      <c r="H32" s="34" t="n">
        <v>0.00390076441639965</v>
      </c>
      <c r="I32" s="34" t="n">
        <v>0.00109235279033503</v>
      </c>
      <c r="J32" s="34" t="n">
        <v>0.000121044055534201</v>
      </c>
      <c r="K32" s="34" t="n">
        <v>0.00074504553295324</v>
      </c>
      <c r="L32" s="34" t="n">
        <v>0.000309813995407624</v>
      </c>
      <c r="M32" s="34" t="n">
        <v>0.00241127227853065</v>
      </c>
      <c r="N32" s="34" t="n">
        <v>0.00490496611830866</v>
      </c>
      <c r="O32" s="34" t="n">
        <v>0.0185972370984846</v>
      </c>
      <c r="P32" s="34" t="n">
        <v>0.000221508881193191</v>
      </c>
      <c r="Q32" s="34" t="n">
        <v>0.000523292348131796</v>
      </c>
      <c r="R32" s="34" t="n">
        <v>0.000619527308599389</v>
      </c>
      <c r="S32" s="34" t="n">
        <v>0.000536138207470869</v>
      </c>
      <c r="T32" s="34" t="n">
        <v>0.000625904067396808</v>
      </c>
      <c r="U32" s="34" t="n">
        <v>0.00292016632107692</v>
      </c>
      <c r="V32" s="34" t="n">
        <v>0.00170688136543271</v>
      </c>
      <c r="W32" s="34" t="n">
        <v>0.000280343353911093</v>
      </c>
      <c r="X32" s="34" t="n">
        <v>0.000319484097283557</v>
      </c>
      <c r="Y32" s="34" t="n">
        <v>0.00404650887607297</v>
      </c>
      <c r="Z32" s="34" t="n">
        <v>0.00368516289602906</v>
      </c>
      <c r="AA32" s="34" t="n">
        <v>0.00770283396596334</v>
      </c>
      <c r="AB32" s="34" t="n">
        <v>0.00129472524176198</v>
      </c>
      <c r="AC32" s="34" t="n">
        <v>0.00487894122726991</v>
      </c>
      <c r="AD32" s="34" t="n">
        <v>0.098710842161364</v>
      </c>
      <c r="AE32" s="34" t="n">
        <v>0.00297684062132679</v>
      </c>
      <c r="AF32" s="34" t="n">
        <v>0.000550206719194668</v>
      </c>
      <c r="AG32" s="34" t="n">
        <v>0.00162723537883229</v>
      </c>
      <c r="AH32" s="34" t="n">
        <v>0.000379992243314796</v>
      </c>
      <c r="AI32" s="34" t="n">
        <v>0.00398294683084978</v>
      </c>
      <c r="AJ32" s="34" t="n">
        <v>0.00255355209963655</v>
      </c>
      <c r="AK32" s="34" t="n">
        <v>0.0100566163010836</v>
      </c>
      <c r="AL32" s="34" t="n">
        <v>0.00133086908712458</v>
      </c>
      <c r="AM32" s="34" t="n">
        <v>0.00310550599771604</v>
      </c>
      <c r="AN32" s="34" t="n">
        <v>0.00613851657821775</v>
      </c>
      <c r="AO32" s="34" t="n">
        <v>0.00321959866293865</v>
      </c>
      <c r="AP32" s="34" t="n">
        <v>0.00561358029034586</v>
      </c>
      <c r="AQ32" s="34" t="n">
        <v>0.0129343962142225</v>
      </c>
      <c r="AR32" s="34" t="n">
        <v>0.0837924168703894</v>
      </c>
      <c r="AS32" s="34" t="n">
        <v>0.00154002882612418</v>
      </c>
      <c r="AT32" s="34" t="n">
        <v>0.000341432948201722</v>
      </c>
      <c r="AU32" s="34" t="n">
        <v>0.000126799403195616</v>
      </c>
      <c r="AV32" s="34" t="n">
        <v>8.55697776780738E-005</v>
      </c>
      <c r="AW32" s="34" t="n">
        <v>3.66724160369064E-005</v>
      </c>
      <c r="AX32" s="34" t="n">
        <v>0.000221768628553935</v>
      </c>
      <c r="AY32" s="34" t="n">
        <v>0.00695552881451159</v>
      </c>
      <c r="AZ32" s="34" t="n">
        <v>0.00241021313516444</v>
      </c>
      <c r="BA32" s="34" t="n">
        <v>0.000692357615382719</v>
      </c>
      <c r="BB32" s="34" t="n">
        <v>0.000287660630815629</v>
      </c>
      <c r="BC32" s="34" t="n">
        <v>0.000272680302846828</v>
      </c>
      <c r="BD32" s="34" t="n">
        <v>0.000107488630465852</v>
      </c>
      <c r="BE32" s="34" t="n">
        <v>8.65576039263938E-005</v>
      </c>
      <c r="BF32" s="34" t="n">
        <v>0.00400446885046769</v>
      </c>
      <c r="BG32" s="34" t="n">
        <v>0.000203967910308042</v>
      </c>
      <c r="BH32" s="34" t="n">
        <v>0.000188832197525957</v>
      </c>
      <c r="BI32" s="34" t="n">
        <v>0.000102929387202469</v>
      </c>
      <c r="BJ32" s="34" t="n">
        <v>0.000246752239614192</v>
      </c>
      <c r="BK32" s="34" t="n">
        <v>0.000510809310568145</v>
      </c>
      <c r="BL32" s="34" t="n">
        <v>6.27834622249627E-005</v>
      </c>
      <c r="BM32" s="34" t="n">
        <v>0.000657142049491739</v>
      </c>
      <c r="BN32" s="34" t="n">
        <v>0.000694959298687638</v>
      </c>
      <c r="BO32" s="34" t="n">
        <v>0.000295538101325273</v>
      </c>
      <c r="BP32" s="34" t="n">
        <v>0.000971729299500096</v>
      </c>
      <c r="BQ32" s="34" t="n">
        <v>0.000672591442086844</v>
      </c>
      <c r="BR32" s="34" t="n">
        <v>0.000638155513352913</v>
      </c>
      <c r="BS32" s="34" t="n">
        <v>0.00119748654804225</v>
      </c>
      <c r="BT32" s="34" t="n">
        <v>0</v>
      </c>
    </row>
    <row r="33" customFormat="false" ht="11.25" hidden="false" customHeight="true" outlineLevel="0" collapsed="false">
      <c r="B33" s="19" t="s">
        <v>117</v>
      </c>
      <c r="C33" s="20" t="s">
        <v>118</v>
      </c>
      <c r="D33" s="19" t="n">
        <v>27</v>
      </c>
      <c r="E33" s="33" t="n">
        <v>0.000657475720994911</v>
      </c>
      <c r="F33" s="33" t="n">
        <v>0.00243472825316786</v>
      </c>
      <c r="G33" s="33" t="n">
        <v>0.00039106690020943</v>
      </c>
      <c r="H33" s="33" t="n">
        <v>0.00623543150491579</v>
      </c>
      <c r="I33" s="33" t="n">
        <v>0.013655481595652</v>
      </c>
      <c r="J33" s="33" t="n">
        <v>0.000402926944892266</v>
      </c>
      <c r="K33" s="33" t="n">
        <v>0.0069722465673345</v>
      </c>
      <c r="L33" s="33" t="n">
        <v>0.00134212490634018</v>
      </c>
      <c r="M33" s="33" t="n">
        <v>0.000110613513685339</v>
      </c>
      <c r="N33" s="33" t="n">
        <v>0.000594425353918496</v>
      </c>
      <c r="O33" s="33" t="n">
        <v>0.000883247254257465</v>
      </c>
      <c r="P33" s="33" t="n">
        <v>0.000144238337768091</v>
      </c>
      <c r="Q33" s="33" t="n">
        <v>0.000247890018382592</v>
      </c>
      <c r="R33" s="33" t="n">
        <v>0.00015380381852226</v>
      </c>
      <c r="S33" s="33" t="n">
        <v>0.000255301435957376</v>
      </c>
      <c r="T33" s="33" t="n">
        <v>0.000385445923362041</v>
      </c>
      <c r="U33" s="33" t="n">
        <v>0.00228636996155753</v>
      </c>
      <c r="V33" s="33" t="n">
        <v>0.000250510937748047</v>
      </c>
      <c r="W33" s="33" t="n">
        <v>0.000233565742695453</v>
      </c>
      <c r="X33" s="33" t="n">
        <v>0.000188202335373005</v>
      </c>
      <c r="Y33" s="33" t="n">
        <v>0.000456671625132688</v>
      </c>
      <c r="Z33" s="33" t="n">
        <v>0.00110869230100915</v>
      </c>
      <c r="AA33" s="33" t="n">
        <v>0.00085290720404045</v>
      </c>
      <c r="AB33" s="33" t="n">
        <v>0.00046522584605134</v>
      </c>
      <c r="AC33" s="33" t="n">
        <v>0.00923836733760993</v>
      </c>
      <c r="AD33" s="33" t="n">
        <v>0.0081696829773801</v>
      </c>
      <c r="AE33" s="33" t="n">
        <v>0.130014686846028</v>
      </c>
      <c r="AF33" s="33" t="n">
        <v>0.0282848641426412</v>
      </c>
      <c r="AG33" s="33" t="n">
        <v>0.209204484193159</v>
      </c>
      <c r="AH33" s="33" t="n">
        <v>0.000969918671701647</v>
      </c>
      <c r="AI33" s="33" t="n">
        <v>0.0486814125343291</v>
      </c>
      <c r="AJ33" s="33" t="n">
        <v>0.0787395808003528</v>
      </c>
      <c r="AK33" s="33" t="n">
        <v>0.0424592533431537</v>
      </c>
      <c r="AL33" s="33" t="n">
        <v>0.0974028068890601</v>
      </c>
      <c r="AM33" s="33" t="n">
        <v>0.0261948598736539</v>
      </c>
      <c r="AN33" s="33" t="n">
        <v>0.021623534629228</v>
      </c>
      <c r="AO33" s="33" t="n">
        <v>0.0161385782223286</v>
      </c>
      <c r="AP33" s="33" t="n">
        <v>0.00104980529599692</v>
      </c>
      <c r="AQ33" s="33" t="n">
        <v>0.00184014746881455</v>
      </c>
      <c r="AR33" s="33" t="n">
        <v>0.0307455439374526</v>
      </c>
      <c r="AS33" s="33" t="n">
        <v>0.000295665832239461</v>
      </c>
      <c r="AT33" s="33" t="n">
        <v>0.00169208389548801</v>
      </c>
      <c r="AU33" s="33" t="n">
        <v>0.000176175594011714</v>
      </c>
      <c r="AV33" s="33" t="n">
        <v>0.000110453475068678</v>
      </c>
      <c r="AW33" s="33" t="n">
        <v>6.62877096187337E-005</v>
      </c>
      <c r="AX33" s="33" t="n">
        <v>0.000281090319842184</v>
      </c>
      <c r="AY33" s="33" t="n">
        <v>0.000534842185936835</v>
      </c>
      <c r="AZ33" s="33" t="n">
        <v>0.000367880529763284</v>
      </c>
      <c r="BA33" s="33" t="n">
        <v>0.000284474288077064</v>
      </c>
      <c r="BB33" s="33" t="n">
        <v>0.000227503102776063</v>
      </c>
      <c r="BC33" s="33" t="n">
        <v>0.000295860143652927</v>
      </c>
      <c r="BD33" s="33" t="n">
        <v>0.000276643205164145</v>
      </c>
      <c r="BE33" s="33" t="n">
        <v>0.000120835613940217</v>
      </c>
      <c r="BF33" s="33" t="n">
        <v>5.80420200370758E-005</v>
      </c>
      <c r="BG33" s="33" t="n">
        <v>0.000254124186919101</v>
      </c>
      <c r="BH33" s="33" t="n">
        <v>0.000722642829844504</v>
      </c>
      <c r="BI33" s="33" t="n">
        <v>0.00010952016573649</v>
      </c>
      <c r="BJ33" s="33" t="n">
        <v>0.00558509135054027</v>
      </c>
      <c r="BK33" s="33" t="n">
        <v>0.00021514460914765</v>
      </c>
      <c r="BL33" s="33" t="n">
        <v>0.000121081675799341</v>
      </c>
      <c r="BM33" s="33" t="n">
        <v>0.000285500353867355</v>
      </c>
      <c r="BN33" s="33" t="n">
        <v>0.00020069412579148</v>
      </c>
      <c r="BO33" s="33" t="n">
        <v>0.000459505151242154</v>
      </c>
      <c r="BP33" s="33" t="n">
        <v>0.00013584848930226</v>
      </c>
      <c r="BQ33" s="33" t="n">
        <v>9.72082478457764E-005</v>
      </c>
      <c r="BR33" s="33" t="n">
        <v>0.000902222354491</v>
      </c>
      <c r="BS33" s="33" t="n">
        <v>0.000189690256244648</v>
      </c>
      <c r="BT33" s="33" t="n">
        <v>0</v>
      </c>
    </row>
    <row r="34" customFormat="false" ht="11.25" hidden="false" customHeight="true" outlineLevel="0" collapsed="false">
      <c r="B34" s="24" t="s">
        <v>119</v>
      </c>
      <c r="C34" s="25" t="s">
        <v>120</v>
      </c>
      <c r="D34" s="24" t="n">
        <v>28</v>
      </c>
      <c r="E34" s="34" t="n">
        <v>0.000500878087590134</v>
      </c>
      <c r="F34" s="34" t="n">
        <v>0.000352846405520274</v>
      </c>
      <c r="G34" s="34" t="n">
        <v>0.000104099169057031</v>
      </c>
      <c r="H34" s="34" t="n">
        <v>0.000588967372666668</v>
      </c>
      <c r="I34" s="34" t="n">
        <v>0.000405144389297474</v>
      </c>
      <c r="J34" s="34" t="n">
        <v>0.000273102690127787</v>
      </c>
      <c r="K34" s="34" t="n">
        <v>0.00656907913378603</v>
      </c>
      <c r="L34" s="34" t="n">
        <v>0.0012638088608801</v>
      </c>
      <c r="M34" s="34" t="n">
        <v>0.000126871320981474</v>
      </c>
      <c r="N34" s="34" t="n">
        <v>0.0018153571727453</v>
      </c>
      <c r="O34" s="34" t="n">
        <v>0.000396029546743063</v>
      </c>
      <c r="P34" s="34" t="n">
        <v>4.9326020865779E-005</v>
      </c>
      <c r="Q34" s="34" t="n">
        <v>0.000254075422887721</v>
      </c>
      <c r="R34" s="34" t="n">
        <v>0.000179753181957275</v>
      </c>
      <c r="S34" s="34" t="n">
        <v>0.000251551971772689</v>
      </c>
      <c r="T34" s="34" t="n">
        <v>0.000150441560313077</v>
      </c>
      <c r="U34" s="34" t="n">
        <v>0.0036171569710094</v>
      </c>
      <c r="V34" s="34" t="n">
        <v>0.0115200874031904</v>
      </c>
      <c r="W34" s="34" t="n">
        <v>1.98848511379975E-005</v>
      </c>
      <c r="X34" s="34" t="n">
        <v>8.58488853622625E-005</v>
      </c>
      <c r="Y34" s="34" t="n">
        <v>0.00492859508290945</v>
      </c>
      <c r="Z34" s="34" t="n">
        <v>0.00480311965258182</v>
      </c>
      <c r="AA34" s="34" t="n">
        <v>0.00120810371613828</v>
      </c>
      <c r="AB34" s="34" t="n">
        <v>0.000346847129171473</v>
      </c>
      <c r="AC34" s="34" t="n">
        <v>0.00095914271846645</v>
      </c>
      <c r="AD34" s="34" t="n">
        <v>0.00148468912842231</v>
      </c>
      <c r="AE34" s="34" t="n">
        <v>0.011401648841043</v>
      </c>
      <c r="AF34" s="34" t="n">
        <v>0.12648537257658</v>
      </c>
      <c r="AG34" s="34" t="n">
        <v>0.0161122649864844</v>
      </c>
      <c r="AH34" s="34" t="n">
        <v>0.0020278707369642</v>
      </c>
      <c r="AI34" s="34" t="n">
        <v>0.0925176560743955</v>
      </c>
      <c r="AJ34" s="34" t="n">
        <v>0.0157781449915287</v>
      </c>
      <c r="AK34" s="34" t="n">
        <v>0.00337566195530174</v>
      </c>
      <c r="AL34" s="34" t="n">
        <v>0.0539518415496497</v>
      </c>
      <c r="AM34" s="34" t="n">
        <v>0.0184102727734879</v>
      </c>
      <c r="AN34" s="34" t="n">
        <v>0.025690150497325</v>
      </c>
      <c r="AO34" s="34" t="n">
        <v>0.0252417263914372</v>
      </c>
      <c r="AP34" s="34" t="n">
        <v>0.000205283754743848</v>
      </c>
      <c r="AQ34" s="34" t="n">
        <v>0.00283464726560218</v>
      </c>
      <c r="AR34" s="34" t="n">
        <v>0.00607582118737713</v>
      </c>
      <c r="AS34" s="34" t="n">
        <v>0.00337407174544595</v>
      </c>
      <c r="AT34" s="34" t="n">
        <v>0.00048166628746379</v>
      </c>
      <c r="AU34" s="34" t="n">
        <v>0.000108314394400228</v>
      </c>
      <c r="AV34" s="34" t="n">
        <v>0.000144159544055025</v>
      </c>
      <c r="AW34" s="34" t="n">
        <v>4.66041875719487E-005</v>
      </c>
      <c r="AX34" s="34" t="n">
        <v>0.000267753179326075</v>
      </c>
      <c r="AY34" s="34" t="n">
        <v>0.000549527699256727</v>
      </c>
      <c r="AZ34" s="34" t="n">
        <v>0.00030597748615473</v>
      </c>
      <c r="BA34" s="34" t="n">
        <v>0.000169493463533665</v>
      </c>
      <c r="BB34" s="34" t="n">
        <v>0.000164061293108505</v>
      </c>
      <c r="BC34" s="34" t="n">
        <v>0.000186768703641895</v>
      </c>
      <c r="BD34" s="34" t="n">
        <v>0.000146003905898531</v>
      </c>
      <c r="BE34" s="34" t="n">
        <v>0.00014371251780951</v>
      </c>
      <c r="BF34" s="34" t="n">
        <v>0.000165508207829298</v>
      </c>
      <c r="BG34" s="34" t="n">
        <v>0.000295105650565182</v>
      </c>
      <c r="BH34" s="34" t="n">
        <v>0.000243031405251611</v>
      </c>
      <c r="BI34" s="34" t="n">
        <v>0.00013079341625343</v>
      </c>
      <c r="BJ34" s="34" t="n">
        <v>0.000374546244345532</v>
      </c>
      <c r="BK34" s="34" t="n">
        <v>0.000224694387684142</v>
      </c>
      <c r="BL34" s="34" t="n">
        <v>0.000101490830855604</v>
      </c>
      <c r="BM34" s="34" t="n">
        <v>8.40213317292212E-005</v>
      </c>
      <c r="BN34" s="34" t="n">
        <v>7.15700472357045E-005</v>
      </c>
      <c r="BO34" s="34" t="n">
        <v>0.000514013244791535</v>
      </c>
      <c r="BP34" s="34" t="n">
        <v>0.000186840626526672</v>
      </c>
      <c r="BQ34" s="34" t="n">
        <v>0.000521631528536495</v>
      </c>
      <c r="BR34" s="34" t="n">
        <v>0.00107733987709306</v>
      </c>
      <c r="BS34" s="34" t="n">
        <v>0.000279027294561872</v>
      </c>
      <c r="BT34" s="34" t="n">
        <v>0</v>
      </c>
    </row>
    <row r="35" customFormat="false" ht="11.25" hidden="false" customHeight="true" outlineLevel="0" collapsed="false">
      <c r="B35" s="19" t="s">
        <v>121</v>
      </c>
      <c r="C35" s="20" t="s">
        <v>122</v>
      </c>
      <c r="D35" s="19" t="n">
        <v>29</v>
      </c>
      <c r="E35" s="33" t="n">
        <v>0.0014357011946003</v>
      </c>
      <c r="F35" s="33" t="n">
        <v>0.004147059924935</v>
      </c>
      <c r="G35" s="33" t="n">
        <v>0.0013565523145612</v>
      </c>
      <c r="H35" s="33" t="n">
        <v>0.00327633696044684</v>
      </c>
      <c r="I35" s="33" t="n">
        <v>0.0079036297755092</v>
      </c>
      <c r="J35" s="33" t="n">
        <v>0.00799287560412392</v>
      </c>
      <c r="K35" s="33" t="n">
        <v>0.0146343903209429</v>
      </c>
      <c r="L35" s="33" t="n">
        <v>0.00835099995955896</v>
      </c>
      <c r="M35" s="33" t="n">
        <v>0.00173695542972039</v>
      </c>
      <c r="N35" s="33" t="n">
        <v>0.00775755536285329</v>
      </c>
      <c r="O35" s="33" t="n">
        <v>0.0426828745326212</v>
      </c>
      <c r="P35" s="33" t="n">
        <v>0.00152890223458638</v>
      </c>
      <c r="Q35" s="33" t="n">
        <v>0.00198824473291098</v>
      </c>
      <c r="R35" s="33" t="n">
        <v>0.0016639699140716</v>
      </c>
      <c r="S35" s="33" t="n">
        <v>0.00189086137395925</v>
      </c>
      <c r="T35" s="33" t="n">
        <v>0.0110498086987023</v>
      </c>
      <c r="U35" s="33" t="n">
        <v>0.00199882913949372</v>
      </c>
      <c r="V35" s="33" t="n">
        <v>0.00191651983638552</v>
      </c>
      <c r="W35" s="33" t="n">
        <v>0.000814719331902071</v>
      </c>
      <c r="X35" s="33" t="n">
        <v>0.00170468691755089</v>
      </c>
      <c r="Y35" s="33" t="n">
        <v>0.00323662405232897</v>
      </c>
      <c r="Z35" s="33" t="n">
        <v>0.0141643944645575</v>
      </c>
      <c r="AA35" s="33" t="n">
        <v>0.0213813957914446</v>
      </c>
      <c r="AB35" s="33" t="n">
        <v>0.00256345302499634</v>
      </c>
      <c r="AC35" s="33" t="n">
        <v>0.00254117131713864</v>
      </c>
      <c r="AD35" s="33" t="n">
        <v>0.00261758487754006</v>
      </c>
      <c r="AE35" s="33" t="n">
        <v>0.0186473524865214</v>
      </c>
      <c r="AF35" s="33" t="n">
        <v>0.0049963199719255</v>
      </c>
      <c r="AG35" s="33" t="n">
        <v>0.066147582712891</v>
      </c>
      <c r="AH35" s="33" t="n">
        <v>0.0108852926437776</v>
      </c>
      <c r="AI35" s="33" t="n">
        <v>0.0282314384571436</v>
      </c>
      <c r="AJ35" s="33" t="n">
        <v>0.0416403561990718</v>
      </c>
      <c r="AK35" s="33" t="n">
        <v>0.0217835647010548</v>
      </c>
      <c r="AL35" s="33" t="n">
        <v>0.0271124762966792</v>
      </c>
      <c r="AM35" s="33" t="n">
        <v>0.0452140695036129</v>
      </c>
      <c r="AN35" s="33" t="n">
        <v>0.0162998631903413</v>
      </c>
      <c r="AO35" s="33" t="n">
        <v>0.0432652322236444</v>
      </c>
      <c r="AP35" s="33" t="n">
        <v>0.00776865528203666</v>
      </c>
      <c r="AQ35" s="33" t="n">
        <v>0.0118021033146024</v>
      </c>
      <c r="AR35" s="33" t="n">
        <v>0.0355272237695104</v>
      </c>
      <c r="AS35" s="33" t="n">
        <v>0.00254130045263311</v>
      </c>
      <c r="AT35" s="33" t="n">
        <v>0.00170928261958451</v>
      </c>
      <c r="AU35" s="33" t="n">
        <v>0.000618451593549293</v>
      </c>
      <c r="AV35" s="33" t="n">
        <v>0.000730077908337473</v>
      </c>
      <c r="AW35" s="33" t="n">
        <v>0.000167094869352406</v>
      </c>
      <c r="AX35" s="33" t="n">
        <v>0.000537142306758756</v>
      </c>
      <c r="AY35" s="33" t="n">
        <v>0.00593193933224912</v>
      </c>
      <c r="AZ35" s="33" t="n">
        <v>0.00818925328447944</v>
      </c>
      <c r="BA35" s="33" t="n">
        <v>0.000710672231919187</v>
      </c>
      <c r="BB35" s="33" t="n">
        <v>0.000642373997549224</v>
      </c>
      <c r="BC35" s="33" t="n">
        <v>0.000620956313392548</v>
      </c>
      <c r="BD35" s="33" t="n">
        <v>0.000312578731670136</v>
      </c>
      <c r="BE35" s="33" t="n">
        <v>0.000153470394753173</v>
      </c>
      <c r="BF35" s="33" t="n">
        <v>0.000849827965730978</v>
      </c>
      <c r="BG35" s="33" t="n">
        <v>0.000405702688586656</v>
      </c>
      <c r="BH35" s="33" t="n">
        <v>0.000736244292504203</v>
      </c>
      <c r="BI35" s="33" t="n">
        <v>0.000235986732870453</v>
      </c>
      <c r="BJ35" s="33" t="n">
        <v>0.000697454608137946</v>
      </c>
      <c r="BK35" s="33" t="n">
        <v>0.00132432069624374</v>
      </c>
      <c r="BL35" s="33" t="n">
        <v>0.00236862184760899</v>
      </c>
      <c r="BM35" s="33" t="n">
        <v>0.00162537244548632</v>
      </c>
      <c r="BN35" s="33" t="n">
        <v>0.000455825088372374</v>
      </c>
      <c r="BO35" s="33" t="n">
        <v>0.00053381124393227</v>
      </c>
      <c r="BP35" s="33" t="n">
        <v>0.000783452515920225</v>
      </c>
      <c r="BQ35" s="33" t="n">
        <v>0.00062593435425278</v>
      </c>
      <c r="BR35" s="33" t="n">
        <v>0.00124280045302996</v>
      </c>
      <c r="BS35" s="33" t="n">
        <v>0.000965963487923891</v>
      </c>
      <c r="BT35" s="33" t="n">
        <v>0</v>
      </c>
    </row>
    <row r="36" customFormat="false" ht="11.25" hidden="false" customHeight="true" outlineLevel="0" collapsed="false">
      <c r="B36" s="24" t="s">
        <v>123</v>
      </c>
      <c r="C36" s="25" t="s">
        <v>124</v>
      </c>
      <c r="D36" s="24" t="n">
        <v>30</v>
      </c>
      <c r="E36" s="34" t="n">
        <v>1.44963348518146E-005</v>
      </c>
      <c r="F36" s="34" t="n">
        <v>2.95662936455989E-005</v>
      </c>
      <c r="G36" s="34" t="n">
        <v>5.56993122951959E-005</v>
      </c>
      <c r="H36" s="34" t="n">
        <v>0.000529401990159374</v>
      </c>
      <c r="I36" s="34" t="n">
        <v>0.0012541426753258</v>
      </c>
      <c r="J36" s="34" t="n">
        <v>0.000378138392846156</v>
      </c>
      <c r="K36" s="34" t="n">
        <v>0.000769972141418022</v>
      </c>
      <c r="L36" s="34" t="n">
        <v>0.000732535510677871</v>
      </c>
      <c r="M36" s="34" t="n">
        <v>0.000297075193186659</v>
      </c>
      <c r="N36" s="34" t="n">
        <v>0.000505420485798192</v>
      </c>
      <c r="O36" s="34" t="n">
        <v>0.000240271002584743</v>
      </c>
      <c r="P36" s="34" t="n">
        <v>0.000378488992949489</v>
      </c>
      <c r="Q36" s="34" t="n">
        <v>0.000466369931706864</v>
      </c>
      <c r="R36" s="34" t="n">
        <v>0.000609780077239868</v>
      </c>
      <c r="S36" s="34" t="n">
        <v>0.000700790547024113</v>
      </c>
      <c r="T36" s="34" t="n">
        <v>0.000407600910910587</v>
      </c>
      <c r="U36" s="34" t="n">
        <v>0.000865497758816064</v>
      </c>
      <c r="V36" s="34" t="n">
        <v>0.00848112007990129</v>
      </c>
      <c r="W36" s="34" t="n">
        <v>5.27496221054608E-005</v>
      </c>
      <c r="X36" s="34" t="n">
        <v>0.000432579827553312</v>
      </c>
      <c r="Y36" s="34" t="n">
        <v>0.000305896791176371</v>
      </c>
      <c r="Z36" s="34" t="n">
        <v>0.00066070447296328</v>
      </c>
      <c r="AA36" s="34" t="n">
        <v>0.000258442090752673</v>
      </c>
      <c r="AB36" s="34" t="n">
        <v>0.000741422696841878</v>
      </c>
      <c r="AC36" s="34" t="n">
        <v>0.000581324879741336</v>
      </c>
      <c r="AD36" s="34" t="n">
        <v>0.000626900162830416</v>
      </c>
      <c r="AE36" s="34" t="n">
        <v>0.0009935732988174</v>
      </c>
      <c r="AF36" s="34" t="n">
        <v>0.000729780184542275</v>
      </c>
      <c r="AG36" s="34" t="n">
        <v>0.000520400499157148</v>
      </c>
      <c r="AH36" s="34" t="n">
        <v>0.157572802536002</v>
      </c>
      <c r="AI36" s="34" t="n">
        <v>0.0047245846195615</v>
      </c>
      <c r="AJ36" s="34" t="n">
        <v>0.00397288931567466</v>
      </c>
      <c r="AK36" s="34" t="n">
        <v>0.00169591974914219</v>
      </c>
      <c r="AL36" s="34" t="n">
        <v>0.00127271363666198</v>
      </c>
      <c r="AM36" s="34" t="n">
        <v>0.00152276631078637</v>
      </c>
      <c r="AN36" s="34" t="n">
        <v>0.0011531267607655</v>
      </c>
      <c r="AO36" s="34" t="n">
        <v>0.0067447997547238</v>
      </c>
      <c r="AP36" s="34" t="n">
        <v>0.000781968700901869</v>
      </c>
      <c r="AQ36" s="34" t="n">
        <v>0.000502670000463471</v>
      </c>
      <c r="AR36" s="34" t="n">
        <v>0.000977438586849363</v>
      </c>
      <c r="AS36" s="34" t="n">
        <v>0.000276166611575351</v>
      </c>
      <c r="AT36" s="34" t="n">
        <v>0.000566748193287229</v>
      </c>
      <c r="AU36" s="34" t="n">
        <v>0.000179216977243394</v>
      </c>
      <c r="AV36" s="34" t="n">
        <v>0.000734174029573471</v>
      </c>
      <c r="AW36" s="34" t="n">
        <v>0.000393103255618565</v>
      </c>
      <c r="AX36" s="34" t="n">
        <v>0.00137719954131094</v>
      </c>
      <c r="AY36" s="34" t="n">
        <v>0.000214560949242942</v>
      </c>
      <c r="AZ36" s="34" t="n">
        <v>8.95432328752092E-005</v>
      </c>
      <c r="BA36" s="34" t="n">
        <v>0.00117636439658371</v>
      </c>
      <c r="BB36" s="34" t="n">
        <v>0.00886848504742551</v>
      </c>
      <c r="BC36" s="34" t="n">
        <v>0.00222518790501163</v>
      </c>
      <c r="BD36" s="34" t="n">
        <v>0.0166944959547574</v>
      </c>
      <c r="BE36" s="34" t="n">
        <v>0.000918389587317672</v>
      </c>
      <c r="BF36" s="34" t="n">
        <v>4.13940168922298E-005</v>
      </c>
      <c r="BG36" s="34" t="n">
        <v>0.00233677853290793</v>
      </c>
      <c r="BH36" s="34" t="n">
        <v>0.0137361436526843</v>
      </c>
      <c r="BI36" s="34" t="n">
        <v>0.00143324770226968</v>
      </c>
      <c r="BJ36" s="34" t="n">
        <v>0.00145595457704924</v>
      </c>
      <c r="BK36" s="34" t="n">
        <v>0.0061029726266472</v>
      </c>
      <c r="BL36" s="34" t="n">
        <v>0.0033890161869286</v>
      </c>
      <c r="BM36" s="34" t="n">
        <v>0.000678903061791787</v>
      </c>
      <c r="BN36" s="34" t="n">
        <v>0.00359786694517514</v>
      </c>
      <c r="BO36" s="34" t="n">
        <v>0.00161501149073274</v>
      </c>
      <c r="BP36" s="34" t="n">
        <v>0.00206553896343789</v>
      </c>
      <c r="BQ36" s="34" t="n">
        <v>0.00163377082966223</v>
      </c>
      <c r="BR36" s="34" t="n">
        <v>0.00218980850081606</v>
      </c>
      <c r="BS36" s="34" t="n">
        <v>0.00478546092029961</v>
      </c>
      <c r="BT36" s="34" t="n">
        <v>0</v>
      </c>
    </row>
    <row r="37" customFormat="false" ht="11.25" hidden="false" customHeight="true" outlineLevel="0" collapsed="false">
      <c r="B37" s="19" t="s">
        <v>125</v>
      </c>
      <c r="C37" s="20" t="s">
        <v>126</v>
      </c>
      <c r="D37" s="19" t="n">
        <v>31</v>
      </c>
      <c r="E37" s="33" t="n">
        <v>0.000167615832238583</v>
      </c>
      <c r="F37" s="33" t="n">
        <v>0.000705495250477518</v>
      </c>
      <c r="G37" s="33" t="n">
        <v>0.000149433826968599</v>
      </c>
      <c r="H37" s="33" t="n">
        <v>0.00123202603737331</v>
      </c>
      <c r="I37" s="33" t="n">
        <v>0.00128301167191301</v>
      </c>
      <c r="J37" s="33" t="n">
        <v>0.000833926434022126</v>
      </c>
      <c r="K37" s="33" t="n">
        <v>0.00167750622927258</v>
      </c>
      <c r="L37" s="33" t="n">
        <v>0.000491707078684714</v>
      </c>
      <c r="M37" s="33" t="n">
        <v>0.00051717183238513</v>
      </c>
      <c r="N37" s="33" t="n">
        <v>0.000568033574827346</v>
      </c>
      <c r="O37" s="33" t="n">
        <v>0.000777584774200958</v>
      </c>
      <c r="P37" s="33" t="n">
        <v>0.000316119327776225</v>
      </c>
      <c r="Q37" s="33" t="n">
        <v>0.00114504331290937</v>
      </c>
      <c r="R37" s="33" t="n">
        <v>0.000410128510750931</v>
      </c>
      <c r="S37" s="33" t="n">
        <v>0.000473606256434317</v>
      </c>
      <c r="T37" s="33" t="n">
        <v>0.000846703080954042</v>
      </c>
      <c r="U37" s="33" t="n">
        <v>0.00101337776654592</v>
      </c>
      <c r="V37" s="33" t="n">
        <v>0.00130127165045881</v>
      </c>
      <c r="W37" s="33" t="n">
        <v>3.60476275632427E-005</v>
      </c>
      <c r="X37" s="33" t="n">
        <v>0.000314247943812476</v>
      </c>
      <c r="Y37" s="33" t="n">
        <v>0.0008068632693018</v>
      </c>
      <c r="Z37" s="33" t="n">
        <v>0.000629797540320061</v>
      </c>
      <c r="AA37" s="33" t="n">
        <v>0.000681561888322812</v>
      </c>
      <c r="AB37" s="33" t="n">
        <v>0.000436588398115823</v>
      </c>
      <c r="AC37" s="33" t="n">
        <v>0.00126937105879376</v>
      </c>
      <c r="AD37" s="33" t="n">
        <v>0.001542850479415</v>
      </c>
      <c r="AE37" s="33" t="n">
        <v>0.000917502683689147</v>
      </c>
      <c r="AF37" s="33" t="n">
        <v>0.00302553726413365</v>
      </c>
      <c r="AG37" s="33" t="n">
        <v>0.00137266591084301</v>
      </c>
      <c r="AH37" s="33" t="n">
        <v>0.0200611755521359</v>
      </c>
      <c r="AI37" s="33" t="n">
        <v>0.0917936195085548</v>
      </c>
      <c r="AJ37" s="33" t="n">
        <v>0.0200633085665058</v>
      </c>
      <c r="AK37" s="33" t="n">
        <v>0.0055990249971236</v>
      </c>
      <c r="AL37" s="33" t="n">
        <v>0.0104761089420154</v>
      </c>
      <c r="AM37" s="33" t="n">
        <v>0.00694452285534644</v>
      </c>
      <c r="AN37" s="33" t="n">
        <v>0.00342746020986888</v>
      </c>
      <c r="AO37" s="33" t="n">
        <v>0.0304414621776894</v>
      </c>
      <c r="AP37" s="33" t="n">
        <v>0.0180618282617656</v>
      </c>
      <c r="AQ37" s="33" t="n">
        <v>0.00344578031368211</v>
      </c>
      <c r="AR37" s="33" t="n">
        <v>0.0146471506539514</v>
      </c>
      <c r="AS37" s="33" t="n">
        <v>0.00249594476476078</v>
      </c>
      <c r="AT37" s="33" t="n">
        <v>0.00104789490757382</v>
      </c>
      <c r="AU37" s="33" t="n">
        <v>0.00316852760354885</v>
      </c>
      <c r="AV37" s="33" t="n">
        <v>0.00158477680621368</v>
      </c>
      <c r="AW37" s="33" t="n">
        <v>0.000133959382666199</v>
      </c>
      <c r="AX37" s="33" t="n">
        <v>0.00083717844572584</v>
      </c>
      <c r="AY37" s="33" t="n">
        <v>0.00145137359365505</v>
      </c>
      <c r="AZ37" s="33" t="n">
        <v>0.000269138164138638</v>
      </c>
      <c r="BA37" s="33" t="n">
        <v>0.000612527525954653</v>
      </c>
      <c r="BB37" s="33" t="n">
        <v>0.00165374977855995</v>
      </c>
      <c r="BC37" s="33" t="n">
        <v>0.00436929566879531</v>
      </c>
      <c r="BD37" s="33" t="n">
        <v>0.000292296862244282</v>
      </c>
      <c r="BE37" s="33" t="n">
        <v>0.000138523671177013</v>
      </c>
      <c r="BF37" s="33" t="n">
        <v>0.000795791924188284</v>
      </c>
      <c r="BG37" s="33" t="n">
        <v>0.00316936848921476</v>
      </c>
      <c r="BH37" s="33" t="n">
        <v>0.00146818956320825</v>
      </c>
      <c r="BI37" s="33" t="n">
        <v>0.000414781975966072</v>
      </c>
      <c r="BJ37" s="33" t="n">
        <v>0.000951302748526171</v>
      </c>
      <c r="BK37" s="33" t="n">
        <v>0.00268737291654099</v>
      </c>
      <c r="BL37" s="33" t="n">
        <v>0.000167427262171207</v>
      </c>
      <c r="BM37" s="33" t="n">
        <v>0.000196848651500306</v>
      </c>
      <c r="BN37" s="33" t="n">
        <v>0.000316180860083599</v>
      </c>
      <c r="BO37" s="33" t="n">
        <v>0.000253601876554894</v>
      </c>
      <c r="BP37" s="33" t="n">
        <v>0.000282155547898526</v>
      </c>
      <c r="BQ37" s="33" t="n">
        <v>0.000429104706176141</v>
      </c>
      <c r="BR37" s="33" t="n">
        <v>0.0021150497978935</v>
      </c>
      <c r="BS37" s="33" t="n">
        <v>0.00555886622598202</v>
      </c>
      <c r="BT37" s="33" t="n">
        <v>0</v>
      </c>
    </row>
    <row r="38" customFormat="false" ht="11.25" hidden="false" customHeight="true" outlineLevel="0" collapsed="false">
      <c r="B38" s="24" t="s">
        <v>127</v>
      </c>
      <c r="C38" s="25" t="s">
        <v>128</v>
      </c>
      <c r="D38" s="24" t="n">
        <v>32</v>
      </c>
      <c r="E38" s="34" t="n">
        <v>0.000140760352866348</v>
      </c>
      <c r="F38" s="34" t="n">
        <v>0.000368174327400445</v>
      </c>
      <c r="G38" s="34" t="n">
        <v>0.000354933961519376</v>
      </c>
      <c r="H38" s="34" t="n">
        <v>0.00846390961073911</v>
      </c>
      <c r="I38" s="34" t="n">
        <v>0.0201415413121855</v>
      </c>
      <c r="J38" s="34" t="n">
        <v>0.0329830224887198</v>
      </c>
      <c r="K38" s="34" t="n">
        <v>0.0477775519820609</v>
      </c>
      <c r="L38" s="34" t="n">
        <v>0.000976779992185426</v>
      </c>
      <c r="M38" s="34" t="n">
        <v>0.00043350794978452</v>
      </c>
      <c r="N38" s="34" t="n">
        <v>0.000898958720837939</v>
      </c>
      <c r="O38" s="34" t="n">
        <v>0.00184365372981714</v>
      </c>
      <c r="P38" s="34" t="n">
        <v>0.000406354618300196</v>
      </c>
      <c r="Q38" s="34" t="n">
        <v>0.000586871217602179</v>
      </c>
      <c r="R38" s="34" t="n">
        <v>0.000602782771232142</v>
      </c>
      <c r="S38" s="34" t="n">
        <v>0.000785990384649901</v>
      </c>
      <c r="T38" s="34" t="n">
        <v>0.00252889447111677</v>
      </c>
      <c r="U38" s="34" t="n">
        <v>0.00116331443000636</v>
      </c>
      <c r="V38" s="34" t="n">
        <v>0.00161170982016306</v>
      </c>
      <c r="W38" s="34" t="n">
        <v>0.000105031838971444</v>
      </c>
      <c r="X38" s="34" t="n">
        <v>0.000568134653046626</v>
      </c>
      <c r="Y38" s="34" t="n">
        <v>0.00054199244598314</v>
      </c>
      <c r="Z38" s="34" t="n">
        <v>0.00119870948927586</v>
      </c>
      <c r="AA38" s="34" t="n">
        <v>0.00121855493878224</v>
      </c>
      <c r="AB38" s="34" t="n">
        <v>0.000857965054384762</v>
      </c>
      <c r="AC38" s="34" t="n">
        <v>0.00214363279656938</v>
      </c>
      <c r="AD38" s="34" t="n">
        <v>0.00109077981733325</v>
      </c>
      <c r="AE38" s="34" t="n">
        <v>0.00217925118215569</v>
      </c>
      <c r="AF38" s="34" t="n">
        <v>0.00172973732565105</v>
      </c>
      <c r="AG38" s="34" t="n">
        <v>0.00339305285920988</v>
      </c>
      <c r="AH38" s="34" t="n">
        <v>0.0028976343479089</v>
      </c>
      <c r="AI38" s="34" t="n">
        <v>0.0100488519129467</v>
      </c>
      <c r="AJ38" s="34" t="n">
        <v>0.124532465932573</v>
      </c>
      <c r="AK38" s="34" t="n">
        <v>0.0108909352896713</v>
      </c>
      <c r="AL38" s="34" t="n">
        <v>0.0037654150867185</v>
      </c>
      <c r="AM38" s="34" t="n">
        <v>0.0116648655243648</v>
      </c>
      <c r="AN38" s="34" t="n">
        <v>0.00146848804286727</v>
      </c>
      <c r="AO38" s="34" t="n">
        <v>0.123844617761924</v>
      </c>
      <c r="AP38" s="34" t="n">
        <v>0.000764472209502657</v>
      </c>
      <c r="AQ38" s="34" t="n">
        <v>0.00184048519395783</v>
      </c>
      <c r="AR38" s="34" t="n">
        <v>0.00680260015586137</v>
      </c>
      <c r="AS38" s="34" t="n">
        <v>0.0030442019909795</v>
      </c>
      <c r="AT38" s="34" t="n">
        <v>0.000892254651908302</v>
      </c>
      <c r="AU38" s="34" t="n">
        <v>0.000712781057921933</v>
      </c>
      <c r="AV38" s="34" t="n">
        <v>0.00902423841177073</v>
      </c>
      <c r="AW38" s="34" t="n">
        <v>0.000333086420763606</v>
      </c>
      <c r="AX38" s="34" t="n">
        <v>0.00199192437784839</v>
      </c>
      <c r="AY38" s="34" t="n">
        <v>0.000502004171502949</v>
      </c>
      <c r="AZ38" s="34" t="n">
        <v>0.000330244140514786</v>
      </c>
      <c r="BA38" s="34" t="n">
        <v>0.00107804582522112</v>
      </c>
      <c r="BB38" s="34" t="n">
        <v>0.000556101994416881</v>
      </c>
      <c r="BC38" s="34" t="n">
        <v>0.000934476672955704</v>
      </c>
      <c r="BD38" s="34" t="n">
        <v>0.000430523179922692</v>
      </c>
      <c r="BE38" s="34" t="n">
        <v>4.95113884069746E-005</v>
      </c>
      <c r="BF38" s="34" t="n">
        <v>5.54237426385252E-005</v>
      </c>
      <c r="BG38" s="34" t="n">
        <v>0.000268102299106614</v>
      </c>
      <c r="BH38" s="34" t="n">
        <v>0.00083108177979169</v>
      </c>
      <c r="BI38" s="34" t="n">
        <v>0.000133414910304086</v>
      </c>
      <c r="BJ38" s="34" t="n">
        <v>0.000545036246324353</v>
      </c>
      <c r="BK38" s="34" t="n">
        <v>0.00446878669005864</v>
      </c>
      <c r="BL38" s="34" t="n">
        <v>0.000231107415654759</v>
      </c>
      <c r="BM38" s="34" t="n">
        <v>0.00029011126110278</v>
      </c>
      <c r="BN38" s="34" t="n">
        <v>0.000155152216415361</v>
      </c>
      <c r="BO38" s="34" t="n">
        <v>0.000137220599556965</v>
      </c>
      <c r="BP38" s="34" t="n">
        <v>0.000865044246136373</v>
      </c>
      <c r="BQ38" s="34" t="n">
        <v>0.000253189313013253</v>
      </c>
      <c r="BR38" s="34" t="n">
        <v>0.000488257824079772</v>
      </c>
      <c r="BS38" s="34" t="n">
        <v>0.00025763776854943</v>
      </c>
      <c r="BT38" s="34" t="n">
        <v>0</v>
      </c>
    </row>
    <row r="39" customFormat="false" ht="11.25" hidden="false" customHeight="true" outlineLevel="0" collapsed="false">
      <c r="B39" s="19" t="s">
        <v>129</v>
      </c>
      <c r="C39" s="20" t="s">
        <v>130</v>
      </c>
      <c r="D39" s="19" t="n">
        <v>33</v>
      </c>
      <c r="E39" s="33" t="n">
        <v>2.54918708103201E-005</v>
      </c>
      <c r="F39" s="33" t="n">
        <v>2.39022019652106E-005</v>
      </c>
      <c r="G39" s="33" t="n">
        <v>2.85788952906697E-005</v>
      </c>
      <c r="H39" s="33" t="n">
        <v>0.00014098679212291</v>
      </c>
      <c r="I39" s="33" t="n">
        <v>4.19482800472019E-005</v>
      </c>
      <c r="J39" s="33" t="n">
        <v>0.000341379178718294</v>
      </c>
      <c r="K39" s="33" t="n">
        <v>0.000208331807610863</v>
      </c>
      <c r="L39" s="33" t="n">
        <v>1.2489935340771E-005</v>
      </c>
      <c r="M39" s="33" t="n">
        <v>0.00097884156620136</v>
      </c>
      <c r="N39" s="33" t="n">
        <v>2.65447014105704E-005</v>
      </c>
      <c r="O39" s="33" t="n">
        <v>6.02494279418047E-005</v>
      </c>
      <c r="P39" s="33" t="n">
        <v>2.19710728875261E-005</v>
      </c>
      <c r="Q39" s="33" t="n">
        <v>0.000117164387759859</v>
      </c>
      <c r="R39" s="33" t="n">
        <v>2.38578500237351E-005</v>
      </c>
      <c r="S39" s="33" t="n">
        <v>4.02141493601514E-005</v>
      </c>
      <c r="T39" s="33" t="n">
        <v>2.87020535930649E-005</v>
      </c>
      <c r="U39" s="33" t="n">
        <v>3.09120489718187E-005</v>
      </c>
      <c r="V39" s="33" t="n">
        <v>2.54756294562105E-005</v>
      </c>
      <c r="W39" s="33" t="n">
        <v>1.55517240335271E-006</v>
      </c>
      <c r="X39" s="33" t="n">
        <v>1.48151711738732E-005</v>
      </c>
      <c r="Y39" s="33" t="n">
        <v>3.41993173492627E-005</v>
      </c>
      <c r="Z39" s="33" t="n">
        <v>0.000394050755334248</v>
      </c>
      <c r="AA39" s="33" t="n">
        <v>0.000156203067656535</v>
      </c>
      <c r="AB39" s="33" t="n">
        <v>0.000241983057889836</v>
      </c>
      <c r="AC39" s="33" t="n">
        <v>9.90013277412518E-005</v>
      </c>
      <c r="AD39" s="33" t="n">
        <v>0.000128006730064225</v>
      </c>
      <c r="AE39" s="33" t="n">
        <v>7.30687115316744E-005</v>
      </c>
      <c r="AF39" s="33" t="n">
        <v>0.000100357010496343</v>
      </c>
      <c r="AG39" s="33" t="n">
        <v>6.44279738495347E-005</v>
      </c>
      <c r="AH39" s="33" t="n">
        <v>0.000480467921415204</v>
      </c>
      <c r="AI39" s="33" t="n">
        <v>0.00126519608846168</v>
      </c>
      <c r="AJ39" s="33" t="n">
        <v>0.00130028532136385</v>
      </c>
      <c r="AK39" s="33" t="n">
        <v>0.0336573397782443</v>
      </c>
      <c r="AL39" s="33" t="n">
        <v>0.00156015641519645</v>
      </c>
      <c r="AM39" s="33" t="n">
        <v>0.00134753996355972</v>
      </c>
      <c r="AN39" s="33" t="n">
        <v>8.07090092850619E-005</v>
      </c>
      <c r="AO39" s="33" t="n">
        <v>0.00101366466663619</v>
      </c>
      <c r="AP39" s="33" t="n">
        <v>0.000325358443234375</v>
      </c>
      <c r="AQ39" s="33" t="n">
        <v>0.000380034743900231</v>
      </c>
      <c r="AR39" s="33" t="n">
        <v>0.000269967865240535</v>
      </c>
      <c r="AS39" s="33" t="n">
        <v>0.00310766026703318</v>
      </c>
      <c r="AT39" s="33" t="n">
        <v>0.000132345034399089</v>
      </c>
      <c r="AU39" s="33" t="n">
        <v>0.00281872986746179</v>
      </c>
      <c r="AV39" s="33" t="n">
        <v>4.75471273937915E-005</v>
      </c>
      <c r="AW39" s="33" t="n">
        <v>8.32144368363424E-006</v>
      </c>
      <c r="AX39" s="33" t="n">
        <v>0.000133793380106097</v>
      </c>
      <c r="AY39" s="33" t="n">
        <v>5.57859863929505E-005</v>
      </c>
      <c r="AZ39" s="33" t="n">
        <v>3.08894666777375E-005</v>
      </c>
      <c r="BA39" s="33" t="n">
        <v>2.8044105634481E-005</v>
      </c>
      <c r="BB39" s="33" t="n">
        <v>6.93683756509834E-005</v>
      </c>
      <c r="BC39" s="33" t="n">
        <v>9.13513554277146E-005</v>
      </c>
      <c r="BD39" s="33" t="n">
        <v>6.18222523027771E-005</v>
      </c>
      <c r="BE39" s="33" t="n">
        <v>1.35524333206221E-005</v>
      </c>
      <c r="BF39" s="33" t="n">
        <v>1.50653101684995E-005</v>
      </c>
      <c r="BG39" s="33" t="n">
        <v>5.81971226703247E-005</v>
      </c>
      <c r="BH39" s="33" t="n">
        <v>0.00109522375153442</v>
      </c>
      <c r="BI39" s="33" t="n">
        <v>1.56213923238757E-005</v>
      </c>
      <c r="BJ39" s="33" t="n">
        <v>0.000670764666926195</v>
      </c>
      <c r="BK39" s="33" t="n">
        <v>6.53635061108734E-005</v>
      </c>
      <c r="BL39" s="33" t="n">
        <v>0.000134808907954832</v>
      </c>
      <c r="BM39" s="33" t="n">
        <v>0.000119682131388667</v>
      </c>
      <c r="BN39" s="33" t="n">
        <v>4.93121567818385E-005</v>
      </c>
      <c r="BO39" s="33" t="n">
        <v>0.000158126124887755</v>
      </c>
      <c r="BP39" s="33" t="n">
        <v>0.000173816082673934</v>
      </c>
      <c r="BQ39" s="33" t="n">
        <v>0.000116550217039063</v>
      </c>
      <c r="BR39" s="33" t="n">
        <v>0.000104191035762429</v>
      </c>
      <c r="BS39" s="33" t="n">
        <v>7.69779986974164E-005</v>
      </c>
      <c r="BT39" s="33" t="n">
        <v>0</v>
      </c>
    </row>
    <row r="40" customFormat="false" ht="11.25" hidden="false" customHeight="true" outlineLevel="0" collapsed="false">
      <c r="B40" s="24" t="s">
        <v>131</v>
      </c>
      <c r="C40" s="25" t="s">
        <v>132</v>
      </c>
      <c r="D40" s="24" t="n">
        <v>34</v>
      </c>
      <c r="E40" s="34" t="n">
        <v>7.76469586689716E-005</v>
      </c>
      <c r="F40" s="34" t="n">
        <v>0.000132356476073549</v>
      </c>
      <c r="G40" s="34" t="n">
        <v>5.2990764234243E-005</v>
      </c>
      <c r="H40" s="34" t="n">
        <v>0.000572993613320456</v>
      </c>
      <c r="I40" s="34" t="n">
        <v>0.000591697565261237</v>
      </c>
      <c r="J40" s="34" t="n">
        <v>0.000944894343024789</v>
      </c>
      <c r="K40" s="34" t="n">
        <v>0.00180250717390133</v>
      </c>
      <c r="L40" s="34" t="n">
        <v>0.000223185876332345</v>
      </c>
      <c r="M40" s="34" t="n">
        <v>0.000105243159930321</v>
      </c>
      <c r="N40" s="34" t="n">
        <v>0.0003783304599526</v>
      </c>
      <c r="O40" s="34" t="n">
        <v>0.000957749093630906</v>
      </c>
      <c r="P40" s="34" t="n">
        <v>3.36727089543747E-005</v>
      </c>
      <c r="Q40" s="34" t="n">
        <v>0.000225515794365019</v>
      </c>
      <c r="R40" s="34" t="n">
        <v>9.17305674832989E-005</v>
      </c>
      <c r="S40" s="34" t="n">
        <v>0.000347289346338115</v>
      </c>
      <c r="T40" s="34" t="n">
        <v>0.000292122843513019</v>
      </c>
      <c r="U40" s="34" t="n">
        <v>0.000203093168546859</v>
      </c>
      <c r="V40" s="34" t="n">
        <v>0.000993346133034689</v>
      </c>
      <c r="W40" s="34" t="n">
        <v>1.93025542642592E-005</v>
      </c>
      <c r="X40" s="34" t="n">
        <v>8.39448439069761E-005</v>
      </c>
      <c r="Y40" s="34" t="n">
        <v>0.000169905986892781</v>
      </c>
      <c r="Z40" s="34" t="n">
        <v>0.00042801168834926</v>
      </c>
      <c r="AA40" s="34" t="n">
        <v>0.000753345152601141</v>
      </c>
      <c r="AB40" s="34" t="n">
        <v>0.000218501999802227</v>
      </c>
      <c r="AC40" s="34" t="n">
        <v>0.0014196603295433</v>
      </c>
      <c r="AD40" s="34" t="n">
        <v>0.000442146611081543</v>
      </c>
      <c r="AE40" s="34" t="n">
        <v>0.000955895835647615</v>
      </c>
      <c r="AF40" s="34" t="n">
        <v>0.00146285782903691</v>
      </c>
      <c r="AG40" s="34" t="n">
        <v>0.00175868414410526</v>
      </c>
      <c r="AH40" s="34" t="n">
        <v>0.00242358170321132</v>
      </c>
      <c r="AI40" s="34" t="n">
        <v>0.00366198921329699</v>
      </c>
      <c r="AJ40" s="34" t="n">
        <v>0.00525214033128422</v>
      </c>
      <c r="AK40" s="34" t="n">
        <v>0.212988795901132</v>
      </c>
      <c r="AL40" s="34" t="n">
        <v>0.110646920526168</v>
      </c>
      <c r="AM40" s="34" t="n">
        <v>0.00293554906215401</v>
      </c>
      <c r="AN40" s="34" t="n">
        <v>0.000747833195129555</v>
      </c>
      <c r="AO40" s="34" t="n">
        <v>0.00641663849076326</v>
      </c>
      <c r="AP40" s="34" t="n">
        <v>0.000323554683784185</v>
      </c>
      <c r="AQ40" s="34" t="n">
        <v>0.000358575456892154</v>
      </c>
      <c r="AR40" s="34" t="n">
        <v>0.00124889974761527</v>
      </c>
      <c r="AS40" s="34" t="n">
        <v>0.0893807051583194</v>
      </c>
      <c r="AT40" s="34" t="n">
        <v>0.000256346069853363</v>
      </c>
      <c r="AU40" s="34" t="n">
        <v>0.0335337060359561</v>
      </c>
      <c r="AV40" s="34" t="n">
        <v>0.000383616921708385</v>
      </c>
      <c r="AW40" s="34" t="n">
        <v>0.000506811981188481</v>
      </c>
      <c r="AX40" s="34" t="n">
        <v>0.000223637531896539</v>
      </c>
      <c r="AY40" s="34" t="n">
        <v>0.000305898336080882</v>
      </c>
      <c r="AZ40" s="34" t="n">
        <v>0.000214620971817951</v>
      </c>
      <c r="BA40" s="34" t="n">
        <v>0.000111295153550593</v>
      </c>
      <c r="BB40" s="34" t="n">
        <v>0.00011211058073576</v>
      </c>
      <c r="BC40" s="34" t="n">
        <v>0.000119028018339712</v>
      </c>
      <c r="BD40" s="34" t="n">
        <v>0.000105891320962512</v>
      </c>
      <c r="BE40" s="34" t="n">
        <v>5.1199905587304E-005</v>
      </c>
      <c r="BF40" s="34" t="n">
        <v>4.15581251627602E-005</v>
      </c>
      <c r="BG40" s="34" t="n">
        <v>0.000157094356511082</v>
      </c>
      <c r="BH40" s="34" t="n">
        <v>0.0010588693321976</v>
      </c>
      <c r="BI40" s="34" t="n">
        <v>4.84949488812747E-005</v>
      </c>
      <c r="BJ40" s="34" t="n">
        <v>0.00417533196767663</v>
      </c>
      <c r="BK40" s="34" t="n">
        <v>0.000252392806022047</v>
      </c>
      <c r="BL40" s="34" t="n">
        <v>8.15192578910719E-005</v>
      </c>
      <c r="BM40" s="34" t="n">
        <v>0.00165754535638909</v>
      </c>
      <c r="BN40" s="34" t="n">
        <v>0.0013993204826759</v>
      </c>
      <c r="BO40" s="34" t="n">
        <v>0.000209308949067521</v>
      </c>
      <c r="BP40" s="34" t="n">
        <v>0.00128855244688732</v>
      </c>
      <c r="BQ40" s="34" t="n">
        <v>0.000125389705746254</v>
      </c>
      <c r="BR40" s="34" t="n">
        <v>0.000403757310642965</v>
      </c>
      <c r="BS40" s="34" t="n">
        <v>0.000155127414283941</v>
      </c>
      <c r="BT40" s="34" t="n">
        <v>0</v>
      </c>
    </row>
    <row r="41" customFormat="false" ht="11.25" hidden="false" customHeight="true" outlineLevel="0" collapsed="false">
      <c r="B41" s="19" t="s">
        <v>133</v>
      </c>
      <c r="C41" s="20" t="s">
        <v>134</v>
      </c>
      <c r="D41" s="19" t="n">
        <v>35</v>
      </c>
      <c r="E41" s="33" t="n">
        <v>2.76313439070472E-006</v>
      </c>
      <c r="F41" s="33" t="n">
        <v>6.47663100203653E-006</v>
      </c>
      <c r="G41" s="33" t="n">
        <v>1.1981965340512E-005</v>
      </c>
      <c r="H41" s="33" t="n">
        <v>0.00011291141258551</v>
      </c>
      <c r="I41" s="33" t="n">
        <v>0.000102469923849664</v>
      </c>
      <c r="J41" s="33" t="n">
        <v>0.000188606535088032</v>
      </c>
      <c r="K41" s="33" t="n">
        <v>0.000280384672724895</v>
      </c>
      <c r="L41" s="33" t="n">
        <v>9.36542179398892E-005</v>
      </c>
      <c r="M41" s="33" t="n">
        <v>4.90901116572593E-005</v>
      </c>
      <c r="N41" s="33" t="n">
        <v>7.34900763557315E-005</v>
      </c>
      <c r="O41" s="33" t="n">
        <v>7.36042818365512E-005</v>
      </c>
      <c r="P41" s="33" t="n">
        <v>5.15472139991227E-005</v>
      </c>
      <c r="Q41" s="33" t="n">
        <v>6.62984996163235E-005</v>
      </c>
      <c r="R41" s="33" t="n">
        <v>8.1101140604006E-005</v>
      </c>
      <c r="S41" s="33" t="n">
        <v>0.000119841622459627</v>
      </c>
      <c r="T41" s="33" t="n">
        <v>7.51382112989238E-005</v>
      </c>
      <c r="U41" s="33" t="n">
        <v>0.000134277512839616</v>
      </c>
      <c r="V41" s="33" t="n">
        <v>0.000141970155506109</v>
      </c>
      <c r="W41" s="33" t="n">
        <v>8.84736260738863E-006</v>
      </c>
      <c r="X41" s="33" t="n">
        <v>7.03867413400309E-005</v>
      </c>
      <c r="Y41" s="33" t="n">
        <v>5.1818672863833E-005</v>
      </c>
      <c r="Z41" s="33" t="n">
        <v>0.000115140743773521</v>
      </c>
      <c r="AA41" s="33" t="n">
        <v>9.0974997692985E-005</v>
      </c>
      <c r="AB41" s="33" t="n">
        <v>0.000155873950275807</v>
      </c>
      <c r="AC41" s="33" t="n">
        <v>0.000134221327530804</v>
      </c>
      <c r="AD41" s="33" t="n">
        <v>0.00010678706122935</v>
      </c>
      <c r="AE41" s="33" t="n">
        <v>0.000224440883744396</v>
      </c>
      <c r="AF41" s="33" t="n">
        <v>0.000126295051525765</v>
      </c>
      <c r="AG41" s="33" t="n">
        <v>0.000161192303175007</v>
      </c>
      <c r="AH41" s="33" t="n">
        <v>7.59250777843553E-005</v>
      </c>
      <c r="AI41" s="33" t="n">
        <v>0.000159537543512667</v>
      </c>
      <c r="AJ41" s="33" t="n">
        <v>0.000648002294438131</v>
      </c>
      <c r="AK41" s="33" t="n">
        <v>0.000360938646749558</v>
      </c>
      <c r="AL41" s="33" t="n">
        <v>0.00024149011218761</v>
      </c>
      <c r="AM41" s="33" t="n">
        <v>0.195420397273189</v>
      </c>
      <c r="AN41" s="33" t="n">
        <v>0.000271773633188887</v>
      </c>
      <c r="AO41" s="33" t="n">
        <v>0.0185208019773979</v>
      </c>
      <c r="AP41" s="33" t="n">
        <v>2.96787627300347E-005</v>
      </c>
      <c r="AQ41" s="33" t="n">
        <v>5.86424835399283E-005</v>
      </c>
      <c r="AR41" s="33" t="n">
        <v>8.18749665170396E-005</v>
      </c>
      <c r="AS41" s="33" t="n">
        <v>0.000789180371088072</v>
      </c>
      <c r="AT41" s="33" t="n">
        <v>6.21388596023123E-005</v>
      </c>
      <c r="AU41" s="33" t="n">
        <v>0.00265309234058497</v>
      </c>
      <c r="AV41" s="33" t="n">
        <v>0.000177113632196608</v>
      </c>
      <c r="AW41" s="33" t="n">
        <v>0.000105135025731041</v>
      </c>
      <c r="AX41" s="33" t="n">
        <v>8.384066677096E-005</v>
      </c>
      <c r="AY41" s="33" t="n">
        <v>4.0018851660075E-005</v>
      </c>
      <c r="AZ41" s="33" t="n">
        <v>3.14038872042954E-005</v>
      </c>
      <c r="BA41" s="33" t="n">
        <v>0.000143704643450368</v>
      </c>
      <c r="BB41" s="33" t="n">
        <v>6.28901638147398E-005</v>
      </c>
      <c r="BC41" s="33" t="n">
        <v>9.19036506427665E-005</v>
      </c>
      <c r="BD41" s="33" t="n">
        <v>4.63119490741357E-005</v>
      </c>
      <c r="BE41" s="33" t="n">
        <v>1.129870133997E-005</v>
      </c>
      <c r="BF41" s="33" t="n">
        <v>4.67861506826048E-006</v>
      </c>
      <c r="BG41" s="33" t="n">
        <v>3.67690625629696E-005</v>
      </c>
      <c r="BH41" s="33" t="n">
        <v>0.000292539980937329</v>
      </c>
      <c r="BI41" s="33" t="n">
        <v>1.9641830185836E-005</v>
      </c>
      <c r="BJ41" s="33" t="n">
        <v>0.000116911052178414</v>
      </c>
      <c r="BK41" s="33" t="n">
        <v>5.06174030697021E-005</v>
      </c>
      <c r="BL41" s="33" t="n">
        <v>2.58309164280017E-005</v>
      </c>
      <c r="BM41" s="33" t="n">
        <v>0.000277387560124102</v>
      </c>
      <c r="BN41" s="33" t="n">
        <v>1.57067790569221E-005</v>
      </c>
      <c r="BO41" s="33" t="n">
        <v>7.56030733132252E-005</v>
      </c>
      <c r="BP41" s="33" t="n">
        <v>4.01937140030779E-005</v>
      </c>
      <c r="BQ41" s="33" t="n">
        <v>7.84354594339282E-005</v>
      </c>
      <c r="BR41" s="33" t="n">
        <v>9.93054717566898E-005</v>
      </c>
      <c r="BS41" s="33" t="n">
        <v>0.00034494696159957</v>
      </c>
      <c r="BT41" s="33" t="n">
        <v>0</v>
      </c>
    </row>
    <row r="42" customFormat="false" ht="11.25" hidden="false" customHeight="true" outlineLevel="0" collapsed="false">
      <c r="B42" s="24" t="s">
        <v>135</v>
      </c>
      <c r="C42" s="25" t="s">
        <v>136</v>
      </c>
      <c r="D42" s="24" t="n">
        <v>36</v>
      </c>
      <c r="E42" s="34" t="n">
        <v>9.66293306557669E-005</v>
      </c>
      <c r="F42" s="34" t="n">
        <v>0.000126487940849481</v>
      </c>
      <c r="G42" s="34" t="n">
        <v>0.00025093314120661</v>
      </c>
      <c r="H42" s="34" t="n">
        <v>0.000404801282805574</v>
      </c>
      <c r="I42" s="34" t="n">
        <v>0.0003155414650269</v>
      </c>
      <c r="J42" s="34" t="n">
        <v>0.000421758459949928</v>
      </c>
      <c r="K42" s="34" t="n">
        <v>0.000510114218512504</v>
      </c>
      <c r="L42" s="34" t="n">
        <v>0.00041990121025996</v>
      </c>
      <c r="M42" s="34" t="n">
        <v>0.000212393039663626</v>
      </c>
      <c r="N42" s="34" t="n">
        <v>0.000573729633091277</v>
      </c>
      <c r="O42" s="34" t="n">
        <v>0.000814452023606391</v>
      </c>
      <c r="P42" s="34" t="n">
        <v>0.000175298544734229</v>
      </c>
      <c r="Q42" s="34" t="n">
        <v>0.00110123559279066</v>
      </c>
      <c r="R42" s="34" t="n">
        <v>0.0142569283825901</v>
      </c>
      <c r="S42" s="34" t="n">
        <v>0.00513367723349404</v>
      </c>
      <c r="T42" s="34" t="n">
        <v>0.000997618363170172</v>
      </c>
      <c r="U42" s="34" t="n">
        <v>0.000566704213085584</v>
      </c>
      <c r="V42" s="34" t="n">
        <v>0.000883710756328014</v>
      </c>
      <c r="W42" s="34" t="n">
        <v>5.04171510700988E-005</v>
      </c>
      <c r="X42" s="34" t="n">
        <v>0.00018323715697393</v>
      </c>
      <c r="Y42" s="34" t="n">
        <v>0.000711796897676345</v>
      </c>
      <c r="Z42" s="34" t="n">
        <v>0.000922869052612135</v>
      </c>
      <c r="AA42" s="34" t="n">
        <v>0.000797320549410996</v>
      </c>
      <c r="AB42" s="34" t="n">
        <v>0.000857264897156437</v>
      </c>
      <c r="AC42" s="34" t="n">
        <v>0.0019031631871858</v>
      </c>
      <c r="AD42" s="34" t="n">
        <v>0.00145566288271921</v>
      </c>
      <c r="AE42" s="34" t="n">
        <v>0.00044361979714915</v>
      </c>
      <c r="AF42" s="34" t="n">
        <v>0.000261061919323211</v>
      </c>
      <c r="AG42" s="34" t="n">
        <v>0.000681493812486121</v>
      </c>
      <c r="AH42" s="34" t="n">
        <v>0.000591897868419387</v>
      </c>
      <c r="AI42" s="34" t="n">
        <v>0.000794467456301233</v>
      </c>
      <c r="AJ42" s="34" t="n">
        <v>0.00358015747639332</v>
      </c>
      <c r="AK42" s="34" t="n">
        <v>0.00158566876185371</v>
      </c>
      <c r="AL42" s="34" t="n">
        <v>0.00485498482658099</v>
      </c>
      <c r="AM42" s="34" t="n">
        <v>0.00176676843865576</v>
      </c>
      <c r="AN42" s="34" t="n">
        <v>0.0299881056404651</v>
      </c>
      <c r="AO42" s="34" t="n">
        <v>0.0020733499048512</v>
      </c>
      <c r="AP42" s="34" t="n">
        <v>0.00022595393679509</v>
      </c>
      <c r="AQ42" s="34" t="n">
        <v>0.000601003679169923</v>
      </c>
      <c r="AR42" s="34" t="n">
        <v>0.00141284058751678</v>
      </c>
      <c r="AS42" s="34" t="n">
        <v>0.000339705290484205</v>
      </c>
      <c r="AT42" s="34" t="n">
        <v>0.000513938814699118</v>
      </c>
      <c r="AU42" s="34" t="n">
        <v>0.000280586790208515</v>
      </c>
      <c r="AV42" s="34" t="n">
        <v>0.00436504521285547</v>
      </c>
      <c r="AW42" s="34" t="n">
        <v>0.000104094832233713</v>
      </c>
      <c r="AX42" s="34" t="n">
        <v>0.00114148798797693</v>
      </c>
      <c r="AY42" s="34" t="n">
        <v>0.000322713542541353</v>
      </c>
      <c r="AZ42" s="34" t="n">
        <v>0.000140305687173919</v>
      </c>
      <c r="BA42" s="34" t="n">
        <v>0.000411249754743383</v>
      </c>
      <c r="BB42" s="34" t="n">
        <v>0.00110829190358882</v>
      </c>
      <c r="BC42" s="34" t="n">
        <v>0.000230009100516398</v>
      </c>
      <c r="BD42" s="34" t="n">
        <v>0.000544733266678499</v>
      </c>
      <c r="BE42" s="34" t="n">
        <v>0.00031624026747108</v>
      </c>
      <c r="BF42" s="34" t="n">
        <v>0.000176932357341061</v>
      </c>
      <c r="BG42" s="34" t="n">
        <v>0.000963381537052263</v>
      </c>
      <c r="BH42" s="34" t="n">
        <v>0.0036607963375444</v>
      </c>
      <c r="BI42" s="34" t="n">
        <v>0.00204078883603166</v>
      </c>
      <c r="BJ42" s="34" t="n">
        <v>0.00818317701910744</v>
      </c>
      <c r="BK42" s="34" t="n">
        <v>0.000778306965529338</v>
      </c>
      <c r="BL42" s="34" t="n">
        <v>0.000424332737650773</v>
      </c>
      <c r="BM42" s="34" t="n">
        <v>0.00067134153954023</v>
      </c>
      <c r="BN42" s="34" t="n">
        <v>0.00307195931083061</v>
      </c>
      <c r="BO42" s="34" t="n">
        <v>0.000283297446918295</v>
      </c>
      <c r="BP42" s="34" t="n">
        <v>0.0109225851747581</v>
      </c>
      <c r="BQ42" s="34" t="n">
        <v>0.0337008596663632</v>
      </c>
      <c r="BR42" s="34" t="n">
        <v>0.00339354417919429</v>
      </c>
      <c r="BS42" s="34" t="n">
        <v>0.000584827239779869</v>
      </c>
      <c r="BT42" s="34" t="n">
        <v>0</v>
      </c>
    </row>
    <row r="43" customFormat="false" ht="11.25" hidden="false" customHeight="true" outlineLevel="0" collapsed="false">
      <c r="B43" s="19" t="s">
        <v>137</v>
      </c>
      <c r="C43" s="20" t="s">
        <v>138</v>
      </c>
      <c r="D43" s="19" t="n">
        <v>37</v>
      </c>
      <c r="E43" s="33" t="n">
        <v>0.000274607799536318</v>
      </c>
      <c r="F43" s="33" t="n">
        <v>0.000272767900197039</v>
      </c>
      <c r="G43" s="33" t="n">
        <v>0.00354957410405241</v>
      </c>
      <c r="H43" s="33" t="n">
        <v>0.0346378390072657</v>
      </c>
      <c r="I43" s="33" t="n">
        <v>0.0131520064220039</v>
      </c>
      <c r="J43" s="33" t="n">
        <v>0.0146794483056792</v>
      </c>
      <c r="K43" s="33" t="n">
        <v>0.0418149803897329</v>
      </c>
      <c r="L43" s="33" t="n">
        <v>0.00348203551381197</v>
      </c>
      <c r="M43" s="33" t="n">
        <v>0.00959613464473507</v>
      </c>
      <c r="N43" s="33" t="n">
        <v>0.00207405352522392</v>
      </c>
      <c r="O43" s="33" t="n">
        <v>0.00461217133010994</v>
      </c>
      <c r="P43" s="33" t="n">
        <v>0.000836218252634409</v>
      </c>
      <c r="Q43" s="33" t="n">
        <v>0.00512919031381604</v>
      </c>
      <c r="R43" s="33" t="n">
        <v>0.00690809127743399</v>
      </c>
      <c r="S43" s="33" t="n">
        <v>0.00349600456083325</v>
      </c>
      <c r="T43" s="33" t="n">
        <v>0.0126764140217323</v>
      </c>
      <c r="U43" s="33" t="n">
        <v>0.0255220186468179</v>
      </c>
      <c r="V43" s="33" t="n">
        <v>0.0487692049949642</v>
      </c>
      <c r="W43" s="33" t="n">
        <v>0.00157986083822883</v>
      </c>
      <c r="X43" s="33" t="n">
        <v>0.0141975334129367</v>
      </c>
      <c r="Y43" s="33" t="n">
        <v>0.00792216306423194</v>
      </c>
      <c r="Z43" s="33" t="n">
        <v>0.00907247491433582</v>
      </c>
      <c r="AA43" s="33" t="n">
        <v>0.00419368417332782</v>
      </c>
      <c r="AB43" s="33" t="n">
        <v>0.00835911775188037</v>
      </c>
      <c r="AC43" s="33" t="n">
        <v>0.00441086609274952</v>
      </c>
      <c r="AD43" s="33" t="n">
        <v>0.023177718586771</v>
      </c>
      <c r="AE43" s="33" t="n">
        <v>0.0543870526092806</v>
      </c>
      <c r="AF43" s="33" t="n">
        <v>0.0294583971036189</v>
      </c>
      <c r="AG43" s="33" t="n">
        <v>0.00505505287071674</v>
      </c>
      <c r="AH43" s="33" t="n">
        <v>0.00119810172490993</v>
      </c>
      <c r="AI43" s="33" t="n">
        <v>0.00558505786317139</v>
      </c>
      <c r="AJ43" s="33" t="n">
        <v>0.0102321384098341</v>
      </c>
      <c r="AK43" s="33" t="n">
        <v>0.00105357450495977</v>
      </c>
      <c r="AL43" s="33" t="n">
        <v>0.00612770782637647</v>
      </c>
      <c r="AM43" s="33" t="n">
        <v>0.00769028393802923</v>
      </c>
      <c r="AN43" s="33" t="n">
        <v>0.00756620182719329</v>
      </c>
      <c r="AO43" s="33" t="n">
        <v>0.0110270766573582</v>
      </c>
      <c r="AP43" s="33" t="n">
        <v>0.00520336946569836</v>
      </c>
      <c r="AQ43" s="33" t="n">
        <v>0.0137247932209889</v>
      </c>
      <c r="AR43" s="33" t="n">
        <v>0.00316833064010322</v>
      </c>
      <c r="AS43" s="33" t="n">
        <v>0.00357625314621552</v>
      </c>
      <c r="AT43" s="33" t="n">
        <v>0.00406808719034385</v>
      </c>
      <c r="AU43" s="33" t="n">
        <v>0.00202140637226192</v>
      </c>
      <c r="AV43" s="33" t="n">
        <v>0.0519294354967751</v>
      </c>
      <c r="AW43" s="33" t="n">
        <v>0.0138484967711415</v>
      </c>
      <c r="AX43" s="33" t="n">
        <v>0.0234421822522932</v>
      </c>
      <c r="AY43" s="33" t="n">
        <v>0.000362414743757823</v>
      </c>
      <c r="AZ43" s="33" t="n">
        <v>0.00115955587556949</v>
      </c>
      <c r="BA43" s="33" t="n">
        <v>0.0254635661638702</v>
      </c>
      <c r="BB43" s="33" t="n">
        <v>0.00289388888354762</v>
      </c>
      <c r="BC43" s="33" t="n">
        <v>0.00351176186012444</v>
      </c>
      <c r="BD43" s="33" t="n">
        <v>0.00502243966609187</v>
      </c>
      <c r="BE43" s="33" t="n">
        <v>0.000607323470167328</v>
      </c>
      <c r="BF43" s="33" t="n">
        <v>0.000186994651005084</v>
      </c>
      <c r="BG43" s="33" t="n">
        <v>0.0041439617412631</v>
      </c>
      <c r="BH43" s="33" t="n">
        <v>0.00270439686210721</v>
      </c>
      <c r="BI43" s="33" t="n">
        <v>0.00144805666545629</v>
      </c>
      <c r="BJ43" s="33" t="n">
        <v>0.0187076941605724</v>
      </c>
      <c r="BK43" s="33" t="n">
        <v>0.0041246200701004</v>
      </c>
      <c r="BL43" s="33" t="n">
        <v>0.00575789770293674</v>
      </c>
      <c r="BM43" s="33" t="n">
        <v>0.00102597954216116</v>
      </c>
      <c r="BN43" s="33" t="n">
        <v>0.000416206477958421</v>
      </c>
      <c r="BO43" s="33" t="n">
        <v>8.56591467370259E-006</v>
      </c>
      <c r="BP43" s="33" t="n">
        <v>0.00468876680051943</v>
      </c>
      <c r="BQ43" s="33" t="n">
        <v>0.00318025087494589</v>
      </c>
      <c r="BR43" s="33" t="n">
        <v>0.00951884619827315</v>
      </c>
      <c r="BS43" s="33" t="n">
        <v>0.00290071769666058</v>
      </c>
      <c r="BT43" s="33" t="n">
        <v>0</v>
      </c>
    </row>
    <row r="44" customFormat="false" ht="11.25" hidden="false" customHeight="true" outlineLevel="0" collapsed="false">
      <c r="B44" s="24" t="s">
        <v>139</v>
      </c>
      <c r="C44" s="25" t="s">
        <v>140</v>
      </c>
      <c r="D44" s="24" t="n">
        <v>38</v>
      </c>
      <c r="E44" s="34" t="n">
        <v>0.0244284470531499</v>
      </c>
      <c r="F44" s="34" t="n">
        <v>0.0321671518247658</v>
      </c>
      <c r="G44" s="34" t="n">
        <v>0.0104218839406573</v>
      </c>
      <c r="H44" s="34" t="n">
        <v>0.0309878094351025</v>
      </c>
      <c r="I44" s="34" t="n">
        <v>0.00141632227926799</v>
      </c>
      <c r="J44" s="34" t="n">
        <v>0.0119316503358335</v>
      </c>
      <c r="K44" s="34" t="n">
        <v>0.0235558505629366</v>
      </c>
      <c r="L44" s="34" t="n">
        <v>0.00543850243178898</v>
      </c>
      <c r="M44" s="34" t="n">
        <v>0.001198778023071</v>
      </c>
      <c r="N44" s="34" t="n">
        <v>0.0104742588528588</v>
      </c>
      <c r="O44" s="34" t="n">
        <v>0.00794673629522371</v>
      </c>
      <c r="P44" s="34" t="n">
        <v>0.0034818562408059</v>
      </c>
      <c r="Q44" s="34" t="n">
        <v>0.03089492717089</v>
      </c>
      <c r="R44" s="34" t="n">
        <v>0.00288833584224894</v>
      </c>
      <c r="S44" s="34" t="n">
        <v>0.00623411554440503</v>
      </c>
      <c r="T44" s="34" t="n">
        <v>0.0221888898501002</v>
      </c>
      <c r="U44" s="34" t="n">
        <v>0.0269036885765621</v>
      </c>
      <c r="V44" s="34" t="n">
        <v>0.00632970218005952</v>
      </c>
      <c r="W44" s="34" t="n">
        <v>0.00032104493286174</v>
      </c>
      <c r="X44" s="34" t="n">
        <v>0.0035335945856246</v>
      </c>
      <c r="Y44" s="34" t="n">
        <v>0.0324256449834085</v>
      </c>
      <c r="Z44" s="34" t="n">
        <v>0.00944550156590313</v>
      </c>
      <c r="AA44" s="34" t="n">
        <v>0.00494202936514413</v>
      </c>
      <c r="AB44" s="34" t="n">
        <v>0.00422213081926483</v>
      </c>
      <c r="AC44" s="34" t="n">
        <v>0.018655405449162</v>
      </c>
      <c r="AD44" s="34" t="n">
        <v>0.0377524692776093</v>
      </c>
      <c r="AE44" s="34" t="n">
        <v>0.0321207853108471</v>
      </c>
      <c r="AF44" s="34" t="n">
        <v>0.0433343538946877</v>
      </c>
      <c r="AG44" s="34" t="n">
        <v>0.00996095124436324</v>
      </c>
      <c r="AH44" s="34" t="n">
        <v>0.00167569718900746</v>
      </c>
      <c r="AI44" s="34" t="n">
        <v>0.0072903636103242</v>
      </c>
      <c r="AJ44" s="34" t="n">
        <v>0.00429019179102998</v>
      </c>
      <c r="AK44" s="34" t="n">
        <v>0.0027106967195044</v>
      </c>
      <c r="AL44" s="34" t="n">
        <v>0.0126133888411153</v>
      </c>
      <c r="AM44" s="34" t="n">
        <v>0.00554669774299535</v>
      </c>
      <c r="AN44" s="34" t="n">
        <v>0.00452879993471989</v>
      </c>
      <c r="AO44" s="34" t="n">
        <v>0.00288507380132872</v>
      </c>
      <c r="AP44" s="34" t="n">
        <v>0.24601131945929</v>
      </c>
      <c r="AQ44" s="34" t="n">
        <v>0.0574711054701049</v>
      </c>
      <c r="AR44" s="34" t="n">
        <v>0.000870277269333774</v>
      </c>
      <c r="AS44" s="34" t="n">
        <v>0.00800881546968595</v>
      </c>
      <c r="AT44" s="34" t="n">
        <v>0.0174930312621968</v>
      </c>
      <c r="AU44" s="34" t="n">
        <v>0.00416775294478669</v>
      </c>
      <c r="AV44" s="34" t="n">
        <v>0.00329327528277943</v>
      </c>
      <c r="AW44" s="34" t="n">
        <v>0.00114949508896759</v>
      </c>
      <c r="AX44" s="34" t="n">
        <v>0.00922567764372671</v>
      </c>
      <c r="AY44" s="34" t="n">
        <v>0.0463860582462437</v>
      </c>
      <c r="AZ44" s="34" t="n">
        <v>0.00645242219430359</v>
      </c>
      <c r="BA44" s="34" t="n">
        <v>0.00666762860493429</v>
      </c>
      <c r="BB44" s="34" t="n">
        <v>0.00903663243890884</v>
      </c>
      <c r="BC44" s="34" t="n">
        <v>0.00983479797068634</v>
      </c>
      <c r="BD44" s="34" t="n">
        <v>0.00368060910520976</v>
      </c>
      <c r="BE44" s="34" t="n">
        <v>0.00395553971343963</v>
      </c>
      <c r="BF44" s="34" t="n">
        <v>0.000833345503141337</v>
      </c>
      <c r="BG44" s="34" t="n">
        <v>0.00485345397121821</v>
      </c>
      <c r="BH44" s="34" t="n">
        <v>0.00388506944586505</v>
      </c>
      <c r="BI44" s="34" t="n">
        <v>0.00192029391187326</v>
      </c>
      <c r="BJ44" s="34" t="n">
        <v>0.00322411696260433</v>
      </c>
      <c r="BK44" s="34" t="n">
        <v>0.024493239995863</v>
      </c>
      <c r="BL44" s="34" t="n">
        <v>0.00225166930567038</v>
      </c>
      <c r="BM44" s="34" t="n">
        <v>0.00656701852251676</v>
      </c>
      <c r="BN44" s="34" t="n">
        <v>0.00705315316775409</v>
      </c>
      <c r="BO44" s="34" t="n">
        <v>0.0218595105688869</v>
      </c>
      <c r="BP44" s="34" t="n">
        <v>0.00767970276367158</v>
      </c>
      <c r="BQ44" s="34" t="n">
        <v>0.00862065736850387</v>
      </c>
      <c r="BR44" s="34" t="n">
        <v>0.0196366344284967</v>
      </c>
      <c r="BS44" s="34" t="n">
        <v>0.0206422757516318</v>
      </c>
      <c r="BT44" s="34" t="n">
        <v>0</v>
      </c>
    </row>
    <row r="45" customFormat="false" ht="11.25" hidden="false" customHeight="true" outlineLevel="0" collapsed="false">
      <c r="B45" s="19" t="s">
        <v>141</v>
      </c>
      <c r="C45" s="20" t="s">
        <v>142</v>
      </c>
      <c r="D45" s="19" t="n">
        <v>39</v>
      </c>
      <c r="E45" s="33" t="n">
        <v>5.48312109879118E-005</v>
      </c>
      <c r="F45" s="33" t="n">
        <v>2.7137200086638E-005</v>
      </c>
      <c r="G45" s="33" t="n">
        <v>9.46622773038529E-005</v>
      </c>
      <c r="H45" s="33" t="n">
        <v>0.00160421397218234</v>
      </c>
      <c r="I45" s="33" t="n">
        <v>0.000231601851280732</v>
      </c>
      <c r="J45" s="33" t="n">
        <v>0.00159392107908533</v>
      </c>
      <c r="K45" s="33" t="n">
        <v>0.00288389767800897</v>
      </c>
      <c r="L45" s="33" t="n">
        <v>0.000735180222456422</v>
      </c>
      <c r="M45" s="33" t="n">
        <v>0.00111150068510345</v>
      </c>
      <c r="N45" s="33" t="n">
        <v>0.00144420014787227</v>
      </c>
      <c r="O45" s="33" t="n">
        <v>0.00425458271181513</v>
      </c>
      <c r="P45" s="33" t="n">
        <v>9.48169159087605E-005</v>
      </c>
      <c r="Q45" s="33" t="n">
        <v>0.00163863404841877</v>
      </c>
      <c r="R45" s="33" t="n">
        <v>0.000499882643364981</v>
      </c>
      <c r="S45" s="33" t="n">
        <v>0.00069320946666451</v>
      </c>
      <c r="T45" s="33" t="n">
        <v>0.00460831491664053</v>
      </c>
      <c r="U45" s="33" t="n">
        <v>0.0038278904435534</v>
      </c>
      <c r="V45" s="33" t="n">
        <v>0.000548711166710293</v>
      </c>
      <c r="W45" s="33" t="n">
        <v>0.0006761933305961</v>
      </c>
      <c r="X45" s="33" t="n">
        <v>0.000752972151090603</v>
      </c>
      <c r="Y45" s="33" t="n">
        <v>0.00347646410811968</v>
      </c>
      <c r="Z45" s="33" t="n">
        <v>0.00362506536156396</v>
      </c>
      <c r="AA45" s="33" t="n">
        <v>0.00310193062294106</v>
      </c>
      <c r="AB45" s="33" t="n">
        <v>0.00111624519468934</v>
      </c>
      <c r="AC45" s="33" t="n">
        <v>0.00461402284337861</v>
      </c>
      <c r="AD45" s="33" t="n">
        <v>0.00722190779356201</v>
      </c>
      <c r="AE45" s="33" t="n">
        <v>0.0347050018393733</v>
      </c>
      <c r="AF45" s="33" t="n">
        <v>0.0340190872649333</v>
      </c>
      <c r="AG45" s="33" t="n">
        <v>0.0013361950297385</v>
      </c>
      <c r="AH45" s="33" t="n">
        <v>0.000454491974905835</v>
      </c>
      <c r="AI45" s="33" t="n">
        <v>0.000756940641635552</v>
      </c>
      <c r="AJ45" s="33" t="n">
        <v>0.000737456867842161</v>
      </c>
      <c r="AK45" s="33" t="n">
        <v>0.000640153609850919</v>
      </c>
      <c r="AL45" s="33" t="n">
        <v>0.00266575700893179</v>
      </c>
      <c r="AM45" s="33" t="n">
        <v>0.00276872591839268</v>
      </c>
      <c r="AN45" s="33" t="n">
        <v>0.000873481086599079</v>
      </c>
      <c r="AO45" s="33" t="n">
        <v>0.000359737885984142</v>
      </c>
      <c r="AP45" s="33" t="n">
        <v>0.00034094017476793</v>
      </c>
      <c r="AQ45" s="33" t="n">
        <v>0.00716113931916246</v>
      </c>
      <c r="AR45" s="33" t="n">
        <v>0.000491166530092544</v>
      </c>
      <c r="AS45" s="33" t="n">
        <v>0.00244145834823206</v>
      </c>
      <c r="AT45" s="33" t="n">
        <v>0.00351633103139673</v>
      </c>
      <c r="AU45" s="33" t="n">
        <v>0.00125011182168135</v>
      </c>
      <c r="AV45" s="33" t="n">
        <v>0.000854471318572296</v>
      </c>
      <c r="AW45" s="33" t="n">
        <v>0.000257843471501568</v>
      </c>
      <c r="AX45" s="33" t="n">
        <v>0.00494085119406993</v>
      </c>
      <c r="AY45" s="33" t="n">
        <v>0.0137039227865362</v>
      </c>
      <c r="AZ45" s="33" t="n">
        <v>0.00400936674335575</v>
      </c>
      <c r="BA45" s="33" t="n">
        <v>0.00173175479385387</v>
      </c>
      <c r="BB45" s="33" t="n">
        <v>0.00140159414888369</v>
      </c>
      <c r="BC45" s="33" t="n">
        <v>0.000263938738630513</v>
      </c>
      <c r="BD45" s="33" t="n">
        <v>0.000758239007325866</v>
      </c>
      <c r="BE45" s="33" t="n">
        <v>0.000806404657887551</v>
      </c>
      <c r="BF45" s="33" t="n">
        <v>0.000505919253331912</v>
      </c>
      <c r="BG45" s="33" t="n">
        <v>0.00262888599267106</v>
      </c>
      <c r="BH45" s="33" t="n">
        <v>0.00100905504249596</v>
      </c>
      <c r="BI45" s="33" t="n">
        <v>0.000342358210194799</v>
      </c>
      <c r="BJ45" s="33" t="n">
        <v>0.00123195262905333</v>
      </c>
      <c r="BK45" s="33" t="n">
        <v>0.0188403138233392</v>
      </c>
      <c r="BL45" s="33" t="n">
        <v>0.000994007497070745</v>
      </c>
      <c r="BM45" s="33" t="n">
        <v>0.0135494571103372</v>
      </c>
      <c r="BN45" s="33" t="n">
        <v>0.00551897646441999</v>
      </c>
      <c r="BO45" s="33" t="n">
        <v>0.00245035226942509</v>
      </c>
      <c r="BP45" s="33" t="n">
        <v>0.00783195457969026</v>
      </c>
      <c r="BQ45" s="33" t="n">
        <v>0.00786474879745728</v>
      </c>
      <c r="BR45" s="33" t="n">
        <v>0.0029035927586423</v>
      </c>
      <c r="BS45" s="33" t="n">
        <v>0.0134670557751297</v>
      </c>
      <c r="BT45" s="33" t="n">
        <v>0</v>
      </c>
    </row>
    <row r="46" customFormat="false" ht="11.25" hidden="false" customHeight="true" outlineLevel="0" collapsed="false">
      <c r="B46" s="24" t="s">
        <v>143</v>
      </c>
      <c r="C46" s="25" t="s">
        <v>144</v>
      </c>
      <c r="D46" s="24" t="n">
        <v>40</v>
      </c>
      <c r="E46" s="34" t="n">
        <v>0.00026783865371424</v>
      </c>
      <c r="F46" s="34" t="n">
        <v>0.00131461624263324</v>
      </c>
      <c r="G46" s="34" t="n">
        <v>0.00030092681888292</v>
      </c>
      <c r="H46" s="34" t="n">
        <v>0.000342987032262385</v>
      </c>
      <c r="I46" s="34" t="n">
        <v>0.0160038480298031</v>
      </c>
      <c r="J46" s="34" t="n">
        <v>0.0158622518064268</v>
      </c>
      <c r="K46" s="34" t="n">
        <v>0.0196923164579239</v>
      </c>
      <c r="L46" s="34" t="n">
        <v>4.62572886880249E-005</v>
      </c>
      <c r="M46" s="34" t="n">
        <v>0.000176284468231536</v>
      </c>
      <c r="N46" s="34" t="n">
        <v>8.13414642350517E-005</v>
      </c>
      <c r="O46" s="34" t="n">
        <v>4.17304622882559E-005</v>
      </c>
      <c r="P46" s="34" t="n">
        <v>4.61658297722525E-005</v>
      </c>
      <c r="Q46" s="34" t="n">
        <v>0.000665962586076988</v>
      </c>
      <c r="R46" s="34" t="n">
        <v>0.000108976958989344</v>
      </c>
      <c r="S46" s="34" t="n">
        <v>5.09052877032194E-005</v>
      </c>
      <c r="T46" s="34" t="n">
        <v>3.56786698491972E-005</v>
      </c>
      <c r="U46" s="34" t="n">
        <v>0.000323226298135981</v>
      </c>
      <c r="V46" s="34" t="n">
        <v>0.000885586838972444</v>
      </c>
      <c r="W46" s="34" t="n">
        <v>6.27138611863908E-005</v>
      </c>
      <c r="X46" s="34" t="n">
        <v>0.000857064676769195</v>
      </c>
      <c r="Y46" s="34" t="n">
        <v>0.000599066945354951</v>
      </c>
      <c r="Z46" s="34" t="n">
        <v>0.000106738314537507</v>
      </c>
      <c r="AA46" s="34" t="n">
        <v>8.24896573075278E-005</v>
      </c>
      <c r="AB46" s="34" t="n">
        <v>8.45385519415276E-005</v>
      </c>
      <c r="AC46" s="34" t="n">
        <v>8.65622155984655E-005</v>
      </c>
      <c r="AD46" s="34" t="n">
        <v>0.000331769126623526</v>
      </c>
      <c r="AE46" s="34" t="n">
        <v>0.00122942017305448</v>
      </c>
      <c r="AF46" s="34" t="n">
        <v>0.0232153456577176</v>
      </c>
      <c r="AG46" s="34" t="n">
        <v>0.000522928630591833</v>
      </c>
      <c r="AH46" s="34" t="n">
        <v>0.000759918317618204</v>
      </c>
      <c r="AI46" s="34" t="n">
        <v>0.000230811755197594</v>
      </c>
      <c r="AJ46" s="34" t="n">
        <v>0.000739376274535814</v>
      </c>
      <c r="AK46" s="34" t="n">
        <v>0.00148251973560505</v>
      </c>
      <c r="AL46" s="34" t="n">
        <v>0.000367624044545777</v>
      </c>
      <c r="AM46" s="34" t="n">
        <v>0.00657287751065405</v>
      </c>
      <c r="AN46" s="34" t="n">
        <v>0.000273114891140287</v>
      </c>
      <c r="AO46" s="34" t="n">
        <v>7.74416589786252E-005</v>
      </c>
      <c r="AP46" s="34" t="n">
        <v>8.01556699532655E-005</v>
      </c>
      <c r="AQ46" s="34" t="n">
        <v>0.0821104080307046</v>
      </c>
      <c r="AR46" s="34" t="n">
        <v>0.0973496982702855</v>
      </c>
      <c r="AS46" s="34" t="n">
        <v>0.00417867949846723</v>
      </c>
      <c r="AT46" s="34" t="n">
        <v>0.00143561923660728</v>
      </c>
      <c r="AU46" s="34" t="n">
        <v>0.0014775215846326</v>
      </c>
      <c r="AV46" s="34" t="n">
        <v>0.00086861903941865</v>
      </c>
      <c r="AW46" s="34" t="n">
        <v>0.000604033978288357</v>
      </c>
      <c r="AX46" s="34" t="n">
        <v>0.0119696550635799</v>
      </c>
      <c r="AY46" s="34" t="n">
        <v>0.0125517604126997</v>
      </c>
      <c r="AZ46" s="34" t="n">
        <v>0.00182705804655212</v>
      </c>
      <c r="BA46" s="34" t="n">
        <v>0.000881660400563683</v>
      </c>
      <c r="BB46" s="34" t="n">
        <v>0.00723702872583474</v>
      </c>
      <c r="BC46" s="34" t="n">
        <v>0.0247212810460701</v>
      </c>
      <c r="BD46" s="34" t="n">
        <v>0.00840712864127098</v>
      </c>
      <c r="BE46" s="34" t="n">
        <v>0.00295384720800845</v>
      </c>
      <c r="BF46" s="34" t="n">
        <v>0.00349869114101198</v>
      </c>
      <c r="BG46" s="34" t="n">
        <v>0.00159839106781907</v>
      </c>
      <c r="BH46" s="34" t="n">
        <v>0.0103071543208112</v>
      </c>
      <c r="BI46" s="34" t="n">
        <v>0.000230464247572895</v>
      </c>
      <c r="BJ46" s="34" t="n">
        <v>0.00539448340932615</v>
      </c>
      <c r="BK46" s="34" t="n">
        <v>0.0124399453831136</v>
      </c>
      <c r="BL46" s="34" t="n">
        <v>0.000392469065869712</v>
      </c>
      <c r="BM46" s="34" t="n">
        <v>0.0183948436004654</v>
      </c>
      <c r="BN46" s="34" t="n">
        <v>0.00465735804348484</v>
      </c>
      <c r="BO46" s="34" t="n">
        <v>0.00535753895183785</v>
      </c>
      <c r="BP46" s="34" t="n">
        <v>0.0190614193235986</v>
      </c>
      <c r="BQ46" s="34" t="n">
        <v>0.000184059319955129</v>
      </c>
      <c r="BR46" s="34" t="n">
        <v>0.00368682788628614</v>
      </c>
      <c r="BS46" s="34" t="n">
        <v>0.00385957238502385</v>
      </c>
      <c r="BT46" s="34" t="n">
        <v>0</v>
      </c>
    </row>
    <row r="47" customFormat="false" ht="11.25" hidden="false" customHeight="true" outlineLevel="0" collapsed="false">
      <c r="B47" s="19" t="s">
        <v>145</v>
      </c>
      <c r="C47" s="20" t="s">
        <v>146</v>
      </c>
      <c r="D47" s="19" t="n">
        <v>41</v>
      </c>
      <c r="E47" s="33" t="n">
        <v>0.00160404308827819</v>
      </c>
      <c r="F47" s="33" t="n">
        <v>0.00085575800315173</v>
      </c>
      <c r="G47" s="33" t="n">
        <v>0.00191556886623927</v>
      </c>
      <c r="H47" s="33" t="n">
        <v>0.00790592036044925</v>
      </c>
      <c r="I47" s="33" t="n">
        <v>0.0012539878718052</v>
      </c>
      <c r="J47" s="33" t="n">
        <v>0.0211989477562234</v>
      </c>
      <c r="K47" s="33" t="n">
        <v>0.012023960509036</v>
      </c>
      <c r="L47" s="33" t="n">
        <v>0.0001168881317919</v>
      </c>
      <c r="M47" s="33" t="n">
        <v>0.000346470489607103</v>
      </c>
      <c r="N47" s="33" t="n">
        <v>0.000223938568942775</v>
      </c>
      <c r="O47" s="33" t="n">
        <v>0.00107406713949182</v>
      </c>
      <c r="P47" s="33" t="n">
        <v>3.64970133594689E-005</v>
      </c>
      <c r="Q47" s="33" t="n">
        <v>0.000253239974020394</v>
      </c>
      <c r="R47" s="33" t="n">
        <v>3.17620534280374E-005</v>
      </c>
      <c r="S47" s="33" t="n">
        <v>0.000270430506225486</v>
      </c>
      <c r="T47" s="33" t="n">
        <v>5.69626468444611E-005</v>
      </c>
      <c r="U47" s="33" t="n">
        <v>0.000122571300769616</v>
      </c>
      <c r="V47" s="33" t="n">
        <v>9.74212970153844E-005</v>
      </c>
      <c r="W47" s="33" t="n">
        <v>1.85714777892744E-005</v>
      </c>
      <c r="X47" s="33" t="n">
        <v>0.000369456166041657</v>
      </c>
      <c r="Y47" s="33" t="n">
        <v>5.52994505062623E-005</v>
      </c>
      <c r="Z47" s="33" t="n">
        <v>0.000502090611756426</v>
      </c>
      <c r="AA47" s="33" t="n">
        <v>5.56306584263935E-005</v>
      </c>
      <c r="AB47" s="33" t="n">
        <v>0.00173542592003192</v>
      </c>
      <c r="AC47" s="33" t="n">
        <v>0.00434250187626599</v>
      </c>
      <c r="AD47" s="33" t="n">
        <v>0.00714728678044771</v>
      </c>
      <c r="AE47" s="33" t="n">
        <v>0.000201377969729093</v>
      </c>
      <c r="AF47" s="33" t="n">
        <v>0.00229378824869614</v>
      </c>
      <c r="AG47" s="33" t="n">
        <v>0.000117526549505088</v>
      </c>
      <c r="AH47" s="33" t="n">
        <v>0.00577116048203582</v>
      </c>
      <c r="AI47" s="33" t="n">
        <v>0.00103126999031394</v>
      </c>
      <c r="AJ47" s="33" t="n">
        <v>0.0389962286985694</v>
      </c>
      <c r="AK47" s="33" t="n">
        <v>0.00516928053278509</v>
      </c>
      <c r="AL47" s="33" t="n">
        <v>0.000420326618431183</v>
      </c>
      <c r="AM47" s="33" t="n">
        <v>0.000147730300389202</v>
      </c>
      <c r="AN47" s="33" t="n">
        <v>0.00102565800187879</v>
      </c>
      <c r="AO47" s="33" t="n">
        <v>0.00179010045062439</v>
      </c>
      <c r="AP47" s="33" t="n">
        <v>0.00250397318164967</v>
      </c>
      <c r="AQ47" s="33" t="n">
        <v>0.0241067180439484</v>
      </c>
      <c r="AR47" s="33" t="n">
        <v>0.00216754157225109</v>
      </c>
      <c r="AS47" s="33" t="n">
        <v>0.0221048844463407</v>
      </c>
      <c r="AT47" s="33" t="n">
        <v>0.00757479321283353</v>
      </c>
      <c r="AU47" s="33" t="n">
        <v>0.0457796263688753</v>
      </c>
      <c r="AV47" s="33" t="n">
        <v>0.00137819332587167</v>
      </c>
      <c r="AW47" s="33" t="n">
        <v>0.00132184674555021</v>
      </c>
      <c r="AX47" s="33" t="n">
        <v>0.00828100197619083</v>
      </c>
      <c r="AY47" s="33" t="n">
        <v>6.06974087619012E-005</v>
      </c>
      <c r="AZ47" s="33" t="n">
        <v>0.00105641822915076</v>
      </c>
      <c r="BA47" s="33" t="n">
        <v>0.000876577341342754</v>
      </c>
      <c r="BB47" s="33" t="n">
        <v>0.0032418088386771</v>
      </c>
      <c r="BC47" s="33" t="n">
        <v>0.000580198286068846</v>
      </c>
      <c r="BD47" s="33" t="n">
        <v>0.000230017660444772</v>
      </c>
      <c r="BE47" s="33" t="n">
        <v>0.000508610476393189</v>
      </c>
      <c r="BF47" s="33" t="n">
        <v>8.50760057846415E-005</v>
      </c>
      <c r="BG47" s="33" t="n">
        <v>4.11919540578957E-005</v>
      </c>
      <c r="BH47" s="33" t="n">
        <v>0.00340971375431402</v>
      </c>
      <c r="BI47" s="33" t="n">
        <v>0.000483829365439859</v>
      </c>
      <c r="BJ47" s="33" t="n">
        <v>0.0432508631084626</v>
      </c>
      <c r="BK47" s="33" t="n">
        <v>0.00100941720916969</v>
      </c>
      <c r="BL47" s="33" t="n">
        <v>0.00965228433197834</v>
      </c>
      <c r="BM47" s="33" t="n">
        <v>0.00558049732226601</v>
      </c>
      <c r="BN47" s="33" t="n">
        <v>0.00239073853846443</v>
      </c>
      <c r="BO47" s="33" t="n">
        <v>0.000194698196309356</v>
      </c>
      <c r="BP47" s="33" t="n">
        <v>0.0121558867123889</v>
      </c>
      <c r="BQ47" s="33" t="n">
        <v>0.00815075188287929</v>
      </c>
      <c r="BR47" s="33" t="n">
        <v>0.00276782143661719</v>
      </c>
      <c r="BS47" s="33" t="n">
        <v>0.000385838534215346</v>
      </c>
      <c r="BT47" s="33" t="n">
        <v>0</v>
      </c>
    </row>
    <row r="48" customFormat="false" ht="11.25" hidden="false" customHeight="true" outlineLevel="0" collapsed="false">
      <c r="B48" s="24" t="s">
        <v>147</v>
      </c>
      <c r="C48" s="25" t="s">
        <v>148</v>
      </c>
      <c r="D48" s="24" t="n">
        <v>42</v>
      </c>
      <c r="E48" s="34" t="n">
        <v>0.00232544336355024</v>
      </c>
      <c r="F48" s="34" t="n">
        <v>0.00440000524169509</v>
      </c>
      <c r="G48" s="34" t="n">
        <v>0.00121642819954776</v>
      </c>
      <c r="H48" s="34" t="n">
        <v>0.0298608348081046</v>
      </c>
      <c r="I48" s="34" t="n">
        <v>0.00867978791017985</v>
      </c>
      <c r="J48" s="34" t="n">
        <v>0.0169595108706259</v>
      </c>
      <c r="K48" s="34" t="n">
        <v>0.0530240358617234</v>
      </c>
      <c r="L48" s="34" t="n">
        <v>0.391650095390948</v>
      </c>
      <c r="M48" s="34" t="n">
        <v>0.108891216557922</v>
      </c>
      <c r="N48" s="34" t="n">
        <v>0.272062083830839</v>
      </c>
      <c r="O48" s="34" t="n">
        <v>0.0434067707203206</v>
      </c>
      <c r="P48" s="34" t="n">
        <v>0.2191633548418</v>
      </c>
      <c r="Q48" s="34" t="n">
        <v>0.224440537503859</v>
      </c>
      <c r="R48" s="34" t="n">
        <v>0.166852535995382</v>
      </c>
      <c r="S48" s="34" t="n">
        <v>0.352521516264897</v>
      </c>
      <c r="T48" s="34" t="n">
        <v>0.125137435885839</v>
      </c>
      <c r="U48" s="34" t="n">
        <v>0.345391868138778</v>
      </c>
      <c r="V48" s="34" t="n">
        <v>0.0613304222891061</v>
      </c>
      <c r="W48" s="34" t="n">
        <v>0.0351577114924786</v>
      </c>
      <c r="X48" s="34" t="n">
        <v>0.170330757226371</v>
      </c>
      <c r="Y48" s="34" t="n">
        <v>0.109050640586273</v>
      </c>
      <c r="Z48" s="34" t="n">
        <v>0.287452995355445</v>
      </c>
      <c r="AA48" s="34" t="n">
        <v>0.0374642001127477</v>
      </c>
      <c r="AB48" s="34" t="n">
        <v>0.335349771930872</v>
      </c>
      <c r="AC48" s="34" t="n">
        <v>0.234008651996189</v>
      </c>
      <c r="AD48" s="34" t="n">
        <v>0.192864209635483</v>
      </c>
      <c r="AE48" s="34" t="n">
        <v>0.218994817489286</v>
      </c>
      <c r="AF48" s="34" t="n">
        <v>0.155013967184015</v>
      </c>
      <c r="AG48" s="34" t="n">
        <v>0.193014770930434</v>
      </c>
      <c r="AH48" s="34" t="n">
        <v>0.14456713561019</v>
      </c>
      <c r="AI48" s="34" t="n">
        <v>0.208216076111477</v>
      </c>
      <c r="AJ48" s="34" t="n">
        <v>0.291245899587527</v>
      </c>
      <c r="AK48" s="34" t="n">
        <v>0.0121145994893987</v>
      </c>
      <c r="AL48" s="34" t="n">
        <v>0.00767387251577985</v>
      </c>
      <c r="AM48" s="34" t="n">
        <v>0.0617715330597354</v>
      </c>
      <c r="AN48" s="34" t="n">
        <v>0.131849307054971</v>
      </c>
      <c r="AO48" s="34" t="n">
        <v>0.0049120503686797</v>
      </c>
      <c r="AP48" s="34" t="n">
        <v>0.00184308142544428</v>
      </c>
      <c r="AQ48" s="34" t="n">
        <v>0.00535994959162149</v>
      </c>
      <c r="AR48" s="34" t="n">
        <v>0.00311119129208346</v>
      </c>
      <c r="AS48" s="34" t="n">
        <v>0.0015501271321843</v>
      </c>
      <c r="AT48" s="34" t="n">
        <v>0.0960135207871576</v>
      </c>
      <c r="AU48" s="34" t="n">
        <v>0.00266007943850154</v>
      </c>
      <c r="AV48" s="34" t="n">
        <v>0.010065729599162</v>
      </c>
      <c r="AW48" s="34" t="n">
        <v>0.00655654607686744</v>
      </c>
      <c r="AX48" s="34" t="n">
        <v>0.00442166565172301</v>
      </c>
      <c r="AY48" s="34" t="n">
        <v>0.00389712658918387</v>
      </c>
      <c r="AZ48" s="34" t="n">
        <v>0.00689292161608766</v>
      </c>
      <c r="BA48" s="34" t="n">
        <v>0.386518963777203</v>
      </c>
      <c r="BB48" s="34" t="n">
        <v>0.238570759179915</v>
      </c>
      <c r="BC48" s="34" t="n">
        <v>0.357416670862312</v>
      </c>
      <c r="BD48" s="34" t="n">
        <v>0.0486626965378503</v>
      </c>
      <c r="BE48" s="34" t="n">
        <v>0.00323583884473132</v>
      </c>
      <c r="BF48" s="34" t="n">
        <v>0.000278187733525524</v>
      </c>
      <c r="BG48" s="34" t="n">
        <v>0.0370771227216456</v>
      </c>
      <c r="BH48" s="34" t="n">
        <v>0.0127429288242373</v>
      </c>
      <c r="BI48" s="34" t="n">
        <v>0.0288540037674795</v>
      </c>
      <c r="BJ48" s="34" t="n">
        <v>0.00464036834295982</v>
      </c>
      <c r="BK48" s="34" t="n">
        <v>0.0338101439004355</v>
      </c>
      <c r="BL48" s="34" t="n">
        <v>0.0213003853673745</v>
      </c>
      <c r="BM48" s="34" t="n">
        <v>0.00151293678340954</v>
      </c>
      <c r="BN48" s="34" t="n">
        <v>0.00157828199377569</v>
      </c>
      <c r="BO48" s="34" t="n">
        <v>0.00568273767947406</v>
      </c>
      <c r="BP48" s="34" t="n">
        <v>0.00472562719986391</v>
      </c>
      <c r="BQ48" s="34" t="n">
        <v>0.00507183495191694</v>
      </c>
      <c r="BR48" s="34" t="n">
        <v>0.0101230384230766</v>
      </c>
      <c r="BS48" s="34" t="n">
        <v>0.00418249170121315</v>
      </c>
      <c r="BT48" s="34" t="n">
        <v>0</v>
      </c>
    </row>
    <row r="49" customFormat="false" ht="11.25" hidden="false" customHeight="true" outlineLevel="0" collapsed="false">
      <c r="B49" s="19" t="s">
        <v>149</v>
      </c>
      <c r="C49" s="20" t="s">
        <v>150</v>
      </c>
      <c r="D49" s="19" t="n">
        <v>43</v>
      </c>
      <c r="E49" s="33" t="n">
        <v>0.021058982724913</v>
      </c>
      <c r="F49" s="33" t="n">
        <v>0.00826048071115457</v>
      </c>
      <c r="G49" s="33" t="n">
        <v>0.0254379667597039</v>
      </c>
      <c r="H49" s="33" t="n">
        <v>0.0511238831969701</v>
      </c>
      <c r="I49" s="33" t="n">
        <v>0.0312185291891601</v>
      </c>
      <c r="J49" s="33" t="n">
        <v>0.0435949886387678</v>
      </c>
      <c r="K49" s="33" t="n">
        <v>0.0493682113278967</v>
      </c>
      <c r="L49" s="33" t="n">
        <v>0.0465554797297903</v>
      </c>
      <c r="M49" s="33" t="n">
        <v>0.0538668704259595</v>
      </c>
      <c r="N49" s="33" t="n">
        <v>0.0655472041497466</v>
      </c>
      <c r="O49" s="33" t="n">
        <v>0.0550412220177943</v>
      </c>
      <c r="P49" s="33" t="n">
        <v>0.0160456881033772</v>
      </c>
      <c r="Q49" s="33" t="n">
        <v>0.0268133054979437</v>
      </c>
      <c r="R49" s="33" t="n">
        <v>0.0123217350402224</v>
      </c>
      <c r="S49" s="33" t="n">
        <v>0.0284175082097864</v>
      </c>
      <c r="T49" s="33" t="n">
        <v>0.0345736785785586</v>
      </c>
      <c r="U49" s="33" t="n">
        <v>0.0405996338647854</v>
      </c>
      <c r="V49" s="33" t="n">
        <v>0.0170339984051466</v>
      </c>
      <c r="W49" s="33" t="n">
        <v>0.00870541957567448</v>
      </c>
      <c r="X49" s="33" t="n">
        <v>0.0288561689588164</v>
      </c>
      <c r="Y49" s="33" t="n">
        <v>0.0436272607243598</v>
      </c>
      <c r="Z49" s="33" t="n">
        <v>0.0386318189091937</v>
      </c>
      <c r="AA49" s="33" t="n">
        <v>0.0475484197238532</v>
      </c>
      <c r="AB49" s="33" t="n">
        <v>0.057775732768219</v>
      </c>
      <c r="AC49" s="33" t="n">
        <v>0.0310057223249992</v>
      </c>
      <c r="AD49" s="33" t="n">
        <v>0.0361314016731182</v>
      </c>
      <c r="AE49" s="33" t="n">
        <v>0.0472174383312779</v>
      </c>
      <c r="AF49" s="33" t="n">
        <v>0.0130554671165389</v>
      </c>
      <c r="AG49" s="33" t="n">
        <v>0.025655544307524</v>
      </c>
      <c r="AH49" s="33" t="n">
        <v>0.0208211841877621</v>
      </c>
      <c r="AI49" s="33" t="n">
        <v>0.0227125621341609</v>
      </c>
      <c r="AJ49" s="33" t="n">
        <v>0.0182904937002528</v>
      </c>
      <c r="AK49" s="33" t="n">
        <v>0.03235087526921</v>
      </c>
      <c r="AL49" s="33" t="n">
        <v>0.0207393067747127</v>
      </c>
      <c r="AM49" s="33" t="n">
        <v>0.0205521720177446</v>
      </c>
      <c r="AN49" s="33" t="n">
        <v>0.0229739297647052</v>
      </c>
      <c r="AO49" s="33" t="n">
        <v>0.00181157387096505</v>
      </c>
      <c r="AP49" s="33" t="n">
        <v>0.0130746453931493</v>
      </c>
      <c r="AQ49" s="33" t="n">
        <v>0.00700930275460182</v>
      </c>
      <c r="AR49" s="33" t="n">
        <v>0.00489932450568822</v>
      </c>
      <c r="AS49" s="33" t="n">
        <v>0.0125187889952004</v>
      </c>
      <c r="AT49" s="33" t="n">
        <v>0.0500514084829002</v>
      </c>
      <c r="AU49" s="33" t="n">
        <v>0.138019010707276</v>
      </c>
      <c r="AV49" s="33" t="n">
        <v>0.0200658345761706</v>
      </c>
      <c r="AW49" s="33" t="n">
        <v>0.00639294031731178</v>
      </c>
      <c r="AX49" s="33" t="n">
        <v>0.0576225289732612</v>
      </c>
      <c r="AY49" s="33" t="n">
        <v>0.00364993834540338</v>
      </c>
      <c r="AZ49" s="33" t="n">
        <v>0.00523820189249392</v>
      </c>
      <c r="BA49" s="33" t="n">
        <v>0.0310651417448654</v>
      </c>
      <c r="BB49" s="33" t="n">
        <v>0.0123447531621926</v>
      </c>
      <c r="BC49" s="33" t="n">
        <v>0.00445109646828188</v>
      </c>
      <c r="BD49" s="33" t="n">
        <v>0.00493811571819763</v>
      </c>
      <c r="BE49" s="33" t="n">
        <v>0.00439999326210168</v>
      </c>
      <c r="BF49" s="33" t="n">
        <v>0.000335204039226775</v>
      </c>
      <c r="BG49" s="33" t="n">
        <v>0.0071159905534599</v>
      </c>
      <c r="BH49" s="33" t="n">
        <v>0.0154532742887254</v>
      </c>
      <c r="BI49" s="33" t="n">
        <v>0.00326308368321441</v>
      </c>
      <c r="BJ49" s="33" t="n">
        <v>0.0151198256835636</v>
      </c>
      <c r="BK49" s="33" t="n">
        <v>0.00323856591594534</v>
      </c>
      <c r="BL49" s="33" t="n">
        <v>0.00408250490483415</v>
      </c>
      <c r="BM49" s="33" t="n">
        <v>0.00401883336200194</v>
      </c>
      <c r="BN49" s="33" t="n">
        <v>0.00533595047376561</v>
      </c>
      <c r="BO49" s="33" t="n">
        <v>0.0131792923418914</v>
      </c>
      <c r="BP49" s="33" t="n">
        <v>0.00633336534077282</v>
      </c>
      <c r="BQ49" s="33" t="n">
        <v>9.0070102626613E-005</v>
      </c>
      <c r="BR49" s="33" t="n">
        <v>0.0076273620985895</v>
      </c>
      <c r="BS49" s="33" t="n">
        <v>0.018405137753331</v>
      </c>
      <c r="BT49" s="33" t="n">
        <v>0</v>
      </c>
    </row>
    <row r="50" customFormat="false" ht="11.25" hidden="false" customHeight="true" outlineLevel="0" collapsed="false">
      <c r="B50" s="24" t="s">
        <v>151</v>
      </c>
      <c r="C50" s="25" t="s">
        <v>152</v>
      </c>
      <c r="D50" s="24" t="n">
        <v>44</v>
      </c>
      <c r="E50" s="34" t="n">
        <v>5.76594698105081E-008</v>
      </c>
      <c r="F50" s="34" t="n">
        <v>5.8338340833047E-008</v>
      </c>
      <c r="G50" s="34" t="n">
        <v>3.99060419194382E-007</v>
      </c>
      <c r="H50" s="34" t="n">
        <v>2.07791120660659E-006</v>
      </c>
      <c r="I50" s="34" t="n">
        <v>0.0198805520751764</v>
      </c>
      <c r="J50" s="34" t="n">
        <v>6.31583624050681E-007</v>
      </c>
      <c r="K50" s="34" t="n">
        <v>0.000495022394319432</v>
      </c>
      <c r="L50" s="34" t="n">
        <v>0.00335246190010868</v>
      </c>
      <c r="M50" s="34" t="n">
        <v>0.00122273169179909</v>
      </c>
      <c r="N50" s="34" t="n">
        <v>0.00134831977261876</v>
      </c>
      <c r="O50" s="34" t="n">
        <v>2.44405966231508E-005</v>
      </c>
      <c r="P50" s="34" t="n">
        <v>4.84680372953899E-005</v>
      </c>
      <c r="Q50" s="34" t="n">
        <v>0.000160883825944481</v>
      </c>
      <c r="R50" s="34" t="n">
        <v>0.000148115288881719</v>
      </c>
      <c r="S50" s="34" t="n">
        <v>8.72832370780679E-005</v>
      </c>
      <c r="T50" s="34" t="n">
        <v>0.00271896407370568</v>
      </c>
      <c r="U50" s="34" t="n">
        <v>0.00928385770059904</v>
      </c>
      <c r="V50" s="34" t="n">
        <v>0.000740785383278457</v>
      </c>
      <c r="W50" s="34" t="n">
        <v>9.97920586593322E-005</v>
      </c>
      <c r="X50" s="34" t="n">
        <v>0.000157129398664013</v>
      </c>
      <c r="Y50" s="34" t="n">
        <v>0.00422997110226358</v>
      </c>
      <c r="Z50" s="34" t="n">
        <v>0.000170444790761103</v>
      </c>
      <c r="AA50" s="34" t="n">
        <v>0.000715238798441753</v>
      </c>
      <c r="AB50" s="34" t="n">
        <v>5.14264683760773E-005</v>
      </c>
      <c r="AC50" s="34" t="n">
        <v>0.000290582859619911</v>
      </c>
      <c r="AD50" s="34" t="n">
        <v>0.000856280944332825</v>
      </c>
      <c r="AE50" s="34" t="n">
        <v>0.00210838721547199</v>
      </c>
      <c r="AF50" s="34" t="n">
        <v>0.000161183442856529</v>
      </c>
      <c r="AG50" s="34" t="n">
        <v>0.000187539140140079</v>
      </c>
      <c r="AH50" s="34" t="n">
        <v>0.000814739289992763</v>
      </c>
      <c r="AI50" s="34" t="n">
        <v>0.000448163090776051</v>
      </c>
      <c r="AJ50" s="34" t="n">
        <v>0.00132821307587233</v>
      </c>
      <c r="AK50" s="34" t="n">
        <v>0.00076422201600278</v>
      </c>
      <c r="AL50" s="34" t="n">
        <v>0.000582189547634106</v>
      </c>
      <c r="AM50" s="34" t="n">
        <v>0.00258595595674309</v>
      </c>
      <c r="AN50" s="34" t="n">
        <v>1.7328963507112E-005</v>
      </c>
      <c r="AO50" s="34" t="n">
        <v>0.00010379897745385</v>
      </c>
      <c r="AP50" s="34" t="n">
        <v>6.55787511510404E-006</v>
      </c>
      <c r="AQ50" s="34" t="n">
        <v>8.52168136505065E-006</v>
      </c>
      <c r="AR50" s="34" t="n">
        <v>1.36118046894183E-005</v>
      </c>
      <c r="AS50" s="34" t="n">
        <v>5.97340175963324E-005</v>
      </c>
      <c r="AT50" s="34" t="n">
        <v>0.000727987248091117</v>
      </c>
      <c r="AU50" s="34" t="n">
        <v>0.00148879602318164</v>
      </c>
      <c r="AV50" s="34" t="n">
        <v>0.0534906662790253</v>
      </c>
      <c r="AW50" s="34" t="n">
        <v>6.76412368800207E-006</v>
      </c>
      <c r="AX50" s="34" t="n">
        <v>0.000397193693914281</v>
      </c>
      <c r="AY50" s="34" t="n">
        <v>7.62425785611069E-005</v>
      </c>
      <c r="AZ50" s="34" t="n">
        <v>8.53640789510891E-005</v>
      </c>
      <c r="BA50" s="34" t="n">
        <v>2.22351441288608E-005</v>
      </c>
      <c r="BB50" s="34" t="n">
        <v>8.69767013315075E-005</v>
      </c>
      <c r="BC50" s="34" t="n">
        <v>2.53619920934034E-005</v>
      </c>
      <c r="BD50" s="34" t="n">
        <v>0.000110653134782145</v>
      </c>
      <c r="BE50" s="34" t="n">
        <v>2.12880172025191E-005</v>
      </c>
      <c r="BF50" s="34" t="n">
        <v>7.33562197617027E-006</v>
      </c>
      <c r="BG50" s="34" t="n">
        <v>4.80109133051318E-005</v>
      </c>
      <c r="BH50" s="34" t="n">
        <v>6.18146910010783E-005</v>
      </c>
      <c r="BI50" s="34" t="n">
        <v>1.70988179375452E-005</v>
      </c>
      <c r="BJ50" s="34" t="n">
        <v>4.69530723549476E-005</v>
      </c>
      <c r="BK50" s="34" t="n">
        <v>0.000908933634021077</v>
      </c>
      <c r="BL50" s="34" t="n">
        <v>4.15743159323503E-005</v>
      </c>
      <c r="BM50" s="34" t="n">
        <v>7.32997761733224E-006</v>
      </c>
      <c r="BN50" s="34" t="n">
        <v>4.29802852189868E-006</v>
      </c>
      <c r="BO50" s="34" t="n">
        <v>7.60645702491884E-005</v>
      </c>
      <c r="BP50" s="34" t="n">
        <v>4.56901785147943E-006</v>
      </c>
      <c r="BQ50" s="34" t="n">
        <v>1.62529210343418E-005</v>
      </c>
      <c r="BR50" s="34" t="n">
        <v>0.000185361070067235</v>
      </c>
      <c r="BS50" s="34" t="n">
        <v>3.17620082103183E-005</v>
      </c>
      <c r="BT50" s="34" t="n">
        <v>0</v>
      </c>
    </row>
    <row r="51" customFormat="false" ht="11.25" hidden="false" customHeight="true" outlineLevel="0" collapsed="false">
      <c r="B51" s="19" t="s">
        <v>153</v>
      </c>
      <c r="C51" s="20" t="s">
        <v>154</v>
      </c>
      <c r="D51" s="19" t="n">
        <v>45</v>
      </c>
      <c r="E51" s="33" t="n">
        <v>4.83760733940185E-006</v>
      </c>
      <c r="F51" s="33" t="n">
        <v>1.20409779786509E-007</v>
      </c>
      <c r="G51" s="33" t="n">
        <v>0.00011836892915752</v>
      </c>
      <c r="H51" s="33" t="n">
        <v>0.000381607245711294</v>
      </c>
      <c r="I51" s="33" t="n">
        <v>0.00679954906745806</v>
      </c>
      <c r="J51" s="33" t="n">
        <v>0.00010085467932022</v>
      </c>
      <c r="K51" s="33" t="n">
        <v>0.00162524211966094</v>
      </c>
      <c r="L51" s="33" t="n">
        <v>0.000888234953451832</v>
      </c>
      <c r="M51" s="33" t="n">
        <v>0.000160306010474591</v>
      </c>
      <c r="N51" s="33" t="n">
        <v>0.000760387402536173</v>
      </c>
      <c r="O51" s="33" t="n">
        <v>0.000516848239494943</v>
      </c>
      <c r="P51" s="33" t="n">
        <v>0.00150973607915988</v>
      </c>
      <c r="Q51" s="33" t="n">
        <v>0.000683884668621378</v>
      </c>
      <c r="R51" s="33" t="n">
        <v>0.000472667303334479</v>
      </c>
      <c r="S51" s="33" t="n">
        <v>0.0011781320978384</v>
      </c>
      <c r="T51" s="33" t="n">
        <v>0.00103729505051846</v>
      </c>
      <c r="U51" s="33" t="n">
        <v>0.000995784583929449</v>
      </c>
      <c r="V51" s="33" t="n">
        <v>0.00111648188947316</v>
      </c>
      <c r="W51" s="33" t="n">
        <v>9.41067938998227E-005</v>
      </c>
      <c r="X51" s="33" t="n">
        <v>0.000154782135593458</v>
      </c>
      <c r="Y51" s="33" t="n">
        <v>0.00159045990237358</v>
      </c>
      <c r="Z51" s="33" t="n">
        <v>0.00302608870763436</v>
      </c>
      <c r="AA51" s="33" t="n">
        <v>0.000253306205582498</v>
      </c>
      <c r="AB51" s="33" t="n">
        <v>0.00169899609948973</v>
      </c>
      <c r="AC51" s="33" t="n">
        <v>0.000356695150799891</v>
      </c>
      <c r="AD51" s="33" t="n">
        <v>0.0010527345927394</v>
      </c>
      <c r="AE51" s="33" t="n">
        <v>0.000746341190344222</v>
      </c>
      <c r="AF51" s="33" t="n">
        <v>0.00024439071685344</v>
      </c>
      <c r="AG51" s="33" t="n">
        <v>0.000387675325875382</v>
      </c>
      <c r="AH51" s="33" t="n">
        <v>0.00311352341836379</v>
      </c>
      <c r="AI51" s="33" t="n">
        <v>0.00173488384242415</v>
      </c>
      <c r="AJ51" s="33" t="n">
        <v>0.00132788867089548</v>
      </c>
      <c r="AK51" s="33" t="n">
        <v>0.00113218215529112</v>
      </c>
      <c r="AL51" s="33" t="n">
        <v>0.00101277064808126</v>
      </c>
      <c r="AM51" s="33" t="n">
        <v>0.000687072263110323</v>
      </c>
      <c r="AN51" s="33" t="n">
        <v>0.000491070095430227</v>
      </c>
      <c r="AO51" s="33" t="n">
        <v>0.000701109598377585</v>
      </c>
      <c r="AP51" s="33" t="n">
        <v>0.00143187100347159</v>
      </c>
      <c r="AQ51" s="33" t="n">
        <v>0.000680840277192296</v>
      </c>
      <c r="AR51" s="33" t="n">
        <v>0.00199105807301439</v>
      </c>
      <c r="AS51" s="33" t="n">
        <v>0.00121651386394019</v>
      </c>
      <c r="AT51" s="33" t="n">
        <v>0.00262408192597362</v>
      </c>
      <c r="AU51" s="33" t="n">
        <v>0.000626872959056012</v>
      </c>
      <c r="AV51" s="33" t="n">
        <v>0.00546232255591059</v>
      </c>
      <c r="AW51" s="33" t="n">
        <v>0.000330236766613783</v>
      </c>
      <c r="AX51" s="33" t="n">
        <v>0.00656647251637651</v>
      </c>
      <c r="AY51" s="33" t="n">
        <v>0.00234121955455037</v>
      </c>
      <c r="AZ51" s="33" t="n">
        <v>0.000247316089339691</v>
      </c>
      <c r="BA51" s="33" t="n">
        <v>0.000831539273172512</v>
      </c>
      <c r="BB51" s="33" t="n">
        <v>0.00350768784616071</v>
      </c>
      <c r="BC51" s="33" t="n">
        <v>0.000943656395915023</v>
      </c>
      <c r="BD51" s="33" t="n">
        <v>0.00423963741839775</v>
      </c>
      <c r="BE51" s="33" t="n">
        <v>0.00400672207222275</v>
      </c>
      <c r="BF51" s="33" t="n">
        <v>9.74594447469461E-005</v>
      </c>
      <c r="BG51" s="33" t="n">
        <v>0.00380470242438522</v>
      </c>
      <c r="BH51" s="33" t="n">
        <v>0.00405502901801208</v>
      </c>
      <c r="BI51" s="33" t="n">
        <v>0.00501621862681654</v>
      </c>
      <c r="BJ51" s="33" t="n">
        <v>0.00165142806825378</v>
      </c>
      <c r="BK51" s="33" t="n">
        <v>0.00157364315912966</v>
      </c>
      <c r="BL51" s="33" t="n">
        <v>0.000635974259363089</v>
      </c>
      <c r="BM51" s="33" t="n">
        <v>0.00148350927572596</v>
      </c>
      <c r="BN51" s="33" t="n">
        <v>0.00101940227987066</v>
      </c>
      <c r="BO51" s="33" t="n">
        <v>0.017204962474505</v>
      </c>
      <c r="BP51" s="33" t="n">
        <v>0.00179849919692425</v>
      </c>
      <c r="BQ51" s="33" t="n">
        <v>2.49036693268141E-005</v>
      </c>
      <c r="BR51" s="33" t="n">
        <v>0.00223129338967333</v>
      </c>
      <c r="BS51" s="33" t="n">
        <v>0.0586188776215319</v>
      </c>
      <c r="BT51" s="33" t="n">
        <v>0</v>
      </c>
    </row>
    <row r="52" customFormat="false" ht="11.25" hidden="false" customHeight="true" outlineLevel="0" collapsed="false">
      <c r="B52" s="24" t="s">
        <v>155</v>
      </c>
      <c r="C52" s="25" t="s">
        <v>156</v>
      </c>
      <c r="D52" s="24" t="n">
        <v>46</v>
      </c>
      <c r="E52" s="34" t="n">
        <v>0.00263861046186719</v>
      </c>
      <c r="F52" s="34" t="n">
        <v>0.000391202545203354</v>
      </c>
      <c r="G52" s="34" t="n">
        <v>0.00391741358930313</v>
      </c>
      <c r="H52" s="34" t="n">
        <v>0.00132609803484453</v>
      </c>
      <c r="I52" s="34" t="n">
        <v>0.0175271345358314</v>
      </c>
      <c r="J52" s="34" t="n">
        <v>0.023809544171965</v>
      </c>
      <c r="K52" s="34" t="n">
        <v>0.0335675768115974</v>
      </c>
      <c r="L52" s="34" t="n">
        <v>0.00949454638124307</v>
      </c>
      <c r="M52" s="34" t="n">
        <v>0.0275370812964396</v>
      </c>
      <c r="N52" s="34" t="n">
        <v>0.0112000457223526</v>
      </c>
      <c r="O52" s="34" t="n">
        <v>0.0204428281905276</v>
      </c>
      <c r="P52" s="34" t="n">
        <v>0.00188193804108198</v>
      </c>
      <c r="Q52" s="34" t="n">
        <v>0.00392705590279971</v>
      </c>
      <c r="R52" s="34" t="n">
        <v>0.00180440153742991</v>
      </c>
      <c r="S52" s="34" t="n">
        <v>0.00396350836310987</v>
      </c>
      <c r="T52" s="34" t="n">
        <v>0.00597511679305702</v>
      </c>
      <c r="U52" s="34" t="n">
        <v>0.0135446699074878</v>
      </c>
      <c r="V52" s="34" t="n">
        <v>0.00860436533406227</v>
      </c>
      <c r="W52" s="34" t="n">
        <v>0.001583890998134</v>
      </c>
      <c r="X52" s="34" t="n">
        <v>0.014996327683766</v>
      </c>
      <c r="Y52" s="34" t="n">
        <v>0.00719346889549351</v>
      </c>
      <c r="Z52" s="34" t="n">
        <v>0.0110033218291188</v>
      </c>
      <c r="AA52" s="34" t="n">
        <v>0.00824337501194572</v>
      </c>
      <c r="AB52" s="34" t="n">
        <v>0.00837943535340823</v>
      </c>
      <c r="AC52" s="34" t="n">
        <v>0.00223786525926014</v>
      </c>
      <c r="AD52" s="34" t="n">
        <v>0.00340434614183687</v>
      </c>
      <c r="AE52" s="34" t="n">
        <v>0.0196314406552961</v>
      </c>
      <c r="AF52" s="34" t="n">
        <v>0.00217924525842291</v>
      </c>
      <c r="AG52" s="34" t="n">
        <v>0.00677194703071927</v>
      </c>
      <c r="AH52" s="34" t="n">
        <v>0.00844873606829278</v>
      </c>
      <c r="AI52" s="34" t="n">
        <v>0.0100056152305852</v>
      </c>
      <c r="AJ52" s="34" t="n">
        <v>0.00277119142662701</v>
      </c>
      <c r="AK52" s="34" t="n">
        <v>0.0159878922530208</v>
      </c>
      <c r="AL52" s="34" t="n">
        <v>0.00629690596843535</v>
      </c>
      <c r="AM52" s="34" t="n">
        <v>0.00751456567563451</v>
      </c>
      <c r="AN52" s="34" t="n">
        <v>0.00372331468186402</v>
      </c>
      <c r="AO52" s="34" t="n">
        <v>0.00195691619343418</v>
      </c>
      <c r="AP52" s="34" t="n">
        <v>0.0021659090500788</v>
      </c>
      <c r="AQ52" s="34" t="n">
        <v>0.000415146801245745</v>
      </c>
      <c r="AR52" s="34" t="n">
        <v>0.00092042181962079</v>
      </c>
      <c r="AS52" s="34" t="n">
        <v>0.00498052102430249</v>
      </c>
      <c r="AT52" s="34" t="n">
        <v>0.011123531034813</v>
      </c>
      <c r="AU52" s="34" t="n">
        <v>0.0205435616950007</v>
      </c>
      <c r="AV52" s="34" t="n">
        <v>0.168476824035672</v>
      </c>
      <c r="AW52" s="34" t="n">
        <v>0.087583683084735</v>
      </c>
      <c r="AX52" s="34" t="n">
        <v>0.0336877988692883</v>
      </c>
      <c r="AY52" s="34" t="n">
        <v>0.00268763953464541</v>
      </c>
      <c r="AZ52" s="34" t="n">
        <v>0.00118074587656673</v>
      </c>
      <c r="BA52" s="34" t="n">
        <v>0.00392833196965511</v>
      </c>
      <c r="BB52" s="34" t="n">
        <v>0.00226463676439452</v>
      </c>
      <c r="BC52" s="34" t="n">
        <v>0.0036170926523273</v>
      </c>
      <c r="BD52" s="34" t="n">
        <v>0.0013628351942957</v>
      </c>
      <c r="BE52" s="34" t="n">
        <v>0.00947951146970401</v>
      </c>
      <c r="BF52" s="34" t="n">
        <v>0.000515295744904613</v>
      </c>
      <c r="BG52" s="34" t="n">
        <v>0.00316594162382765</v>
      </c>
      <c r="BH52" s="34" t="n">
        <v>0.00354300032012897</v>
      </c>
      <c r="BI52" s="34" t="n">
        <v>0.00273945178998058</v>
      </c>
      <c r="BJ52" s="34" t="n">
        <v>0.00540100380352306</v>
      </c>
      <c r="BK52" s="34" t="n">
        <v>0.00417256772008139</v>
      </c>
      <c r="BL52" s="34" t="n">
        <v>0.002159225342236</v>
      </c>
      <c r="BM52" s="34" t="n">
        <v>0.00540061975908818</v>
      </c>
      <c r="BN52" s="34" t="n">
        <v>0.00114902255730648</v>
      </c>
      <c r="BO52" s="34" t="n">
        <v>0.00520256113183347</v>
      </c>
      <c r="BP52" s="34" t="n">
        <v>0.00228048426647539</v>
      </c>
      <c r="BQ52" s="34" t="n">
        <v>0.00155800770471398</v>
      </c>
      <c r="BR52" s="34" t="n">
        <v>0.00218062030894213</v>
      </c>
      <c r="BS52" s="34" t="n">
        <v>0.0109755975122122</v>
      </c>
      <c r="BT52" s="34" t="n">
        <v>0</v>
      </c>
    </row>
    <row r="53" customFormat="false" ht="11.25" hidden="false" customHeight="true" outlineLevel="0" collapsed="false">
      <c r="B53" s="19" t="s">
        <v>157</v>
      </c>
      <c r="C53" s="20" t="s">
        <v>158</v>
      </c>
      <c r="D53" s="19" t="n">
        <v>47</v>
      </c>
      <c r="E53" s="33" t="n">
        <v>1.03277476184086E-005</v>
      </c>
      <c r="F53" s="33" t="n">
        <v>7.13022222177824E-006</v>
      </c>
      <c r="G53" s="33" t="n">
        <v>8.38138499485849E-005</v>
      </c>
      <c r="H53" s="33" t="n">
        <v>0.00032588688307528</v>
      </c>
      <c r="I53" s="33" t="n">
        <v>0.000714841153511472</v>
      </c>
      <c r="J53" s="33" t="n">
        <v>0.000542551146599176</v>
      </c>
      <c r="K53" s="33" t="n">
        <v>0.000668999115785571</v>
      </c>
      <c r="L53" s="33" t="n">
        <v>0.000983512477024941</v>
      </c>
      <c r="M53" s="33" t="n">
        <v>0.000479344027045779</v>
      </c>
      <c r="N53" s="33" t="n">
        <v>0.000890285313335288</v>
      </c>
      <c r="O53" s="33" t="n">
        <v>0.000489179242464814</v>
      </c>
      <c r="P53" s="33" t="n">
        <v>0.00143705744865203</v>
      </c>
      <c r="Q53" s="33" t="n">
        <v>0.000608688894576523</v>
      </c>
      <c r="R53" s="33" t="n">
        <v>0.000340829329355269</v>
      </c>
      <c r="S53" s="33" t="n">
        <v>0.000734629893902149</v>
      </c>
      <c r="T53" s="33" t="n">
        <v>0.00025653259412007</v>
      </c>
      <c r="U53" s="33" t="n">
        <v>0.00088719821901587</v>
      </c>
      <c r="V53" s="33" t="n">
        <v>0.000403952778912417</v>
      </c>
      <c r="W53" s="33" t="n">
        <v>7.07516087722373E-005</v>
      </c>
      <c r="X53" s="33" t="n">
        <v>0.000361134510982021</v>
      </c>
      <c r="Y53" s="33" t="n">
        <v>0.000675279801607182</v>
      </c>
      <c r="Z53" s="33" t="n">
        <v>0.00156698652156205</v>
      </c>
      <c r="AA53" s="33" t="n">
        <v>0.000646590337796554</v>
      </c>
      <c r="AB53" s="33" t="n">
        <v>0.00225699029812939</v>
      </c>
      <c r="AC53" s="33" t="n">
        <v>0.000811983409011927</v>
      </c>
      <c r="AD53" s="33" t="n">
        <v>0.000701840129869927</v>
      </c>
      <c r="AE53" s="33" t="n">
        <v>0.0011731974304705</v>
      </c>
      <c r="AF53" s="33" t="n">
        <v>0.0004759896935213</v>
      </c>
      <c r="AG53" s="33" t="n">
        <v>0.00105807291392846</v>
      </c>
      <c r="AH53" s="33" t="n">
        <v>0.00108624568128343</v>
      </c>
      <c r="AI53" s="33" t="n">
        <v>0.00116389159390875</v>
      </c>
      <c r="AJ53" s="33" t="n">
        <v>0.00174747374027765</v>
      </c>
      <c r="AK53" s="33" t="n">
        <v>0.000496392978470027</v>
      </c>
      <c r="AL53" s="33" t="n">
        <v>0.000608760841010375</v>
      </c>
      <c r="AM53" s="33" t="n">
        <v>0.000821404287776331</v>
      </c>
      <c r="AN53" s="33" t="n">
        <v>0.000963559072235131</v>
      </c>
      <c r="AO53" s="33" t="n">
        <v>0.000498552656944378</v>
      </c>
      <c r="AP53" s="33" t="n">
        <v>0.000474104461947933</v>
      </c>
      <c r="AQ53" s="33" t="n">
        <v>0.000176269862200099</v>
      </c>
      <c r="AR53" s="33" t="n">
        <v>0.00139142591793288</v>
      </c>
      <c r="AS53" s="33" t="n">
        <v>0.00156895692799378</v>
      </c>
      <c r="AT53" s="33" t="n">
        <v>0.0018164933208025</v>
      </c>
      <c r="AU53" s="33" t="n">
        <v>0.000424778813079304</v>
      </c>
      <c r="AV53" s="33" t="n">
        <v>0.000268112699309817</v>
      </c>
      <c r="AW53" s="33" t="n">
        <v>0.00159337806828988</v>
      </c>
      <c r="AX53" s="33" t="n">
        <v>0.0011218017010977</v>
      </c>
      <c r="AY53" s="33" t="n">
        <v>2.82835372081526E-005</v>
      </c>
      <c r="AZ53" s="33" t="n">
        <v>9.95045165583922E-005</v>
      </c>
      <c r="BA53" s="33" t="n">
        <v>0.00300547173310007</v>
      </c>
      <c r="BB53" s="33" t="n">
        <v>0.00262313400532528</v>
      </c>
      <c r="BC53" s="33" t="n">
        <v>0.000651538152280565</v>
      </c>
      <c r="BD53" s="33" t="n">
        <v>0.00246626566919153</v>
      </c>
      <c r="BE53" s="33" t="n">
        <v>0.00117374514027401</v>
      </c>
      <c r="BF53" s="33" t="n">
        <v>7.16367914514383E-005</v>
      </c>
      <c r="BG53" s="33" t="n">
        <v>0.00100186840716474</v>
      </c>
      <c r="BH53" s="33" t="n">
        <v>0.00265434766771511</v>
      </c>
      <c r="BI53" s="33" t="n">
        <v>0.000886640038389655</v>
      </c>
      <c r="BJ53" s="33" t="n">
        <v>0.00214962017258843</v>
      </c>
      <c r="BK53" s="33" t="n">
        <v>0.000543020230998469</v>
      </c>
      <c r="BL53" s="33" t="n">
        <v>0.00086719368499991</v>
      </c>
      <c r="BM53" s="33" t="n">
        <v>0.0016425909836247</v>
      </c>
      <c r="BN53" s="33" t="n">
        <v>0.000881505519739198</v>
      </c>
      <c r="BO53" s="33" t="n">
        <v>0.00235661479663823</v>
      </c>
      <c r="BP53" s="33" t="n">
        <v>0.00104959861436096</v>
      </c>
      <c r="BQ53" s="33" t="n">
        <v>6.02930941596552E-006</v>
      </c>
      <c r="BR53" s="33" t="n">
        <v>0.00247352080489875</v>
      </c>
      <c r="BS53" s="33" t="n">
        <v>0.0390712383417007</v>
      </c>
      <c r="BT53" s="33" t="n">
        <v>0</v>
      </c>
    </row>
    <row r="54" customFormat="false" ht="11.25" hidden="false" customHeight="true" outlineLevel="0" collapsed="false">
      <c r="B54" s="24" t="s">
        <v>159</v>
      </c>
      <c r="C54" s="25" t="s">
        <v>160</v>
      </c>
      <c r="D54" s="24" t="n">
        <v>48</v>
      </c>
      <c r="E54" s="34" t="n">
        <v>1.67307259024925E-005</v>
      </c>
      <c r="F54" s="34" t="n">
        <v>5.54400279545893E-006</v>
      </c>
      <c r="G54" s="34" t="n">
        <v>0.000117897182134605</v>
      </c>
      <c r="H54" s="34" t="n">
        <v>0.000191620070509549</v>
      </c>
      <c r="I54" s="34" t="n">
        <v>0.000998499749381854</v>
      </c>
      <c r="J54" s="34" t="n">
        <v>0.000138402463932428</v>
      </c>
      <c r="K54" s="34" t="n">
        <v>0.000554533823428203</v>
      </c>
      <c r="L54" s="34" t="n">
        <v>0.000655319357920503</v>
      </c>
      <c r="M54" s="34" t="n">
        <v>0.00024964583947212</v>
      </c>
      <c r="N54" s="34" t="n">
        <v>0.000863759663033134</v>
      </c>
      <c r="O54" s="34" t="n">
        <v>0.000124070639319793</v>
      </c>
      <c r="P54" s="34" t="n">
        <v>0.00038600117538105</v>
      </c>
      <c r="Q54" s="34" t="n">
        <v>0.000550470430628459</v>
      </c>
      <c r="R54" s="34" t="n">
        <v>0.000345690380642955</v>
      </c>
      <c r="S54" s="34" t="n">
        <v>0.000593592580038136</v>
      </c>
      <c r="T54" s="34" t="n">
        <v>0.000233151624091857</v>
      </c>
      <c r="U54" s="34" t="n">
        <v>0.000687400508170432</v>
      </c>
      <c r="V54" s="34" t="n">
        <v>0.000552390540062157</v>
      </c>
      <c r="W54" s="34" t="n">
        <v>4.47984788700102E-005</v>
      </c>
      <c r="X54" s="34" t="n">
        <v>0.000335663771723174</v>
      </c>
      <c r="Y54" s="34" t="n">
        <v>0.000632985995102123</v>
      </c>
      <c r="Z54" s="34" t="n">
        <v>0.00175734605049682</v>
      </c>
      <c r="AA54" s="34" t="n">
        <v>0.000125967181599617</v>
      </c>
      <c r="AB54" s="34" t="n">
        <v>0.00347308141594494</v>
      </c>
      <c r="AC54" s="34" t="n">
        <v>0.000503695184990525</v>
      </c>
      <c r="AD54" s="34" t="n">
        <v>0.000344195389580932</v>
      </c>
      <c r="AE54" s="34" t="n">
        <v>0.0005935363766791</v>
      </c>
      <c r="AF54" s="34" t="n">
        <v>0.00101735171566421</v>
      </c>
      <c r="AG54" s="34" t="n">
        <v>0.00053400985636084</v>
      </c>
      <c r="AH54" s="34" t="n">
        <v>0.000304655540313787</v>
      </c>
      <c r="AI54" s="34" t="n">
        <v>0.000361545911082093</v>
      </c>
      <c r="AJ54" s="34" t="n">
        <v>0.000962470702633019</v>
      </c>
      <c r="AK54" s="34" t="n">
        <v>0.00151757224376395</v>
      </c>
      <c r="AL54" s="34" t="n">
        <v>0.00012738276556338</v>
      </c>
      <c r="AM54" s="34" t="n">
        <v>0.00020181602135312</v>
      </c>
      <c r="AN54" s="34" t="n">
        <v>0.000250533937233904</v>
      </c>
      <c r="AO54" s="34" t="n">
        <v>0.000709941680419405</v>
      </c>
      <c r="AP54" s="34" t="n">
        <v>0.00065133906700211</v>
      </c>
      <c r="AQ54" s="34" t="n">
        <v>0.000254557963770477</v>
      </c>
      <c r="AR54" s="34" t="n">
        <v>7.63046384640118E-005</v>
      </c>
      <c r="AS54" s="34" t="n">
        <v>0.000869234902724182</v>
      </c>
      <c r="AT54" s="34" t="n">
        <v>0.000785892349314008</v>
      </c>
      <c r="AU54" s="34" t="n">
        <v>0.000143028241130643</v>
      </c>
      <c r="AV54" s="34" t="n">
        <v>0.000585681756261326</v>
      </c>
      <c r="AW54" s="34" t="n">
        <v>0.0250442891893701</v>
      </c>
      <c r="AX54" s="34" t="n">
        <v>0.000385952067554212</v>
      </c>
      <c r="AY54" s="34" t="n">
        <v>0.00660349385515823</v>
      </c>
      <c r="AZ54" s="34" t="n">
        <v>0.000149325380353492</v>
      </c>
      <c r="BA54" s="34" t="n">
        <v>0.000884228934750332</v>
      </c>
      <c r="BB54" s="34" t="n">
        <v>0.00774102365767744</v>
      </c>
      <c r="BC54" s="34" t="n">
        <v>0.00104820553847445</v>
      </c>
      <c r="BD54" s="34" t="n">
        <v>0.000297641051980391</v>
      </c>
      <c r="BE54" s="34" t="n">
        <v>0.00442682110891714</v>
      </c>
      <c r="BF54" s="34" t="n">
        <v>0.000116193386617144</v>
      </c>
      <c r="BG54" s="34" t="n">
        <v>0.0055406938901123</v>
      </c>
      <c r="BH54" s="34" t="n">
        <v>0.000246387780325124</v>
      </c>
      <c r="BI54" s="34" t="n">
        <v>0.00197736919764072</v>
      </c>
      <c r="BJ54" s="34" t="n">
        <v>0.000436761244056283</v>
      </c>
      <c r="BK54" s="34" t="n">
        <v>0.00480335315791578</v>
      </c>
      <c r="BL54" s="34" t="n">
        <v>0.000308376733523885</v>
      </c>
      <c r="BM54" s="34" t="n">
        <v>0.0123714734783387</v>
      </c>
      <c r="BN54" s="34" t="n">
        <v>0.00629722887136425</v>
      </c>
      <c r="BO54" s="34" t="n">
        <v>0.00204953715858644</v>
      </c>
      <c r="BP54" s="34" t="n">
        <v>0.0245582499717989</v>
      </c>
      <c r="BQ54" s="34" t="n">
        <v>0.0134483961253987</v>
      </c>
      <c r="BR54" s="34" t="n">
        <v>0.00145540018305243</v>
      </c>
      <c r="BS54" s="34" t="n">
        <v>0.0568180213635313</v>
      </c>
      <c r="BT54" s="34" t="n">
        <v>0</v>
      </c>
    </row>
    <row r="55" customFormat="false" ht="11.25" hidden="false" customHeight="true" outlineLevel="0" collapsed="false">
      <c r="B55" s="19" t="s">
        <v>161</v>
      </c>
      <c r="C55" s="20" t="s">
        <v>162</v>
      </c>
      <c r="D55" s="19" t="n">
        <v>49</v>
      </c>
      <c r="E55" s="33" t="n">
        <v>9.26215487238424E-007</v>
      </c>
      <c r="F55" s="33" t="n">
        <v>1.43444568784285E-007</v>
      </c>
      <c r="G55" s="33" t="n">
        <v>7.71127006243061E-006</v>
      </c>
      <c r="H55" s="33" t="n">
        <v>1.64198970768249E-006</v>
      </c>
      <c r="I55" s="33" t="n">
        <v>4.6150218527264E-006</v>
      </c>
      <c r="J55" s="33" t="n">
        <v>1.12386637684408E-005</v>
      </c>
      <c r="K55" s="33" t="n">
        <v>2.1402835075279E-005</v>
      </c>
      <c r="L55" s="33" t="n">
        <v>1.18065890687452E-005</v>
      </c>
      <c r="M55" s="33" t="n">
        <v>2.25345578811998E-005</v>
      </c>
      <c r="N55" s="33" t="n">
        <v>2.40384477162329E-005</v>
      </c>
      <c r="O55" s="33" t="n">
        <v>0.000230255319541893</v>
      </c>
      <c r="P55" s="33" t="n">
        <v>3.6247982950588E-007</v>
      </c>
      <c r="Q55" s="33" t="n">
        <v>2.51962867164205E-005</v>
      </c>
      <c r="R55" s="33" t="n">
        <v>1.85976238096853E-005</v>
      </c>
      <c r="S55" s="33" t="n">
        <v>9.08404744023095E-006</v>
      </c>
      <c r="T55" s="33" t="n">
        <v>3.0156643650904E-005</v>
      </c>
      <c r="U55" s="33" t="n">
        <v>0.000122868556437575</v>
      </c>
      <c r="V55" s="33" t="n">
        <v>0.00501581808569838</v>
      </c>
      <c r="W55" s="33" t="n">
        <v>1.26420524202093E-006</v>
      </c>
      <c r="X55" s="33" t="n">
        <v>1.65203125703991E-005</v>
      </c>
      <c r="Y55" s="33" t="n">
        <v>0.001297577378353</v>
      </c>
      <c r="Z55" s="33" t="n">
        <v>1.76903007594259E-005</v>
      </c>
      <c r="AA55" s="33" t="n">
        <v>8.49725278616843E-006</v>
      </c>
      <c r="AB55" s="33" t="n">
        <v>1.38393611707342E-005</v>
      </c>
      <c r="AC55" s="33" t="n">
        <v>1.74981628003692E-005</v>
      </c>
      <c r="AD55" s="33" t="n">
        <v>9.02304641776484E-006</v>
      </c>
      <c r="AE55" s="33" t="n">
        <v>1.1300151932417E-005</v>
      </c>
      <c r="AF55" s="33" t="n">
        <v>8.92285522608077E-007</v>
      </c>
      <c r="AG55" s="33" t="n">
        <v>1.40704193774661E-005</v>
      </c>
      <c r="AH55" s="33" t="n">
        <v>0.000122540205414662</v>
      </c>
      <c r="AI55" s="33" t="n">
        <v>1.14126597327546E-005</v>
      </c>
      <c r="AJ55" s="33" t="n">
        <v>9.83410075262811E-006</v>
      </c>
      <c r="AK55" s="33" t="n">
        <v>1.29025141440199E-005</v>
      </c>
      <c r="AL55" s="33" t="n">
        <v>4.25033295277883E-005</v>
      </c>
      <c r="AM55" s="33" t="n">
        <v>1.07958927762074E-005</v>
      </c>
      <c r="AN55" s="33" t="n">
        <v>2.84855564643344E-005</v>
      </c>
      <c r="AO55" s="33" t="n">
        <v>0.000213814714524177</v>
      </c>
      <c r="AP55" s="33" t="n">
        <v>0.000424145433531397</v>
      </c>
      <c r="AQ55" s="33" t="n">
        <v>0.00013320560497981</v>
      </c>
      <c r="AR55" s="33" t="n">
        <v>8.34427677699473E-006</v>
      </c>
      <c r="AS55" s="33" t="n">
        <v>8.91780267952992E-005</v>
      </c>
      <c r="AT55" s="33" t="n">
        <v>0.000849488456011658</v>
      </c>
      <c r="AU55" s="33" t="n">
        <v>2.03390137215198E-005</v>
      </c>
      <c r="AV55" s="33" t="n">
        <v>1.21330311987816E-005</v>
      </c>
      <c r="AW55" s="33" t="n">
        <v>0.000107286166908399</v>
      </c>
      <c r="AX55" s="33" t="n">
        <v>6.76905273060069E-005</v>
      </c>
      <c r="AY55" s="33" t="n">
        <v>0.00287894536674768</v>
      </c>
      <c r="AZ55" s="33" t="n">
        <v>5.41086728534954E-005</v>
      </c>
      <c r="BA55" s="33" t="n">
        <v>0.00791507969283138</v>
      </c>
      <c r="BB55" s="33" t="n">
        <v>0.000916818102706482</v>
      </c>
      <c r="BC55" s="33" t="n">
        <v>0.0011901277151036</v>
      </c>
      <c r="BD55" s="33" t="n">
        <v>0.000832740770793004</v>
      </c>
      <c r="BE55" s="33" t="n">
        <v>0.00423943577205471</v>
      </c>
      <c r="BF55" s="33" t="n">
        <v>0.00014370974168212</v>
      </c>
      <c r="BG55" s="33" t="n">
        <v>0.00208550637012233</v>
      </c>
      <c r="BH55" s="33" t="n">
        <v>0.00179300062004132</v>
      </c>
      <c r="BI55" s="33" t="n">
        <v>0.0389121658978964</v>
      </c>
      <c r="BJ55" s="33" t="n">
        <v>0.000713843285405128</v>
      </c>
      <c r="BK55" s="33" t="n">
        <v>0.000660904539648094</v>
      </c>
      <c r="BL55" s="33" t="n">
        <v>1.63936865868415E-005</v>
      </c>
      <c r="BM55" s="33" t="n">
        <v>0.00152283718667719</v>
      </c>
      <c r="BN55" s="33" t="n">
        <v>0.0108675329954104</v>
      </c>
      <c r="BO55" s="33" t="n">
        <v>0.0239566455136892</v>
      </c>
      <c r="BP55" s="33" t="n">
        <v>0.000264601949471521</v>
      </c>
      <c r="BQ55" s="33" t="n">
        <v>0.000856707291411157</v>
      </c>
      <c r="BR55" s="33" t="n">
        <v>0.000963026798472929</v>
      </c>
      <c r="BS55" s="33" t="n">
        <v>0.00206079082550965</v>
      </c>
      <c r="BT55" s="33" t="n">
        <v>0</v>
      </c>
    </row>
    <row r="56" customFormat="false" ht="11.25" hidden="false" customHeight="true" outlineLevel="0" collapsed="false">
      <c r="B56" s="24" t="s">
        <v>163</v>
      </c>
      <c r="C56" s="25" t="s">
        <v>164</v>
      </c>
      <c r="D56" s="24" t="n">
        <v>50</v>
      </c>
      <c r="E56" s="34" t="n">
        <v>1.31420394566523E-007</v>
      </c>
      <c r="F56" s="34" t="n">
        <v>1.74258361607046E-007</v>
      </c>
      <c r="G56" s="34" t="n">
        <v>6.22190976163284E-008</v>
      </c>
      <c r="H56" s="34" t="n">
        <v>1.05414827479158E-005</v>
      </c>
      <c r="I56" s="34" t="n">
        <v>2.22614870258987E-006</v>
      </c>
      <c r="J56" s="34" t="n">
        <v>5.70656181785297E-006</v>
      </c>
      <c r="K56" s="34" t="n">
        <v>1.92219894241888E-005</v>
      </c>
      <c r="L56" s="34" t="n">
        <v>0.0001552096040038</v>
      </c>
      <c r="M56" s="34" t="n">
        <v>4.38371041278566E-005</v>
      </c>
      <c r="N56" s="34" t="n">
        <v>0.000106125949291352</v>
      </c>
      <c r="O56" s="34" t="n">
        <v>1.54415274491148E-005</v>
      </c>
      <c r="P56" s="34" t="n">
        <v>8.83984313086391E-005</v>
      </c>
      <c r="Q56" s="34" t="n">
        <v>9.15456741003723E-005</v>
      </c>
      <c r="R56" s="34" t="n">
        <v>6.82556234297811E-005</v>
      </c>
      <c r="S56" s="34" t="n">
        <v>0.000141913304375746</v>
      </c>
      <c r="T56" s="34" t="n">
        <v>4.97881268991401E-005</v>
      </c>
      <c r="U56" s="34" t="n">
        <v>0.000137876183599945</v>
      </c>
      <c r="V56" s="34" t="n">
        <v>2.29491447900471E-005</v>
      </c>
      <c r="W56" s="34" t="n">
        <v>8.28427188299447E-006</v>
      </c>
      <c r="X56" s="34" t="n">
        <v>6.71451142430424E-005</v>
      </c>
      <c r="Y56" s="34" t="n">
        <v>4.33262106740169E-005</v>
      </c>
      <c r="Z56" s="34" t="n">
        <v>0.000114738978736561</v>
      </c>
      <c r="AA56" s="34" t="n">
        <v>1.45613984329333E-005</v>
      </c>
      <c r="AB56" s="34" t="n">
        <v>0.000133725383494809</v>
      </c>
      <c r="AC56" s="34" t="n">
        <v>9.44145916528782E-005</v>
      </c>
      <c r="AD56" s="34" t="n">
        <v>7.61142395165323E-005</v>
      </c>
      <c r="AE56" s="34" t="n">
        <v>8.59021348624974E-005</v>
      </c>
      <c r="AF56" s="34" t="n">
        <v>6.09801666521654E-005</v>
      </c>
      <c r="AG56" s="34" t="n">
        <v>7.71607769711687E-005</v>
      </c>
      <c r="AH56" s="34" t="n">
        <v>5.73803608495864E-005</v>
      </c>
      <c r="AI56" s="34" t="n">
        <v>8.30373177902813E-005</v>
      </c>
      <c r="AJ56" s="34" t="n">
        <v>0.000116497403968614</v>
      </c>
      <c r="AK56" s="34" t="n">
        <v>4.36555203536247E-006</v>
      </c>
      <c r="AL56" s="34" t="n">
        <v>2.88272434072745E-006</v>
      </c>
      <c r="AM56" s="34" t="n">
        <v>2.42435054740003E-005</v>
      </c>
      <c r="AN56" s="34" t="n">
        <v>5.28517004219878E-005</v>
      </c>
      <c r="AO56" s="34" t="n">
        <v>1.0369044366889E-006</v>
      </c>
      <c r="AP56" s="34" t="n">
        <v>1.02246439966676E-006</v>
      </c>
      <c r="AQ56" s="34" t="n">
        <v>2.28941385219029E-006</v>
      </c>
      <c r="AR56" s="34" t="n">
        <v>6.54809004893398E-007</v>
      </c>
      <c r="AS56" s="34" t="n">
        <v>6.48616880916699E-006</v>
      </c>
      <c r="AT56" s="34" t="n">
        <v>4.72615207358827E-005</v>
      </c>
      <c r="AU56" s="34" t="n">
        <v>5.2538714163193E-006</v>
      </c>
      <c r="AV56" s="34" t="n">
        <v>1.20716574664598E-006</v>
      </c>
      <c r="AW56" s="34" t="n">
        <v>1.05462143522613E-006</v>
      </c>
      <c r="AX56" s="34" t="n">
        <v>5.84592844583143E-006</v>
      </c>
      <c r="AY56" s="34" t="n">
        <v>0.000251796077725202</v>
      </c>
      <c r="AZ56" s="34" t="n">
        <v>5.7675280904204E-006</v>
      </c>
      <c r="BA56" s="34" t="n">
        <v>0.000710939211739796</v>
      </c>
      <c r="BB56" s="34" t="n">
        <v>0.11413526324965</v>
      </c>
      <c r="BC56" s="34" t="n">
        <v>0.0236320897222372</v>
      </c>
      <c r="BD56" s="34" t="n">
        <v>3.42525283278466E-005</v>
      </c>
      <c r="BE56" s="34" t="n">
        <v>8.89193089621418E-006</v>
      </c>
      <c r="BF56" s="34" t="n">
        <v>1.1437260070373E-006</v>
      </c>
      <c r="BG56" s="34" t="n">
        <v>2.06125332518808E-005</v>
      </c>
      <c r="BH56" s="34" t="n">
        <v>7.8385337430899E-006</v>
      </c>
      <c r="BI56" s="34" t="n">
        <v>0.347350117135265</v>
      </c>
      <c r="BJ56" s="34" t="n">
        <v>7.32064031340582E-006</v>
      </c>
      <c r="BK56" s="34" t="n">
        <v>0.000125310411807701</v>
      </c>
      <c r="BL56" s="34" t="n">
        <v>0.000140615268778705</v>
      </c>
      <c r="BM56" s="34" t="n">
        <v>1.07233891891175E-006</v>
      </c>
      <c r="BN56" s="34" t="n">
        <v>6.69193872805366E-007</v>
      </c>
      <c r="BO56" s="34" t="n">
        <v>1.27054519077481E-005</v>
      </c>
      <c r="BP56" s="34" t="n">
        <v>7.12373751037116E-007</v>
      </c>
      <c r="BQ56" s="34" t="n">
        <v>2.53405758062319E-006</v>
      </c>
      <c r="BR56" s="34" t="n">
        <v>0.00212222222916115</v>
      </c>
      <c r="BS56" s="34" t="n">
        <v>5.46183528775884E-006</v>
      </c>
      <c r="BT56" s="34" t="n">
        <v>0</v>
      </c>
    </row>
    <row r="57" customFormat="false" ht="11.25" hidden="false" customHeight="true" outlineLevel="0" collapsed="false">
      <c r="B57" s="19" t="s">
        <v>165</v>
      </c>
      <c r="C57" s="20" t="s">
        <v>166</v>
      </c>
      <c r="D57" s="19" t="n">
        <v>51</v>
      </c>
      <c r="E57" s="33" t="n">
        <v>3.30691770248557E-005</v>
      </c>
      <c r="F57" s="33" t="n">
        <v>3.81752286390558E-005</v>
      </c>
      <c r="G57" s="33" t="n">
        <v>0.000277012710357499</v>
      </c>
      <c r="H57" s="33" t="n">
        <v>0.00176462398630017</v>
      </c>
      <c r="I57" s="33" t="n">
        <v>0.00350514787920601</v>
      </c>
      <c r="J57" s="33" t="n">
        <v>0.00116813342467196</v>
      </c>
      <c r="K57" s="33" t="n">
        <v>0.00215658585328546</v>
      </c>
      <c r="L57" s="33" t="n">
        <v>0.00281310856017319</v>
      </c>
      <c r="M57" s="33" t="n">
        <v>0.00418996439558141</v>
      </c>
      <c r="N57" s="33" t="n">
        <v>0.00559513828352717</v>
      </c>
      <c r="O57" s="33" t="n">
        <v>0.00727405253742175</v>
      </c>
      <c r="P57" s="33" t="n">
        <v>0.00141764143965685</v>
      </c>
      <c r="Q57" s="33" t="n">
        <v>0.0056920136526955</v>
      </c>
      <c r="R57" s="33" t="n">
        <v>0.00971165793963552</v>
      </c>
      <c r="S57" s="33" t="n">
        <v>0.00444429374838704</v>
      </c>
      <c r="T57" s="33" t="n">
        <v>0.00298042862162455</v>
      </c>
      <c r="U57" s="33" t="n">
        <v>0.00476490421510547</v>
      </c>
      <c r="V57" s="33" t="n">
        <v>0.019899396837929</v>
      </c>
      <c r="W57" s="33" t="n">
        <v>0.000664538481828902</v>
      </c>
      <c r="X57" s="33" t="n">
        <v>0.00358156630777227</v>
      </c>
      <c r="Y57" s="33" t="n">
        <v>0.00227307436395292</v>
      </c>
      <c r="Z57" s="33" t="n">
        <v>0.004602591846818</v>
      </c>
      <c r="AA57" s="33" t="n">
        <v>0.000931314016955413</v>
      </c>
      <c r="AB57" s="33" t="n">
        <v>0.00439944877549915</v>
      </c>
      <c r="AC57" s="33" t="n">
        <v>0.00360756282332942</v>
      </c>
      <c r="AD57" s="33" t="n">
        <v>0.0056394561023463</v>
      </c>
      <c r="AE57" s="33" t="n">
        <v>0.00179607954752811</v>
      </c>
      <c r="AF57" s="33" t="n">
        <v>0.00133633665610455</v>
      </c>
      <c r="AG57" s="33" t="n">
        <v>0.00388917577534953</v>
      </c>
      <c r="AH57" s="33" t="n">
        <v>0.00837078967484341</v>
      </c>
      <c r="AI57" s="33" t="n">
        <v>0.00663029968925474</v>
      </c>
      <c r="AJ57" s="33" t="n">
        <v>0.00404153725338866</v>
      </c>
      <c r="AK57" s="33" t="n">
        <v>0.00929043241707871</v>
      </c>
      <c r="AL57" s="33" t="n">
        <v>0.0155710755114104</v>
      </c>
      <c r="AM57" s="33" t="n">
        <v>0.005448466990094</v>
      </c>
      <c r="AN57" s="33" t="n">
        <v>0.00683748710105637</v>
      </c>
      <c r="AO57" s="33" t="n">
        <v>0.00171083436398691</v>
      </c>
      <c r="AP57" s="33" t="n">
        <v>0.00179447123683103</v>
      </c>
      <c r="AQ57" s="33" t="n">
        <v>0.0035355364087189</v>
      </c>
      <c r="AR57" s="33" t="n">
        <v>0.00241013001380476</v>
      </c>
      <c r="AS57" s="33" t="n">
        <v>0.0085936527379318</v>
      </c>
      <c r="AT57" s="33" t="n">
        <v>0.00834900034306895</v>
      </c>
      <c r="AU57" s="33" t="n">
        <v>0.00354429794846235</v>
      </c>
      <c r="AV57" s="33" t="n">
        <v>0.00286331130253596</v>
      </c>
      <c r="AW57" s="33" t="n">
        <v>0.00277559982675039</v>
      </c>
      <c r="AX57" s="33" t="n">
        <v>0.00830957794541159</v>
      </c>
      <c r="AY57" s="33" t="n">
        <v>0.0112076688959952</v>
      </c>
      <c r="AZ57" s="33" t="n">
        <v>0.00334433607623508</v>
      </c>
      <c r="BA57" s="33" t="n">
        <v>0.00897405661447682</v>
      </c>
      <c r="BB57" s="33" t="n">
        <v>0.00988918159274921</v>
      </c>
      <c r="BC57" s="33" t="n">
        <v>0.151008059067855</v>
      </c>
      <c r="BD57" s="33" t="n">
        <v>0.0129932702207844</v>
      </c>
      <c r="BE57" s="33" t="n">
        <v>0.0201513461555685</v>
      </c>
      <c r="BF57" s="33" t="n">
        <v>0.00140048074533403</v>
      </c>
      <c r="BG57" s="33" t="n">
        <v>0.0161092673684444</v>
      </c>
      <c r="BH57" s="33" t="n">
        <v>0.00713759380295831</v>
      </c>
      <c r="BI57" s="33" t="n">
        <v>0.0245479480104459</v>
      </c>
      <c r="BJ57" s="33" t="n">
        <v>0.00371240564251013</v>
      </c>
      <c r="BK57" s="33" t="n">
        <v>0.0104222482454552</v>
      </c>
      <c r="BL57" s="33" t="n">
        <v>0.00952281164241156</v>
      </c>
      <c r="BM57" s="33" t="n">
        <v>0.00699391292595954</v>
      </c>
      <c r="BN57" s="33" t="n">
        <v>0.00493643586780038</v>
      </c>
      <c r="BO57" s="33" t="n">
        <v>0.0160505219774118</v>
      </c>
      <c r="BP57" s="33" t="n">
        <v>0.00389948230420226</v>
      </c>
      <c r="BQ57" s="33" t="n">
        <v>0.00707983150994</v>
      </c>
      <c r="BR57" s="33" t="n">
        <v>0.00808933948921596</v>
      </c>
      <c r="BS57" s="33" t="n">
        <v>0.0149057354895718</v>
      </c>
      <c r="BT57" s="33" t="n">
        <v>0</v>
      </c>
    </row>
    <row r="58" customFormat="false" ht="11.25" hidden="false" customHeight="true" outlineLevel="0" collapsed="false">
      <c r="B58" s="24" t="s">
        <v>167</v>
      </c>
      <c r="C58" s="25" t="s">
        <v>168</v>
      </c>
      <c r="D58" s="24" t="n">
        <v>52</v>
      </c>
      <c r="E58" s="34" t="n">
        <v>5.08061312562218E-005</v>
      </c>
      <c r="F58" s="34" t="n">
        <v>7.1966545849753E-005</v>
      </c>
      <c r="G58" s="34" t="n">
        <v>4.22634767059212E-005</v>
      </c>
      <c r="H58" s="34" t="n">
        <v>5.46372314464299E-005</v>
      </c>
      <c r="I58" s="34" t="n">
        <v>0.000270807056434252</v>
      </c>
      <c r="J58" s="34" t="n">
        <v>0.0022635525096518</v>
      </c>
      <c r="K58" s="34" t="n">
        <v>0.001734608552538</v>
      </c>
      <c r="L58" s="34" t="n">
        <v>0.00155348128382456</v>
      </c>
      <c r="M58" s="34" t="n">
        <v>0.000199302140622716</v>
      </c>
      <c r="N58" s="34" t="n">
        <v>0.00271953419344945</v>
      </c>
      <c r="O58" s="34" t="n">
        <v>0.000810198113697275</v>
      </c>
      <c r="P58" s="34" t="n">
        <v>0.00215593694780855</v>
      </c>
      <c r="Q58" s="34" t="n">
        <v>0.000865757423191325</v>
      </c>
      <c r="R58" s="34" t="n">
        <v>0.000688918188161144</v>
      </c>
      <c r="S58" s="34" t="n">
        <v>0.000277432289557481</v>
      </c>
      <c r="T58" s="34" t="n">
        <v>0.000310373430894873</v>
      </c>
      <c r="U58" s="34" t="n">
        <v>0.00159107978614729</v>
      </c>
      <c r="V58" s="34" t="n">
        <v>0.000240750062329135</v>
      </c>
      <c r="W58" s="34" t="n">
        <v>0.000110824105248763</v>
      </c>
      <c r="X58" s="34" t="n">
        <v>4.91782635114443E-005</v>
      </c>
      <c r="Y58" s="34" t="n">
        <v>0.00213652828165684</v>
      </c>
      <c r="Z58" s="34" t="n">
        <v>0.00300048810324536</v>
      </c>
      <c r="AA58" s="34" t="n">
        <v>0.000442776497302211</v>
      </c>
      <c r="AB58" s="34" t="n">
        <v>0.00541697115653319</v>
      </c>
      <c r="AC58" s="34" t="n">
        <v>0.00112616743162154</v>
      </c>
      <c r="AD58" s="34" t="n">
        <v>0.000820845008522674</v>
      </c>
      <c r="AE58" s="34" t="n">
        <v>0.00137391046147516</v>
      </c>
      <c r="AF58" s="34" t="n">
        <v>0.000382036853072678</v>
      </c>
      <c r="AG58" s="34" t="n">
        <v>0.000782341573043442</v>
      </c>
      <c r="AH58" s="34" t="n">
        <v>0.00228471044409479</v>
      </c>
      <c r="AI58" s="34" t="n">
        <v>0.00382334047927866</v>
      </c>
      <c r="AJ58" s="34" t="n">
        <v>0.00118622937014789</v>
      </c>
      <c r="AK58" s="34" t="n">
        <v>0.0040800108486029</v>
      </c>
      <c r="AL58" s="34" t="n">
        <v>0.0011062849422052</v>
      </c>
      <c r="AM58" s="34" t="n">
        <v>0.00138614944493022</v>
      </c>
      <c r="AN58" s="34" t="n">
        <v>0.00127398499363079</v>
      </c>
      <c r="AO58" s="34" t="n">
        <v>0.000934402813545945</v>
      </c>
      <c r="AP58" s="34" t="n">
        <v>0.00325066130852435</v>
      </c>
      <c r="AQ58" s="34" t="n">
        <v>0.00361300149032805</v>
      </c>
      <c r="AR58" s="34" t="n">
        <v>0.000701427581662113</v>
      </c>
      <c r="AS58" s="34" t="n">
        <v>0.00246015123937321</v>
      </c>
      <c r="AT58" s="34" t="n">
        <v>0.00660268828477855</v>
      </c>
      <c r="AU58" s="34" t="n">
        <v>0.00239290446813511</v>
      </c>
      <c r="AV58" s="34" t="n">
        <v>8.10669674937362E-005</v>
      </c>
      <c r="AW58" s="34" t="n">
        <v>0.0214033333515687</v>
      </c>
      <c r="AX58" s="34" t="n">
        <v>0.00767904629651337</v>
      </c>
      <c r="AY58" s="34" t="n">
        <v>0.00268507711038295</v>
      </c>
      <c r="AZ58" s="34" t="n">
        <v>0.000311186252528163</v>
      </c>
      <c r="BA58" s="34" t="n">
        <v>0.0230268665365002</v>
      </c>
      <c r="BB58" s="34" t="n">
        <v>0.0202030804007078</v>
      </c>
      <c r="BC58" s="34" t="n">
        <v>0.0140924489427143</v>
      </c>
      <c r="BD58" s="34" t="n">
        <v>0.0493133491420046</v>
      </c>
      <c r="BE58" s="34" t="n">
        <v>0.0221956812021302</v>
      </c>
      <c r="BF58" s="34" t="n">
        <v>0.000577488300950204</v>
      </c>
      <c r="BG58" s="34" t="n">
        <v>0.0101840361597507</v>
      </c>
      <c r="BH58" s="34" t="n">
        <v>0.000848042867072845</v>
      </c>
      <c r="BI58" s="34" t="n">
        <v>0.0274616736098193</v>
      </c>
      <c r="BJ58" s="34" t="n">
        <v>0.00760156703241189</v>
      </c>
      <c r="BK58" s="34" t="n">
        <v>0.00394727305007589</v>
      </c>
      <c r="BL58" s="34" t="n">
        <v>0.00347546278243323</v>
      </c>
      <c r="BM58" s="34" t="n">
        <v>0.0120404643254089</v>
      </c>
      <c r="BN58" s="34" t="n">
        <v>0.004342319531592</v>
      </c>
      <c r="BO58" s="34" t="n">
        <v>0.00372553924912851</v>
      </c>
      <c r="BP58" s="34" t="n">
        <v>0.0109403884083203</v>
      </c>
      <c r="BQ58" s="34" t="n">
        <v>2.46002461141347E-006</v>
      </c>
      <c r="BR58" s="34" t="n">
        <v>0.00303603874637293</v>
      </c>
      <c r="BS58" s="34" t="n">
        <v>0.00801340756206062</v>
      </c>
      <c r="BT58" s="34" t="n">
        <v>0</v>
      </c>
    </row>
    <row r="59" customFormat="false" ht="11.25" hidden="false" customHeight="true" outlineLevel="0" collapsed="false">
      <c r="B59" s="19" t="s">
        <v>169</v>
      </c>
      <c r="C59" s="20" t="s">
        <v>170</v>
      </c>
      <c r="D59" s="19" t="n">
        <v>53</v>
      </c>
      <c r="E59" s="33" t="n">
        <v>0.0160992464620306</v>
      </c>
      <c r="F59" s="33" t="n">
        <v>0.0148120471685589</v>
      </c>
      <c r="G59" s="33" t="n">
        <v>0.0125028049129315</v>
      </c>
      <c r="H59" s="33" t="n">
        <v>0.0289539587692553</v>
      </c>
      <c r="I59" s="33" t="n">
        <v>0.0218015401377931</v>
      </c>
      <c r="J59" s="33" t="n">
        <v>0.0262177548100673</v>
      </c>
      <c r="K59" s="33" t="n">
        <v>0.0308017204942569</v>
      </c>
      <c r="L59" s="33" t="n">
        <v>0.0226070964301193</v>
      </c>
      <c r="M59" s="33" t="n">
        <v>0.0294454893293923</v>
      </c>
      <c r="N59" s="33" t="n">
        <v>0.0209859416646495</v>
      </c>
      <c r="O59" s="33" t="n">
        <v>0.0205890370454919</v>
      </c>
      <c r="P59" s="33" t="n">
        <v>0.0240154897237071</v>
      </c>
      <c r="Q59" s="33" t="n">
        <v>0.0194577633047417</v>
      </c>
      <c r="R59" s="33" t="n">
        <v>0.0160023423686251</v>
      </c>
      <c r="S59" s="33" t="n">
        <v>0.0189564279771069</v>
      </c>
      <c r="T59" s="33" t="n">
        <v>0.0184839525661223</v>
      </c>
      <c r="U59" s="33" t="n">
        <v>0.0272003300730284</v>
      </c>
      <c r="V59" s="33" t="n">
        <v>0.0184398432781832</v>
      </c>
      <c r="W59" s="33" t="n">
        <v>0.00753803070115714</v>
      </c>
      <c r="X59" s="33" t="n">
        <v>0.0268625971778193</v>
      </c>
      <c r="Y59" s="33" t="n">
        <v>0.0252174617293055</v>
      </c>
      <c r="Z59" s="33" t="n">
        <v>0.0209781457438262</v>
      </c>
      <c r="AA59" s="33" t="n">
        <v>0.0205480089041224</v>
      </c>
      <c r="AB59" s="33" t="n">
        <v>0.0164497113331744</v>
      </c>
      <c r="AC59" s="33" t="n">
        <v>0.0190761864890098</v>
      </c>
      <c r="AD59" s="33" t="n">
        <v>0.0231092900338529</v>
      </c>
      <c r="AE59" s="33" t="n">
        <v>0.0276644775531473</v>
      </c>
      <c r="AF59" s="33" t="n">
        <v>0.022643277831227</v>
      </c>
      <c r="AG59" s="33" t="n">
        <v>0.0179683723519354</v>
      </c>
      <c r="AH59" s="33" t="n">
        <v>0.0177511898603338</v>
      </c>
      <c r="AI59" s="33" t="n">
        <v>0.0208906536951069</v>
      </c>
      <c r="AJ59" s="33" t="n">
        <v>0.0185824260696709</v>
      </c>
      <c r="AK59" s="33" t="n">
        <v>0.0189924590378517</v>
      </c>
      <c r="AL59" s="33" t="n">
        <v>0.0152921846238423</v>
      </c>
      <c r="AM59" s="33" t="n">
        <v>0.0214736248656956</v>
      </c>
      <c r="AN59" s="33" t="n">
        <v>0.0143994030313455</v>
      </c>
      <c r="AO59" s="33" t="n">
        <v>0.0100185383925519</v>
      </c>
      <c r="AP59" s="33" t="n">
        <v>0.0248929136031186</v>
      </c>
      <c r="AQ59" s="33" t="n">
        <v>0.01711964235375</v>
      </c>
      <c r="AR59" s="33" t="n">
        <v>0.0151733805438866</v>
      </c>
      <c r="AS59" s="33" t="n">
        <v>0.0190430065225829</v>
      </c>
      <c r="AT59" s="33" t="n">
        <v>0.0280853378190772</v>
      </c>
      <c r="AU59" s="33" t="n">
        <v>0.0253590898548256</v>
      </c>
      <c r="AV59" s="33" t="n">
        <v>0.0294274152338115</v>
      </c>
      <c r="AW59" s="33" t="n">
        <v>0.0338043827494127</v>
      </c>
      <c r="AX59" s="33" t="n">
        <v>0.0284237938357437</v>
      </c>
      <c r="AY59" s="33" t="n">
        <v>0.0244102233507522</v>
      </c>
      <c r="AZ59" s="33" t="n">
        <v>0.0136989793032147</v>
      </c>
      <c r="BA59" s="33" t="n">
        <v>0.0227082648489495</v>
      </c>
      <c r="BB59" s="33" t="n">
        <v>0.0242502885621649</v>
      </c>
      <c r="BC59" s="33" t="n">
        <v>0.0322073781443589</v>
      </c>
      <c r="BD59" s="33" t="n">
        <v>0.0181062711914229</v>
      </c>
      <c r="BE59" s="33" t="n">
        <v>0.119005502240929</v>
      </c>
      <c r="BF59" s="33" t="n">
        <v>0.0301106654360993</v>
      </c>
      <c r="BG59" s="33" t="n">
        <v>0.0231294045130272</v>
      </c>
      <c r="BH59" s="33" t="n">
        <v>0.0196683698947726</v>
      </c>
      <c r="BI59" s="33" t="n">
        <v>0.00841812602113427</v>
      </c>
      <c r="BJ59" s="33" t="n">
        <v>0.0302166257286636</v>
      </c>
      <c r="BK59" s="33" t="n">
        <v>0.021380475127975</v>
      </c>
      <c r="BL59" s="33" t="n">
        <v>0.0239200814858343</v>
      </c>
      <c r="BM59" s="33" t="n">
        <v>0.0729603025942632</v>
      </c>
      <c r="BN59" s="33" t="n">
        <v>0.00127018279532107</v>
      </c>
      <c r="BO59" s="33" t="n">
        <v>0.0158485491161931</v>
      </c>
      <c r="BP59" s="33" t="n">
        <v>0.00221851809314438</v>
      </c>
      <c r="BQ59" s="33" t="n">
        <v>0.0248978058552749</v>
      </c>
      <c r="BR59" s="33" t="n">
        <v>0.0284852685154144</v>
      </c>
      <c r="BS59" s="33" t="n">
        <v>0.0195251681071224</v>
      </c>
      <c r="BT59" s="33" t="n">
        <v>0</v>
      </c>
    </row>
    <row r="60" customFormat="false" ht="11.25" hidden="false" customHeight="true" outlineLevel="0" collapsed="false">
      <c r="B60" s="24" t="s">
        <v>171</v>
      </c>
      <c r="C60" s="25" t="s">
        <v>172</v>
      </c>
      <c r="D60" s="24" t="n">
        <v>54</v>
      </c>
      <c r="E60" s="34" t="n">
        <v>2.46705031501595E-005</v>
      </c>
      <c r="F60" s="34" t="n">
        <v>2.4960968701701E-005</v>
      </c>
      <c r="G60" s="34" t="n">
        <v>0.000170744222262078</v>
      </c>
      <c r="H60" s="34" t="n">
        <v>0.00088906670728695</v>
      </c>
      <c r="I60" s="34" t="n">
        <v>0.00111251248117638</v>
      </c>
      <c r="J60" s="34" t="n">
        <v>0.000270232900821642</v>
      </c>
      <c r="K60" s="34" t="n">
        <v>0.000985442039303649</v>
      </c>
      <c r="L60" s="34" t="n">
        <v>0.0017165128581167</v>
      </c>
      <c r="M60" s="34" t="n">
        <v>0.00237575468060398</v>
      </c>
      <c r="N60" s="34" t="n">
        <v>0.00128501576102901</v>
      </c>
      <c r="O60" s="34" t="n">
        <v>0.000654593567717421</v>
      </c>
      <c r="P60" s="34" t="n">
        <v>0.00134667451999772</v>
      </c>
      <c r="Q60" s="34" t="n">
        <v>0.00464647923855205</v>
      </c>
      <c r="R60" s="34" t="n">
        <v>0.00440989021230294</v>
      </c>
      <c r="S60" s="34" t="n">
        <v>0.00182633148349338</v>
      </c>
      <c r="T60" s="34" t="n">
        <v>0.000759824381422173</v>
      </c>
      <c r="U60" s="34" t="n">
        <v>0.0013582289768049</v>
      </c>
      <c r="V60" s="34" t="n">
        <v>0.00184370247928763</v>
      </c>
      <c r="W60" s="34" t="n">
        <v>0.000318179841468023</v>
      </c>
      <c r="X60" s="34" t="n">
        <v>0.00311134103310763</v>
      </c>
      <c r="Y60" s="34" t="n">
        <v>0.000897682272833812</v>
      </c>
      <c r="Z60" s="34" t="n">
        <v>0.00115033275604214</v>
      </c>
      <c r="AA60" s="34" t="n">
        <v>0.00297675181708697</v>
      </c>
      <c r="AB60" s="34" t="n">
        <v>0.00287786323335788</v>
      </c>
      <c r="AC60" s="34" t="n">
        <v>0.00266668994807986</v>
      </c>
      <c r="AD60" s="34" t="n">
        <v>0.00155911332166697</v>
      </c>
      <c r="AE60" s="34" t="n">
        <v>0.00185089796262634</v>
      </c>
      <c r="AF60" s="34" t="n">
        <v>0.000165391687805268</v>
      </c>
      <c r="AG60" s="34" t="n">
        <v>0.00148175996885554</v>
      </c>
      <c r="AH60" s="34" t="n">
        <v>0.00158435583506299</v>
      </c>
      <c r="AI60" s="34" t="n">
        <v>0.00106606195384513</v>
      </c>
      <c r="AJ60" s="34" t="n">
        <v>0.00120330541965223</v>
      </c>
      <c r="AK60" s="34" t="n">
        <v>0.000526736765779299</v>
      </c>
      <c r="AL60" s="34" t="n">
        <v>0.00159693406380209</v>
      </c>
      <c r="AM60" s="34" t="n">
        <v>0.00103358248161743</v>
      </c>
      <c r="AN60" s="34" t="n">
        <v>0.00227765497495171</v>
      </c>
      <c r="AO60" s="34" t="n">
        <v>0.000607923453548228</v>
      </c>
      <c r="AP60" s="34" t="n">
        <v>0.00280588911443723</v>
      </c>
      <c r="AQ60" s="34" t="n">
        <v>0.00364613423696143</v>
      </c>
      <c r="AR60" s="34" t="n">
        <v>0.00175466000453856</v>
      </c>
      <c r="AS60" s="34" t="n">
        <v>0.0177996128393082</v>
      </c>
      <c r="AT60" s="34" t="n">
        <v>0.027140931527496</v>
      </c>
      <c r="AU60" s="34" t="n">
        <v>0.00272368701217034</v>
      </c>
      <c r="AV60" s="34" t="n">
        <v>0.00331275419363198</v>
      </c>
      <c r="AW60" s="34" t="n">
        <v>0.00289413578205521</v>
      </c>
      <c r="AX60" s="34" t="n">
        <v>0.016042638741538</v>
      </c>
      <c r="AY60" s="34" t="n">
        <v>0.032621575965745</v>
      </c>
      <c r="AZ60" s="34" t="n">
        <v>0.0158274892420664</v>
      </c>
      <c r="BA60" s="34" t="n">
        <v>0.00951365309251144</v>
      </c>
      <c r="BB60" s="34" t="n">
        <v>0.00953681051259346</v>
      </c>
      <c r="BC60" s="34" t="n">
        <v>0.0108515237460716</v>
      </c>
      <c r="BD60" s="34" t="n">
        <v>0.00887749074897487</v>
      </c>
      <c r="BE60" s="34" t="n">
        <v>0.00910841007004343</v>
      </c>
      <c r="BF60" s="34" t="n">
        <v>0.00313866023510515</v>
      </c>
      <c r="BG60" s="34" t="n">
        <v>0.0182630985534628</v>
      </c>
      <c r="BH60" s="34" t="n">
        <v>0.00980808036572802</v>
      </c>
      <c r="BI60" s="34" t="n">
        <v>0.00731599584905195</v>
      </c>
      <c r="BJ60" s="34" t="n">
        <v>0.0200896040710957</v>
      </c>
      <c r="BK60" s="34" t="n">
        <v>0.0112845439463232</v>
      </c>
      <c r="BL60" s="34" t="n">
        <v>0.00525564562696218</v>
      </c>
      <c r="BM60" s="34" t="n">
        <v>0.00294275683392255</v>
      </c>
      <c r="BN60" s="34" t="n">
        <v>0.00183642951653343</v>
      </c>
      <c r="BO60" s="34" t="n">
        <v>0.0325454123340923</v>
      </c>
      <c r="BP60" s="34" t="n">
        <v>0.00195492552513058</v>
      </c>
      <c r="BQ60" s="34" t="n">
        <v>0.00695406567030121</v>
      </c>
      <c r="BR60" s="34" t="n">
        <v>0.0681530029814454</v>
      </c>
      <c r="BS60" s="34" t="n">
        <v>0.0133564236005856</v>
      </c>
      <c r="BT60" s="34" t="n">
        <v>0</v>
      </c>
    </row>
    <row r="61" customFormat="false" ht="11.25" hidden="false" customHeight="true" outlineLevel="0" collapsed="false">
      <c r="B61" s="19" t="s">
        <v>173</v>
      </c>
      <c r="C61" s="20" t="s">
        <v>174</v>
      </c>
      <c r="D61" s="19" t="n">
        <v>55</v>
      </c>
      <c r="E61" s="33" t="n">
        <v>6.46869601039728E-005</v>
      </c>
      <c r="F61" s="33" t="n">
        <v>7.63547352067509E-005</v>
      </c>
      <c r="G61" s="33" t="n">
        <v>0.00143220238667931</v>
      </c>
      <c r="H61" s="33" t="n">
        <v>0.026124669431367</v>
      </c>
      <c r="I61" s="33" t="n">
        <v>0.0395131296919986</v>
      </c>
      <c r="J61" s="33" t="n">
        <v>0.0121701429121283</v>
      </c>
      <c r="K61" s="33" t="n">
        <v>0.0158679322575919</v>
      </c>
      <c r="L61" s="33" t="n">
        <v>0.0156373518319119</v>
      </c>
      <c r="M61" s="33" t="n">
        <v>0.0145472399562458</v>
      </c>
      <c r="N61" s="33" t="n">
        <v>0.0257931120430592</v>
      </c>
      <c r="O61" s="33" t="n">
        <v>0.0177588452974376</v>
      </c>
      <c r="P61" s="33" t="n">
        <v>0.0416151471464064</v>
      </c>
      <c r="Q61" s="33" t="n">
        <v>0.00787281074073765</v>
      </c>
      <c r="R61" s="33" t="n">
        <v>0.00381600962376525</v>
      </c>
      <c r="S61" s="33" t="n">
        <v>0.00513800639134698</v>
      </c>
      <c r="T61" s="33" t="n">
        <v>0.0062809245388871</v>
      </c>
      <c r="U61" s="33" t="n">
        <v>0.0183423826955592</v>
      </c>
      <c r="V61" s="33" t="n">
        <v>0.00541277250555551</v>
      </c>
      <c r="W61" s="33" t="n">
        <v>0.0121411538408245</v>
      </c>
      <c r="X61" s="33" t="n">
        <v>0.0136223993683845</v>
      </c>
      <c r="Y61" s="33" t="n">
        <v>0.0262525931487436</v>
      </c>
      <c r="Z61" s="33" t="n">
        <v>0.0568291988172305</v>
      </c>
      <c r="AA61" s="33" t="n">
        <v>0.0319642764946081</v>
      </c>
      <c r="AB61" s="33" t="n">
        <v>0.0676727615488963</v>
      </c>
      <c r="AC61" s="33" t="n">
        <v>0.0127334913246482</v>
      </c>
      <c r="AD61" s="33" t="n">
        <v>0.0200687780664109</v>
      </c>
      <c r="AE61" s="33" t="n">
        <v>0.0119552844472971</v>
      </c>
      <c r="AF61" s="33" t="n">
        <v>0.0119727917736086</v>
      </c>
      <c r="AG61" s="33" t="n">
        <v>0.00754506710139092</v>
      </c>
      <c r="AH61" s="33" t="n">
        <v>0.0266856697289084</v>
      </c>
      <c r="AI61" s="33" t="n">
        <v>0.0357397045200626</v>
      </c>
      <c r="AJ61" s="33" t="n">
        <v>0.0101276336517179</v>
      </c>
      <c r="AK61" s="33" t="n">
        <v>0.0126695356073656</v>
      </c>
      <c r="AL61" s="33" t="n">
        <v>0.0102852693892505</v>
      </c>
      <c r="AM61" s="33" t="n">
        <v>0.00591775408007573</v>
      </c>
      <c r="AN61" s="33" t="n">
        <v>0.00656774936913394</v>
      </c>
      <c r="AO61" s="33" t="n">
        <v>0.00480216339508793</v>
      </c>
      <c r="AP61" s="33" t="n">
        <v>0.0030415338874828</v>
      </c>
      <c r="AQ61" s="33" t="n">
        <v>0.0167056352585184</v>
      </c>
      <c r="AR61" s="33" t="n">
        <v>0.00708497581151213</v>
      </c>
      <c r="AS61" s="33" t="n">
        <v>0.0334894709133545</v>
      </c>
      <c r="AT61" s="33" t="n">
        <v>0.0207856450942104</v>
      </c>
      <c r="AU61" s="33" t="n">
        <v>0.0062742389463481</v>
      </c>
      <c r="AV61" s="33" t="n">
        <v>0.00451410098142539</v>
      </c>
      <c r="AW61" s="33" t="n">
        <v>0.0142980503796795</v>
      </c>
      <c r="AX61" s="33" t="n">
        <v>0.0140593347194098</v>
      </c>
      <c r="AY61" s="33" t="n">
        <v>0.00811545077460754</v>
      </c>
      <c r="AZ61" s="33" t="n">
        <v>0.00311253899649631</v>
      </c>
      <c r="BA61" s="33" t="n">
        <v>0.0205694539298018</v>
      </c>
      <c r="BB61" s="33" t="n">
        <v>0.0504244925690893</v>
      </c>
      <c r="BC61" s="33" t="n">
        <v>0.0148474363376292</v>
      </c>
      <c r="BD61" s="33" t="n">
        <v>0.0191687091395555</v>
      </c>
      <c r="BE61" s="33" t="n">
        <v>0.0278865735691474</v>
      </c>
      <c r="BF61" s="33" t="n">
        <v>0.00347047540082441</v>
      </c>
      <c r="BG61" s="33" t="n">
        <v>0.0783421772505052</v>
      </c>
      <c r="BH61" s="33" t="n">
        <v>0.0533634488946618</v>
      </c>
      <c r="BI61" s="33" t="n">
        <v>0.0030452780217435</v>
      </c>
      <c r="BJ61" s="33" t="n">
        <v>0.0187791665986576</v>
      </c>
      <c r="BK61" s="33" t="n">
        <v>0.0163092674273059</v>
      </c>
      <c r="BL61" s="33" t="n">
        <v>0.0267210979989517</v>
      </c>
      <c r="BM61" s="33" t="n">
        <v>0.00324067273461832</v>
      </c>
      <c r="BN61" s="33" t="n">
        <v>0.000315770394565644</v>
      </c>
      <c r="BO61" s="33" t="n">
        <v>0.0185493816372151</v>
      </c>
      <c r="BP61" s="33" t="n">
        <v>0.00113715801702117</v>
      </c>
      <c r="BQ61" s="33" t="n">
        <v>0.00711453511555222</v>
      </c>
      <c r="BR61" s="33" t="n">
        <v>0.0228969137632684</v>
      </c>
      <c r="BS61" s="33" t="n">
        <v>0.0226530742542269</v>
      </c>
      <c r="BT61" s="33" t="n">
        <v>0</v>
      </c>
    </row>
    <row r="62" customFormat="false" ht="11.25" hidden="false" customHeight="true" outlineLevel="0" collapsed="false">
      <c r="B62" s="24" t="s">
        <v>175</v>
      </c>
      <c r="C62" s="25" t="s">
        <v>176</v>
      </c>
      <c r="D62" s="24" t="n">
        <v>56</v>
      </c>
      <c r="E62" s="34" t="n">
        <v>0.00221602109652092</v>
      </c>
      <c r="F62" s="34" t="n">
        <v>0.000188084755538016</v>
      </c>
      <c r="G62" s="34" t="n">
        <v>3.28745200817785E-006</v>
      </c>
      <c r="H62" s="34" t="n">
        <v>0.00347885969330032</v>
      </c>
      <c r="I62" s="34" t="n">
        <v>0.0150450884068049</v>
      </c>
      <c r="J62" s="34" t="n">
        <v>0.0048896220345565</v>
      </c>
      <c r="K62" s="34" t="n">
        <v>0.00933118438426785</v>
      </c>
      <c r="L62" s="34" t="n">
        <v>0.00499794819109948</v>
      </c>
      <c r="M62" s="34" t="n">
        <v>0.00692641844258571</v>
      </c>
      <c r="N62" s="34" t="n">
        <v>0.00442884340336829</v>
      </c>
      <c r="O62" s="34" t="n">
        <v>0.00341627768224265</v>
      </c>
      <c r="P62" s="34" t="n">
        <v>0.00925801343873608</v>
      </c>
      <c r="Q62" s="34" t="n">
        <v>0.00386601768566924</v>
      </c>
      <c r="R62" s="34" t="n">
        <v>0.00269722659632857</v>
      </c>
      <c r="S62" s="34" t="n">
        <v>0.00315290729729368</v>
      </c>
      <c r="T62" s="34" t="n">
        <v>0.00157804042533716</v>
      </c>
      <c r="U62" s="34" t="n">
        <v>0.0068032060017512</v>
      </c>
      <c r="V62" s="34" t="n">
        <v>0.00216035238307084</v>
      </c>
      <c r="W62" s="34" t="n">
        <v>0.000699356339988865</v>
      </c>
      <c r="X62" s="34" t="n">
        <v>0.0067860481600945</v>
      </c>
      <c r="Y62" s="34" t="n">
        <v>0.00610860707112299</v>
      </c>
      <c r="Z62" s="34" t="n">
        <v>0.0105511204939105</v>
      </c>
      <c r="AA62" s="34" t="n">
        <v>0.0121674717617587</v>
      </c>
      <c r="AB62" s="34" t="n">
        <v>0.0174497707846834</v>
      </c>
      <c r="AC62" s="34" t="n">
        <v>0.00932579044153935</v>
      </c>
      <c r="AD62" s="34" t="n">
        <v>0.00723521890007504</v>
      </c>
      <c r="AE62" s="34" t="n">
        <v>0.004284079680544</v>
      </c>
      <c r="AF62" s="34" t="n">
        <v>0.00554457903300572</v>
      </c>
      <c r="AG62" s="34" t="n">
        <v>0.00457157246075349</v>
      </c>
      <c r="AH62" s="34" t="n">
        <v>0.008350388147312</v>
      </c>
      <c r="AI62" s="34" t="n">
        <v>0.00584517946076068</v>
      </c>
      <c r="AJ62" s="34" t="n">
        <v>0.0130610766035902</v>
      </c>
      <c r="AK62" s="34" t="n">
        <v>0.0112749315325843</v>
      </c>
      <c r="AL62" s="34" t="n">
        <v>0.00845872374103497</v>
      </c>
      <c r="AM62" s="34" t="n">
        <v>0.00410883760771349</v>
      </c>
      <c r="AN62" s="34" t="n">
        <v>0.00373927417382402</v>
      </c>
      <c r="AO62" s="34" t="n">
        <v>0.00273017654940147</v>
      </c>
      <c r="AP62" s="34" t="n">
        <v>0.0125029244117963</v>
      </c>
      <c r="AQ62" s="34" t="n">
        <v>0.00978057657739128</v>
      </c>
      <c r="AR62" s="34" t="n">
        <v>0.00836205023450051</v>
      </c>
      <c r="AS62" s="34" t="n">
        <v>0.000876914843584709</v>
      </c>
      <c r="AT62" s="34" t="n">
        <v>0.00199301899080428</v>
      </c>
      <c r="AU62" s="34" t="n">
        <v>0.00163509171319619</v>
      </c>
      <c r="AV62" s="34" t="n">
        <v>0.00116037618480113</v>
      </c>
      <c r="AW62" s="34" t="n">
        <v>2.12426124904006E-005</v>
      </c>
      <c r="AX62" s="34" t="n">
        <v>0.0448370294966922</v>
      </c>
      <c r="AY62" s="34" t="n">
        <v>0.000511187743054196</v>
      </c>
      <c r="AZ62" s="34" t="n">
        <v>0.000124648178693222</v>
      </c>
      <c r="BA62" s="34" t="n">
        <v>3.76164593108094E-005</v>
      </c>
      <c r="BB62" s="34" t="n">
        <v>5.02529505036337E-005</v>
      </c>
      <c r="BC62" s="34" t="n">
        <v>0.000120641824659966</v>
      </c>
      <c r="BD62" s="34" t="n">
        <v>0.00344469817509017</v>
      </c>
      <c r="BE62" s="34" t="n">
        <v>0.00165879346802286</v>
      </c>
      <c r="BF62" s="34" t="n">
        <v>6.18315371957737E-005</v>
      </c>
      <c r="BG62" s="34" t="n">
        <v>0.000131594509410813</v>
      </c>
      <c r="BH62" s="34" t="n">
        <v>0.0478029111243022</v>
      </c>
      <c r="BI62" s="34" t="n">
        <v>5.11973935787632E-005</v>
      </c>
      <c r="BJ62" s="34" t="n">
        <v>0.00225796659832816</v>
      </c>
      <c r="BK62" s="34" t="n">
        <v>0.000230213239304406</v>
      </c>
      <c r="BL62" s="34" t="n">
        <v>3.90777196482317E-005</v>
      </c>
      <c r="BM62" s="34" t="n">
        <v>0.00842784358931519</v>
      </c>
      <c r="BN62" s="34" t="n">
        <v>0.00335761302019902</v>
      </c>
      <c r="BO62" s="34" t="n">
        <v>0.00179765657064946</v>
      </c>
      <c r="BP62" s="34" t="n">
        <v>0.00614600018562688</v>
      </c>
      <c r="BQ62" s="34" t="n">
        <v>5.5090752427111E-005</v>
      </c>
      <c r="BR62" s="34" t="n">
        <v>0.000497975375508419</v>
      </c>
      <c r="BS62" s="34" t="n">
        <v>9.83398329069317E-005</v>
      </c>
      <c r="BT62" s="34" t="n">
        <v>0</v>
      </c>
    </row>
    <row r="63" customFormat="false" ht="11.25" hidden="false" customHeight="true" outlineLevel="0" collapsed="false">
      <c r="B63" s="19" t="s">
        <v>177</v>
      </c>
      <c r="C63" s="20" t="s">
        <v>178</v>
      </c>
      <c r="D63" s="19" t="n">
        <v>57</v>
      </c>
      <c r="E63" s="33" t="n">
        <v>4.86241557133014E-005</v>
      </c>
      <c r="F63" s="33" t="n">
        <v>0.0027256567037321</v>
      </c>
      <c r="G63" s="33" t="n">
        <v>0.00198066709660709</v>
      </c>
      <c r="H63" s="33" t="n">
        <v>0.00166172253424962</v>
      </c>
      <c r="I63" s="33" t="n">
        <v>0.00232093743880488</v>
      </c>
      <c r="J63" s="33" t="n">
        <v>8.08082856507418E-005</v>
      </c>
      <c r="K63" s="33" t="n">
        <v>8.11954157750029E-005</v>
      </c>
      <c r="L63" s="33" t="n">
        <v>0.00755791579309499</v>
      </c>
      <c r="M63" s="33" t="n">
        <v>0.00278271345955057</v>
      </c>
      <c r="N63" s="33" t="n">
        <v>0.0109396563135171</v>
      </c>
      <c r="O63" s="33" t="n">
        <v>0.0578523855391074</v>
      </c>
      <c r="P63" s="33" t="n">
        <v>0.0210526071055534</v>
      </c>
      <c r="Q63" s="33" t="n">
        <v>0.00199705312569228</v>
      </c>
      <c r="R63" s="33" t="n">
        <v>0.00514112228413043</v>
      </c>
      <c r="S63" s="33" t="n">
        <v>0.017081607830926</v>
      </c>
      <c r="T63" s="33" t="n">
        <v>0.000829805880570045</v>
      </c>
      <c r="U63" s="33" t="n">
        <v>0.00608505509832222</v>
      </c>
      <c r="V63" s="33" t="n">
        <v>0.00293424378148181</v>
      </c>
      <c r="W63" s="33" t="n">
        <v>0.000383535977155352</v>
      </c>
      <c r="X63" s="33" t="n">
        <v>0.00198151004382247</v>
      </c>
      <c r="Y63" s="33" t="n">
        <v>0.000758210297318774</v>
      </c>
      <c r="Z63" s="33" t="n">
        <v>0.00695337404867594</v>
      </c>
      <c r="AA63" s="33" t="n">
        <v>0.0277700208135977</v>
      </c>
      <c r="AB63" s="33" t="n">
        <v>0.0275814269270361</v>
      </c>
      <c r="AC63" s="33" t="n">
        <v>0.00434842349513714</v>
      </c>
      <c r="AD63" s="33" t="n">
        <v>0.00261438321445274</v>
      </c>
      <c r="AE63" s="33" t="n">
        <v>0.00175928457658388</v>
      </c>
      <c r="AF63" s="33" t="n">
        <v>0.000332277617535245</v>
      </c>
      <c r="AG63" s="33" t="n">
        <v>0.0037643090907853</v>
      </c>
      <c r="AH63" s="33" t="n">
        <v>0.0144166234132096</v>
      </c>
      <c r="AI63" s="33" t="n">
        <v>0.0088774426117034</v>
      </c>
      <c r="AJ63" s="33" t="n">
        <v>0.00324005845763946</v>
      </c>
      <c r="AK63" s="33" t="n">
        <v>0.0212379809344799</v>
      </c>
      <c r="AL63" s="33" t="n">
        <v>0.00148610422665854</v>
      </c>
      <c r="AM63" s="33" t="n">
        <v>0.00582939467700337</v>
      </c>
      <c r="AN63" s="33" t="n">
        <v>0.00473095869052591</v>
      </c>
      <c r="AO63" s="33" t="n">
        <v>0.00120053134869714</v>
      </c>
      <c r="AP63" s="33" t="n">
        <v>0.00898381120537981</v>
      </c>
      <c r="AQ63" s="33" t="n">
        <v>0.00305189480003641</v>
      </c>
      <c r="AR63" s="33" t="n">
        <v>0.00295788864147633</v>
      </c>
      <c r="AS63" s="33" t="n">
        <v>0.0158607784988788</v>
      </c>
      <c r="AT63" s="33" t="n">
        <v>0.0153089204170655</v>
      </c>
      <c r="AU63" s="33" t="n">
        <v>0.00184033491245541</v>
      </c>
      <c r="AV63" s="33" t="n">
        <v>0.00230401130064102</v>
      </c>
      <c r="AW63" s="33" t="n">
        <v>0.00624827278334075</v>
      </c>
      <c r="AX63" s="33" t="n">
        <v>0.00855196639705631</v>
      </c>
      <c r="AY63" s="33" t="n">
        <v>0.0107064698409524</v>
      </c>
      <c r="AZ63" s="33" t="n">
        <v>0.00287028736215532</v>
      </c>
      <c r="BA63" s="33" t="n">
        <v>0.0412124600785139</v>
      </c>
      <c r="BB63" s="33" t="n">
        <v>0.0443372184639082</v>
      </c>
      <c r="BC63" s="33" t="n">
        <v>0.0194346956705851</v>
      </c>
      <c r="BD63" s="33" t="n">
        <v>0.0130094429884468</v>
      </c>
      <c r="BE63" s="33" t="n">
        <v>0.0196302528594345</v>
      </c>
      <c r="BF63" s="33" t="n">
        <v>0.00154745910921237</v>
      </c>
      <c r="BG63" s="33" t="n">
        <v>0.021799526738248</v>
      </c>
      <c r="BH63" s="33" t="n">
        <v>0.00495522002182795</v>
      </c>
      <c r="BI63" s="33" t="n">
        <v>0.0144126436720467</v>
      </c>
      <c r="BJ63" s="33" t="n">
        <v>0.021233508148841</v>
      </c>
      <c r="BK63" s="33" t="n">
        <v>0.00705989111350002</v>
      </c>
      <c r="BL63" s="33" t="n">
        <v>0.00442727282826885</v>
      </c>
      <c r="BM63" s="33" t="n">
        <v>0.0053313964225313</v>
      </c>
      <c r="BN63" s="33" t="n">
        <v>0.00267144702952773</v>
      </c>
      <c r="BO63" s="33" t="n">
        <v>0.0241708811682974</v>
      </c>
      <c r="BP63" s="33" t="n">
        <v>0.00589599684874928</v>
      </c>
      <c r="BQ63" s="33" t="n">
        <v>0.000179640523443068</v>
      </c>
      <c r="BR63" s="33" t="n">
        <v>0.0329395631610374</v>
      </c>
      <c r="BS63" s="33" t="n">
        <v>0.0112704082018864</v>
      </c>
      <c r="BT63" s="33" t="n">
        <v>0</v>
      </c>
    </row>
    <row r="64" customFormat="false" ht="11.25" hidden="false" customHeight="true" outlineLevel="0" collapsed="false">
      <c r="B64" s="24" t="s">
        <v>179</v>
      </c>
      <c r="C64" s="25" t="s">
        <v>180</v>
      </c>
      <c r="D64" s="24" t="n">
        <v>58</v>
      </c>
      <c r="E64" s="34" t="n">
        <v>0.000624807729852168</v>
      </c>
      <c r="F64" s="34" t="n">
        <v>0.000272174323412499</v>
      </c>
      <c r="G64" s="34" t="n">
        <v>0.00196096608236219</v>
      </c>
      <c r="H64" s="34" t="n">
        <v>0.00609274984786047</v>
      </c>
      <c r="I64" s="34" t="n">
        <v>0.0211797421576506</v>
      </c>
      <c r="J64" s="34" t="n">
        <v>0.00687362144512261</v>
      </c>
      <c r="K64" s="34" t="n">
        <v>0.0085806867180042</v>
      </c>
      <c r="L64" s="34" t="n">
        <v>0.000751950253351557</v>
      </c>
      <c r="M64" s="34" t="n">
        <v>0.00367597702071303</v>
      </c>
      <c r="N64" s="34" t="n">
        <v>0.00195547533877471</v>
      </c>
      <c r="O64" s="34" t="n">
        <v>0.00252816368139526</v>
      </c>
      <c r="P64" s="34" t="n">
        <v>0.0013582541858091</v>
      </c>
      <c r="Q64" s="34" t="n">
        <v>0.000780864307975335</v>
      </c>
      <c r="R64" s="34" t="n">
        <v>0.000885603569440186</v>
      </c>
      <c r="S64" s="34" t="n">
        <v>0.000948466117748567</v>
      </c>
      <c r="T64" s="34" t="n">
        <v>0.0020840017765152</v>
      </c>
      <c r="U64" s="34" t="n">
        <v>0.00462733729833711</v>
      </c>
      <c r="V64" s="34" t="n">
        <v>0.00495973108108438</v>
      </c>
      <c r="W64" s="34" t="n">
        <v>0.000596686180897062</v>
      </c>
      <c r="X64" s="34" t="n">
        <v>0.00126755415846552</v>
      </c>
      <c r="Y64" s="34" t="n">
        <v>0.00163595079238643</v>
      </c>
      <c r="Z64" s="34" t="n">
        <v>0.00385825969092476</v>
      </c>
      <c r="AA64" s="34" t="n">
        <v>0.00117671481510377</v>
      </c>
      <c r="AB64" s="34" t="n">
        <v>0.00162815228508069</v>
      </c>
      <c r="AC64" s="34" t="n">
        <v>0.00239761534840989</v>
      </c>
      <c r="AD64" s="34" t="n">
        <v>0.00253666500324047</v>
      </c>
      <c r="AE64" s="34" t="n">
        <v>0.00389870373209936</v>
      </c>
      <c r="AF64" s="34" t="n">
        <v>0.00274149758102391</v>
      </c>
      <c r="AG64" s="34" t="n">
        <v>0.00286653014653806</v>
      </c>
      <c r="AH64" s="34" t="n">
        <v>0.0029419986920905</v>
      </c>
      <c r="AI64" s="34" t="n">
        <v>0.00146185351455525</v>
      </c>
      <c r="AJ64" s="34" t="n">
        <v>0.0025590790970291</v>
      </c>
      <c r="AK64" s="34" t="n">
        <v>0.00316673513902199</v>
      </c>
      <c r="AL64" s="34" t="n">
        <v>0.00263121871346916</v>
      </c>
      <c r="AM64" s="34" t="n">
        <v>0.00569676418311226</v>
      </c>
      <c r="AN64" s="34" t="n">
        <v>0.00169750031250176</v>
      </c>
      <c r="AO64" s="34" t="n">
        <v>0.0025294135394166</v>
      </c>
      <c r="AP64" s="34" t="n">
        <v>0.00152520934981288</v>
      </c>
      <c r="AQ64" s="34" t="n">
        <v>0.011829268405664</v>
      </c>
      <c r="AR64" s="34" t="n">
        <v>0.00362656897260974</v>
      </c>
      <c r="AS64" s="34" t="n">
        <v>0.00247355210700682</v>
      </c>
      <c r="AT64" s="34" t="n">
        <v>0.0033227065945311</v>
      </c>
      <c r="AU64" s="34" t="n">
        <v>0.00563258259469822</v>
      </c>
      <c r="AV64" s="34" t="n">
        <v>0.0329107536990567</v>
      </c>
      <c r="AW64" s="34" t="n">
        <v>0.0413743270061938</v>
      </c>
      <c r="AX64" s="34" t="n">
        <v>0.00804356690043978</v>
      </c>
      <c r="AY64" s="34" t="n">
        <v>0.00268651313331232</v>
      </c>
      <c r="AZ64" s="34" t="n">
        <v>0.00187252766472504</v>
      </c>
      <c r="BA64" s="34" t="n">
        <v>0.0119449306802072</v>
      </c>
      <c r="BB64" s="34" t="n">
        <v>0.00973503832278305</v>
      </c>
      <c r="BC64" s="34" t="n">
        <v>0.0113113583637691</v>
      </c>
      <c r="BD64" s="34" t="n">
        <v>0.00703670697764508</v>
      </c>
      <c r="BE64" s="34" t="n">
        <v>0.00143632640117402</v>
      </c>
      <c r="BF64" s="34" t="n">
        <v>0.000239217014963413</v>
      </c>
      <c r="BG64" s="34" t="n">
        <v>0.00186450559055696</v>
      </c>
      <c r="BH64" s="34" t="n">
        <v>0.00781496978159216</v>
      </c>
      <c r="BI64" s="34" t="n">
        <v>0.00120878220262879</v>
      </c>
      <c r="BJ64" s="34" t="n">
        <v>0.0167415145267573</v>
      </c>
      <c r="BK64" s="34" t="n">
        <v>0.00273914690348669</v>
      </c>
      <c r="BL64" s="34" t="n">
        <v>0.00431427588953756</v>
      </c>
      <c r="BM64" s="34" t="n">
        <v>0.00246134464922385</v>
      </c>
      <c r="BN64" s="34" t="n">
        <v>0.00239459847170475</v>
      </c>
      <c r="BO64" s="34" t="n">
        <v>0.00845684184299917</v>
      </c>
      <c r="BP64" s="34" t="n">
        <v>0.00483689966105788</v>
      </c>
      <c r="BQ64" s="34" t="n">
        <v>0.00217824844929281</v>
      </c>
      <c r="BR64" s="34" t="n">
        <v>0.00616578030652146</v>
      </c>
      <c r="BS64" s="34" t="n">
        <v>0.000697381884556188</v>
      </c>
      <c r="BT64" s="34" t="n">
        <v>0</v>
      </c>
    </row>
    <row r="65" customFormat="false" ht="11.25" hidden="false" customHeight="true" outlineLevel="0" collapsed="false">
      <c r="B65" s="19" t="s">
        <v>181</v>
      </c>
      <c r="C65" s="20" t="s">
        <v>182</v>
      </c>
      <c r="D65" s="19" t="n">
        <v>59</v>
      </c>
      <c r="E65" s="33" t="n">
        <v>0.000108409223522226</v>
      </c>
      <c r="F65" s="33" t="n">
        <v>0.000127666836715005</v>
      </c>
      <c r="G65" s="33" t="n">
        <v>0.000917467916187148</v>
      </c>
      <c r="H65" s="33" t="n">
        <v>0.0246961196792242</v>
      </c>
      <c r="I65" s="33" t="n">
        <v>0.00307771328592302</v>
      </c>
      <c r="J65" s="33" t="n">
        <v>0.00437217200583358</v>
      </c>
      <c r="K65" s="33" t="n">
        <v>0.00855723442501256</v>
      </c>
      <c r="L65" s="33" t="n">
        <v>0.00238425891996074</v>
      </c>
      <c r="M65" s="33" t="n">
        <v>0.0080842066780067</v>
      </c>
      <c r="N65" s="33" t="n">
        <v>0.00393624122294979</v>
      </c>
      <c r="O65" s="33" t="n">
        <v>0.0134444621901121</v>
      </c>
      <c r="P65" s="33" t="n">
        <v>0.00766831238281179</v>
      </c>
      <c r="Q65" s="33" t="n">
        <v>0.0036969723808732</v>
      </c>
      <c r="R65" s="33" t="n">
        <v>0.00204044281442293</v>
      </c>
      <c r="S65" s="33" t="n">
        <v>0.00434137591550834</v>
      </c>
      <c r="T65" s="33" t="n">
        <v>0.00129371729954315</v>
      </c>
      <c r="U65" s="33" t="n">
        <v>0.00680371633703394</v>
      </c>
      <c r="V65" s="33" t="n">
        <v>0.00184111788108162</v>
      </c>
      <c r="W65" s="33" t="n">
        <v>0.000567291762505654</v>
      </c>
      <c r="X65" s="33" t="n">
        <v>0.00905854872691517</v>
      </c>
      <c r="Y65" s="33" t="n">
        <v>0.00311517002131723</v>
      </c>
      <c r="Z65" s="33" t="n">
        <v>0.0107475522378569</v>
      </c>
      <c r="AA65" s="33" t="n">
        <v>0.00767278280629286</v>
      </c>
      <c r="AB65" s="33" t="n">
        <v>0.013951643014492</v>
      </c>
      <c r="AC65" s="33" t="n">
        <v>0.00552030344598396</v>
      </c>
      <c r="AD65" s="33" t="n">
        <v>0.00798104375508706</v>
      </c>
      <c r="AE65" s="33" t="n">
        <v>0.00411604064388827</v>
      </c>
      <c r="AF65" s="33" t="n">
        <v>0.007266173569611</v>
      </c>
      <c r="AG65" s="33" t="n">
        <v>0.00512282374963681</v>
      </c>
      <c r="AH65" s="33" t="n">
        <v>0.00776522310823089</v>
      </c>
      <c r="AI65" s="33" t="n">
        <v>0.00783134247275739</v>
      </c>
      <c r="AJ65" s="33" t="n">
        <v>0.0102149318928344</v>
      </c>
      <c r="AK65" s="33" t="n">
        <v>0.00707483907943888</v>
      </c>
      <c r="AL65" s="33" t="n">
        <v>0.00377478215603578</v>
      </c>
      <c r="AM65" s="33" t="n">
        <v>0.00351524161406689</v>
      </c>
      <c r="AN65" s="33" t="n">
        <v>0.00319484715731915</v>
      </c>
      <c r="AO65" s="33" t="n">
        <v>0.00396526053535016</v>
      </c>
      <c r="AP65" s="33" t="n">
        <v>0.00976828656375056</v>
      </c>
      <c r="AQ65" s="33" t="n">
        <v>0.00560120882887063</v>
      </c>
      <c r="AR65" s="33" t="n">
        <v>0.00374665081943039</v>
      </c>
      <c r="AS65" s="33" t="n">
        <v>0.0107087082471586</v>
      </c>
      <c r="AT65" s="33" t="n">
        <v>0.026137494374365</v>
      </c>
      <c r="AU65" s="33" t="n">
        <v>0.00555169240060876</v>
      </c>
      <c r="AV65" s="33" t="n">
        <v>0.00755084382329551</v>
      </c>
      <c r="AW65" s="33" t="n">
        <v>0.0281668689123259</v>
      </c>
      <c r="AX65" s="33" t="n">
        <v>0.0245817388680921</v>
      </c>
      <c r="AY65" s="33" t="n">
        <v>0.0332665570909366</v>
      </c>
      <c r="AZ65" s="33" t="n">
        <v>0.0073423165329073</v>
      </c>
      <c r="BA65" s="33" t="n">
        <v>0.01296893596824</v>
      </c>
      <c r="BB65" s="33" t="n">
        <v>0.0197193492638913</v>
      </c>
      <c r="BC65" s="33" t="n">
        <v>0.0719915860326362</v>
      </c>
      <c r="BD65" s="33" t="n">
        <v>0.0414919149793194</v>
      </c>
      <c r="BE65" s="33" t="n">
        <v>0.036020422665958</v>
      </c>
      <c r="BF65" s="33" t="n">
        <v>0.00228336571215193</v>
      </c>
      <c r="BG65" s="33" t="n">
        <v>0.0169581114840036</v>
      </c>
      <c r="BH65" s="33" t="n">
        <v>0.00834420595100155</v>
      </c>
      <c r="BI65" s="33" t="n">
        <v>0.00605162719451284</v>
      </c>
      <c r="BJ65" s="33" t="n">
        <v>0.0131005983742651</v>
      </c>
      <c r="BK65" s="33" t="n">
        <v>0.0249677988772122</v>
      </c>
      <c r="BL65" s="33" t="n">
        <v>0.00983379788578063</v>
      </c>
      <c r="BM65" s="33" t="n">
        <v>0.0253133682801061</v>
      </c>
      <c r="BN65" s="33" t="n">
        <v>0.0351274237845137</v>
      </c>
      <c r="BO65" s="33" t="n">
        <v>0.0326463808865753</v>
      </c>
      <c r="BP65" s="33" t="n">
        <v>0.0522574826222507</v>
      </c>
      <c r="BQ65" s="33" t="n">
        <v>0.0151728573770971</v>
      </c>
      <c r="BR65" s="33" t="n">
        <v>0.0216737394626554</v>
      </c>
      <c r="BS65" s="33" t="n">
        <v>0.0300634859967651</v>
      </c>
      <c r="BT65" s="33" t="n">
        <v>0</v>
      </c>
    </row>
    <row r="66" customFormat="false" ht="11.25" hidden="false" customHeight="true" outlineLevel="0" collapsed="false">
      <c r="B66" s="24" t="s">
        <v>183</v>
      </c>
      <c r="C66" s="25" t="s">
        <v>184</v>
      </c>
      <c r="D66" s="24" t="n">
        <v>60</v>
      </c>
      <c r="E66" s="34" t="n">
        <v>5.7324900532191E-006</v>
      </c>
      <c r="F66" s="34" t="n">
        <v>8.84470259142697E-008</v>
      </c>
      <c r="G66" s="34" t="n">
        <v>9.41331703096596E-005</v>
      </c>
      <c r="H66" s="34" t="n">
        <v>0.000327877898742217</v>
      </c>
      <c r="I66" s="34" t="n">
        <v>0.000449562945373758</v>
      </c>
      <c r="J66" s="34" t="n">
        <v>0.000663176799469544</v>
      </c>
      <c r="K66" s="34" t="n">
        <v>0.000883064691922676</v>
      </c>
      <c r="L66" s="34" t="n">
        <v>0.00109751722234795</v>
      </c>
      <c r="M66" s="34" t="n">
        <v>0.00209068951185376</v>
      </c>
      <c r="N66" s="34" t="n">
        <v>0.00101898981911511</v>
      </c>
      <c r="O66" s="34" t="n">
        <v>0.00130712511984462</v>
      </c>
      <c r="P66" s="34" t="n">
        <v>0.00768430874914886</v>
      </c>
      <c r="Q66" s="34" t="n">
        <v>0.000732919540022537</v>
      </c>
      <c r="R66" s="34" t="n">
        <v>0.000449781627100892</v>
      </c>
      <c r="S66" s="34" t="n">
        <v>0.000957230306038561</v>
      </c>
      <c r="T66" s="34" t="n">
        <v>0.00130097155081951</v>
      </c>
      <c r="U66" s="34" t="n">
        <v>0.00386733638341919</v>
      </c>
      <c r="V66" s="34" t="n">
        <v>0.000840408285977892</v>
      </c>
      <c r="W66" s="34" t="n">
        <v>0.000269958102325422</v>
      </c>
      <c r="X66" s="34" t="n">
        <v>7.43435467924204E-005</v>
      </c>
      <c r="Y66" s="34" t="n">
        <v>0.00158262049072316</v>
      </c>
      <c r="Z66" s="34" t="n">
        <v>0.00247905883267554</v>
      </c>
      <c r="AA66" s="34" t="n">
        <v>0.000762972436964781</v>
      </c>
      <c r="AB66" s="34" t="n">
        <v>0.00314452665538067</v>
      </c>
      <c r="AC66" s="34" t="n">
        <v>0.00168284372066866</v>
      </c>
      <c r="AD66" s="34" t="n">
        <v>0.00408368510311073</v>
      </c>
      <c r="AE66" s="34" t="n">
        <v>0.00067233676936409</v>
      </c>
      <c r="AF66" s="34" t="n">
        <v>0.00101988682170809</v>
      </c>
      <c r="AG66" s="34" t="n">
        <v>0.00160360550262571</v>
      </c>
      <c r="AH66" s="34" t="n">
        <v>0.00166396583842321</v>
      </c>
      <c r="AI66" s="34" t="n">
        <v>0.00117006851271094</v>
      </c>
      <c r="AJ66" s="34" t="n">
        <v>0.00175868749944938</v>
      </c>
      <c r="AK66" s="34" t="n">
        <v>0.00270461640642353</v>
      </c>
      <c r="AL66" s="34" t="n">
        <v>0.00241509494057125</v>
      </c>
      <c r="AM66" s="34" t="n">
        <v>0.0018440663983624</v>
      </c>
      <c r="AN66" s="34" t="n">
        <v>0.000689405477781208</v>
      </c>
      <c r="AO66" s="34" t="n">
        <v>0.00185723100133864</v>
      </c>
      <c r="AP66" s="34" t="n">
        <v>0.000984111521039758</v>
      </c>
      <c r="AQ66" s="34" t="n">
        <v>0.0069599916793111</v>
      </c>
      <c r="AR66" s="34" t="n">
        <v>0.00111075081010353</v>
      </c>
      <c r="AS66" s="34" t="n">
        <v>0.00398677786623966</v>
      </c>
      <c r="AT66" s="34" t="n">
        <v>0.00421142794652507</v>
      </c>
      <c r="AU66" s="34" t="n">
        <v>0.00374025646288417</v>
      </c>
      <c r="AV66" s="34" t="n">
        <v>0.00134295427620713</v>
      </c>
      <c r="AW66" s="34" t="n">
        <v>0.00628979567394406</v>
      </c>
      <c r="AX66" s="34" t="n">
        <v>0.0202262561977044</v>
      </c>
      <c r="AY66" s="34" t="n">
        <v>0.00349409971510666</v>
      </c>
      <c r="AZ66" s="34" t="n">
        <v>0.00211120889283013</v>
      </c>
      <c r="BA66" s="34" t="n">
        <v>0.00205032571556487</v>
      </c>
      <c r="BB66" s="34" t="n">
        <v>0.00636732362788794</v>
      </c>
      <c r="BC66" s="34" t="n">
        <v>0.00327759952618835</v>
      </c>
      <c r="BD66" s="34" t="n">
        <v>0.00302591172559948</v>
      </c>
      <c r="BE66" s="34" t="n">
        <v>0.0102107791437272</v>
      </c>
      <c r="BF66" s="34" t="n">
        <v>0.000319970675304909</v>
      </c>
      <c r="BG66" s="34" t="n">
        <v>0.00373334624426861</v>
      </c>
      <c r="BH66" s="34" t="n">
        <v>0.000370276655373145</v>
      </c>
      <c r="BI66" s="34" t="n">
        <v>0.00157135783944304</v>
      </c>
      <c r="BJ66" s="34" t="n">
        <v>0.00242500104259277</v>
      </c>
      <c r="BK66" s="34" t="n">
        <v>0.00288707357934276</v>
      </c>
      <c r="BL66" s="34" t="n">
        <v>0.00120396442019479</v>
      </c>
      <c r="BM66" s="34" t="n">
        <v>0.00550963314613404</v>
      </c>
      <c r="BN66" s="34" t="n">
        <v>0.00699758140572332</v>
      </c>
      <c r="BO66" s="34" t="n">
        <v>0.0125701850220376</v>
      </c>
      <c r="BP66" s="34" t="n">
        <v>0.00736975699746555</v>
      </c>
      <c r="BQ66" s="34" t="n">
        <v>3.49525183534233E-007</v>
      </c>
      <c r="BR66" s="34" t="n">
        <v>0.00374212517509636</v>
      </c>
      <c r="BS66" s="34" t="n">
        <v>2.85134924138172E-005</v>
      </c>
      <c r="BT66" s="34" t="n">
        <v>0</v>
      </c>
    </row>
    <row r="67" customFormat="false" ht="11.25" hidden="false" customHeight="true" outlineLevel="0" collapsed="false">
      <c r="B67" s="19" t="s">
        <v>185</v>
      </c>
      <c r="C67" s="20" t="s">
        <v>186</v>
      </c>
      <c r="D67" s="19" t="n">
        <v>61</v>
      </c>
      <c r="E67" s="33" t="n">
        <v>0.000558972182880049</v>
      </c>
      <c r="F67" s="33" t="n">
        <v>0.000882814923076964</v>
      </c>
      <c r="G67" s="33" t="n">
        <v>0.000515296693506841</v>
      </c>
      <c r="H67" s="33" t="n">
        <v>0.00154520326286668</v>
      </c>
      <c r="I67" s="33" t="n">
        <v>0.00242994294808895</v>
      </c>
      <c r="J67" s="33" t="n">
        <v>0.00183108287520829</v>
      </c>
      <c r="K67" s="33" t="n">
        <v>0.00254963378894807</v>
      </c>
      <c r="L67" s="33" t="n">
        <v>0.00194933467953629</v>
      </c>
      <c r="M67" s="33" t="n">
        <v>0.00202541466271169</v>
      </c>
      <c r="N67" s="33" t="n">
        <v>0.00434606402703922</v>
      </c>
      <c r="O67" s="33" t="n">
        <v>0.00741009063128689</v>
      </c>
      <c r="P67" s="33" t="n">
        <v>0.0050372873945803</v>
      </c>
      <c r="Q67" s="33" t="n">
        <v>0.000980987106358806</v>
      </c>
      <c r="R67" s="33" t="n">
        <v>0.000914302925828475</v>
      </c>
      <c r="S67" s="33" t="n">
        <v>0.00224277280325723</v>
      </c>
      <c r="T67" s="33" t="n">
        <v>0.00131246497066596</v>
      </c>
      <c r="U67" s="33" t="n">
        <v>0.00243008454731139</v>
      </c>
      <c r="V67" s="33" t="n">
        <v>0.000832337612735093</v>
      </c>
      <c r="W67" s="33" t="n">
        <v>0.000503903776326465</v>
      </c>
      <c r="X67" s="33" t="n">
        <v>0.0015042201043726</v>
      </c>
      <c r="Y67" s="33" t="n">
        <v>0.00373408451361302</v>
      </c>
      <c r="Z67" s="33" t="n">
        <v>0.00423955535644229</v>
      </c>
      <c r="AA67" s="33" t="n">
        <v>0.0052765889201155</v>
      </c>
      <c r="AB67" s="33" t="n">
        <v>0.00651643040998053</v>
      </c>
      <c r="AC67" s="33" t="n">
        <v>0.00159114064429472</v>
      </c>
      <c r="AD67" s="33" t="n">
        <v>0.00190018771100324</v>
      </c>
      <c r="AE67" s="33" t="n">
        <v>0.00299720860580746</v>
      </c>
      <c r="AF67" s="33" t="n">
        <v>0.00228386417972352</v>
      </c>
      <c r="AG67" s="33" t="n">
        <v>0.00136465216316575</v>
      </c>
      <c r="AH67" s="33" t="n">
        <v>0.00302560979735856</v>
      </c>
      <c r="AI67" s="33" t="n">
        <v>0.00274376723132485</v>
      </c>
      <c r="AJ67" s="33" t="n">
        <v>0.00157869441937013</v>
      </c>
      <c r="AK67" s="33" t="n">
        <v>0.00370237880099606</v>
      </c>
      <c r="AL67" s="33" t="n">
        <v>0.00125393211553653</v>
      </c>
      <c r="AM67" s="33" t="n">
        <v>0.00139473331850349</v>
      </c>
      <c r="AN67" s="33" t="n">
        <v>0.00102711675008228</v>
      </c>
      <c r="AO67" s="33" t="n">
        <v>0.000744961780489193</v>
      </c>
      <c r="AP67" s="33" t="n">
        <v>0.00196742136036863</v>
      </c>
      <c r="AQ67" s="33" t="n">
        <v>0.00172584118542031</v>
      </c>
      <c r="AR67" s="33" t="n">
        <v>0.00081424972583591</v>
      </c>
      <c r="AS67" s="33" t="n">
        <v>0.00304621845484448</v>
      </c>
      <c r="AT67" s="33" t="n">
        <v>0.00319000778298745</v>
      </c>
      <c r="AU67" s="33" t="n">
        <v>0.00135963037095424</v>
      </c>
      <c r="AV67" s="33" t="n">
        <v>0.00663695560822616</v>
      </c>
      <c r="AW67" s="33" t="n">
        <v>0.00467183862703356</v>
      </c>
      <c r="AX67" s="33" t="n">
        <v>0.0034356969265751</v>
      </c>
      <c r="AY67" s="33" t="n">
        <v>0.00256056074492837</v>
      </c>
      <c r="AZ67" s="33" t="n">
        <v>0.000846087786536735</v>
      </c>
      <c r="BA67" s="33" t="n">
        <v>0.00520064432928739</v>
      </c>
      <c r="BB67" s="33" t="n">
        <v>0.00742930402033522</v>
      </c>
      <c r="BC67" s="33" t="n">
        <v>0.00313003419672619</v>
      </c>
      <c r="BD67" s="33" t="n">
        <v>0.00270100301220262</v>
      </c>
      <c r="BE67" s="33" t="n">
        <v>0.00340234103859277</v>
      </c>
      <c r="BF67" s="33" t="n">
        <v>0.000351069321384821</v>
      </c>
      <c r="BG67" s="33" t="n">
        <v>0.00527567640527216</v>
      </c>
      <c r="BH67" s="33" t="n">
        <v>0.00638690629851607</v>
      </c>
      <c r="BI67" s="33" t="n">
        <v>0.0025185700709009</v>
      </c>
      <c r="BJ67" s="33" t="n">
        <v>0.0033480820973224</v>
      </c>
      <c r="BK67" s="33" t="n">
        <v>0.0024040361999739</v>
      </c>
      <c r="BL67" s="33" t="n">
        <v>0.0015749645929319</v>
      </c>
      <c r="BM67" s="33" t="n">
        <v>0.00176486294650399</v>
      </c>
      <c r="BN67" s="33" t="n">
        <v>0.00114580039103602</v>
      </c>
      <c r="BO67" s="33" t="n">
        <v>0.00464678609933765</v>
      </c>
      <c r="BP67" s="33" t="n">
        <v>0.00163914828327136</v>
      </c>
      <c r="BQ67" s="33" t="n">
        <v>0.0011157743621412</v>
      </c>
      <c r="BR67" s="33" t="n">
        <v>0.00554139264440609</v>
      </c>
      <c r="BS67" s="33" t="n">
        <v>0.00457538227366545</v>
      </c>
      <c r="BT67" s="33" t="n">
        <v>0</v>
      </c>
    </row>
    <row r="68" customFormat="false" ht="11.25" hidden="false" customHeight="true" outlineLevel="0" collapsed="false">
      <c r="B68" s="24" t="s">
        <v>187</v>
      </c>
      <c r="C68" s="25" t="s">
        <v>188</v>
      </c>
      <c r="D68" s="24" t="n">
        <v>62</v>
      </c>
      <c r="E68" s="34" t="n">
        <v>5.28163059194713E-006</v>
      </c>
      <c r="F68" s="34" t="n">
        <v>2.54058141551625E-006</v>
      </c>
      <c r="G68" s="34" t="n">
        <v>4.5345772519697E-006</v>
      </c>
      <c r="H68" s="34" t="n">
        <v>0.000130292542753332</v>
      </c>
      <c r="I68" s="34" t="n">
        <v>0.000103131669491359</v>
      </c>
      <c r="J68" s="34" t="n">
        <v>0.000261163030117977</v>
      </c>
      <c r="K68" s="34" t="n">
        <v>7.87940566301862E-005</v>
      </c>
      <c r="L68" s="34" t="n">
        <v>7.43299474282436E-005</v>
      </c>
      <c r="M68" s="34" t="n">
        <v>5.632718813711E-005</v>
      </c>
      <c r="N68" s="34" t="n">
        <v>0.000138963047333994</v>
      </c>
      <c r="O68" s="34" t="n">
        <v>0.00015361227466394</v>
      </c>
      <c r="P68" s="34" t="n">
        <v>0.000208869409079042</v>
      </c>
      <c r="Q68" s="34" t="n">
        <v>8.88354448811224E-005</v>
      </c>
      <c r="R68" s="34" t="n">
        <v>4.91565698037434E-005</v>
      </c>
      <c r="S68" s="34" t="n">
        <v>5.70593706275533E-005</v>
      </c>
      <c r="T68" s="34" t="n">
        <v>1.72083817849569E-005</v>
      </c>
      <c r="U68" s="34" t="n">
        <v>9.53927110587439E-005</v>
      </c>
      <c r="V68" s="34" t="n">
        <v>1.79393946739388E-005</v>
      </c>
      <c r="W68" s="34" t="n">
        <v>2.10119456345517E-005</v>
      </c>
      <c r="X68" s="34" t="n">
        <v>4.22874156600362E-005</v>
      </c>
      <c r="Y68" s="34" t="n">
        <v>0.000157782173505225</v>
      </c>
      <c r="Z68" s="34" t="n">
        <v>0.00048739853927232</v>
      </c>
      <c r="AA68" s="34" t="n">
        <v>0.000809071842437792</v>
      </c>
      <c r="AB68" s="34" t="n">
        <v>0.00128308454017619</v>
      </c>
      <c r="AC68" s="34" t="n">
        <v>0.000174843525351395</v>
      </c>
      <c r="AD68" s="34" t="n">
        <v>9.99387023655709E-005</v>
      </c>
      <c r="AE68" s="34" t="n">
        <v>0.000222751839352246</v>
      </c>
      <c r="AF68" s="34" t="n">
        <v>0.000256084628230913</v>
      </c>
      <c r="AG68" s="34" t="n">
        <v>9.94123320785639E-005</v>
      </c>
      <c r="AH68" s="34" t="n">
        <v>0.000540206576372331</v>
      </c>
      <c r="AI68" s="34" t="n">
        <v>0.000253123022499326</v>
      </c>
      <c r="AJ68" s="34" t="n">
        <v>0.000176368605083712</v>
      </c>
      <c r="AK68" s="34" t="n">
        <v>0.000632239446546296</v>
      </c>
      <c r="AL68" s="34" t="n">
        <v>0.000329101000119815</v>
      </c>
      <c r="AM68" s="34" t="n">
        <v>0.000163784970157911</v>
      </c>
      <c r="AN68" s="34" t="n">
        <v>4.60022221766509E-005</v>
      </c>
      <c r="AO68" s="34" t="n">
        <v>2.58425210454248E-005</v>
      </c>
      <c r="AP68" s="34" t="n">
        <v>0.000126236456820343</v>
      </c>
      <c r="AQ68" s="34" t="n">
        <v>7.44273167311346E-005</v>
      </c>
      <c r="AR68" s="34" t="n">
        <v>3.9435416675754E-005</v>
      </c>
      <c r="AS68" s="34" t="n">
        <v>9.29507163570798E-005</v>
      </c>
      <c r="AT68" s="34" t="n">
        <v>0.000154705174680729</v>
      </c>
      <c r="AU68" s="34" t="n">
        <v>4.95992233800518E-005</v>
      </c>
      <c r="AV68" s="34" t="n">
        <v>7.81240723002492E-005</v>
      </c>
      <c r="AW68" s="34" t="n">
        <v>8.23579149894431E-005</v>
      </c>
      <c r="AX68" s="34" t="n">
        <v>0.000183607237676423</v>
      </c>
      <c r="AY68" s="34" t="n">
        <v>0.000125532564237209</v>
      </c>
      <c r="AZ68" s="34" t="n">
        <v>2.88205800672745E-005</v>
      </c>
      <c r="BA68" s="34" t="n">
        <v>8.47136211088997E-005</v>
      </c>
      <c r="BB68" s="34" t="n">
        <v>0.000118172995544263</v>
      </c>
      <c r="BC68" s="34" t="n">
        <v>0.000346514391627299</v>
      </c>
      <c r="BD68" s="34" t="n">
        <v>0.000424996066306938</v>
      </c>
      <c r="BE68" s="34" t="n">
        <v>0.000188745675733992</v>
      </c>
      <c r="BF68" s="34" t="n">
        <v>1.05712471685567E-005</v>
      </c>
      <c r="BG68" s="34" t="n">
        <v>0.000285333605081539</v>
      </c>
      <c r="BH68" s="34" t="n">
        <v>0.00469897748263834</v>
      </c>
      <c r="BI68" s="34" t="n">
        <v>7.81631717835486E-005</v>
      </c>
      <c r="BJ68" s="34" t="n">
        <v>0.000327324142483738</v>
      </c>
      <c r="BK68" s="34" t="n">
        <v>0.000153051746187544</v>
      </c>
      <c r="BL68" s="34" t="n">
        <v>0.000107165004894559</v>
      </c>
      <c r="BM68" s="34" t="n">
        <v>0.000102254318835076</v>
      </c>
      <c r="BN68" s="34" t="n">
        <v>0.000154513857746528</v>
      </c>
      <c r="BO68" s="34" t="n">
        <v>0.000844905209668916</v>
      </c>
      <c r="BP68" s="34" t="n">
        <v>0.000185699304162908</v>
      </c>
      <c r="BQ68" s="34" t="n">
        <v>8.80197662112843E-005</v>
      </c>
      <c r="BR68" s="34" t="n">
        <v>0.000133927185920194</v>
      </c>
      <c r="BS68" s="34" t="n">
        <v>0.000186622937181648</v>
      </c>
      <c r="BT68" s="34" t="n">
        <v>0</v>
      </c>
    </row>
    <row r="69" customFormat="false" ht="11.25" hidden="false" customHeight="true" outlineLevel="0" collapsed="false">
      <c r="B69" s="19" t="s">
        <v>189</v>
      </c>
      <c r="C69" s="20" t="s">
        <v>190</v>
      </c>
      <c r="D69" s="19" t="n">
        <v>63</v>
      </c>
      <c r="E69" s="33" t="n">
        <v>1.12294254963214E-005</v>
      </c>
      <c r="F69" s="33" t="n">
        <v>1.13388398495253E-005</v>
      </c>
      <c r="G69" s="33" t="n">
        <v>1.97107617535876E-007</v>
      </c>
      <c r="H69" s="33" t="n">
        <v>6.60667066637343E-005</v>
      </c>
      <c r="I69" s="33" t="n">
        <v>0.000163263764314173</v>
      </c>
      <c r="J69" s="33" t="n">
        <v>0.00125126536685689</v>
      </c>
      <c r="K69" s="33" t="n">
        <v>0.00124489616789636</v>
      </c>
      <c r="L69" s="33" t="n">
        <v>5.21226544546166E-005</v>
      </c>
      <c r="M69" s="33" t="n">
        <v>9.90075139824663E-006</v>
      </c>
      <c r="N69" s="33" t="n">
        <v>9.46783805534305E-005</v>
      </c>
      <c r="O69" s="33" t="n">
        <v>9.08956976402282E-006</v>
      </c>
      <c r="P69" s="33" t="n">
        <v>2.53758320052072E-005</v>
      </c>
      <c r="Q69" s="33" t="n">
        <v>4.64986788566602E-005</v>
      </c>
      <c r="R69" s="33" t="n">
        <v>1.63316348711063E-005</v>
      </c>
      <c r="S69" s="33" t="n">
        <v>3.01711486976908E-005</v>
      </c>
      <c r="T69" s="33" t="n">
        <v>1.01125245348261E-005</v>
      </c>
      <c r="U69" s="33" t="n">
        <v>0.000432654915279487</v>
      </c>
      <c r="V69" s="33" t="n">
        <v>5.10044817055788E-006</v>
      </c>
      <c r="W69" s="33" t="n">
        <v>1.83233392641451E-005</v>
      </c>
      <c r="X69" s="33" t="n">
        <v>1.38340544328692E-005</v>
      </c>
      <c r="Y69" s="33" t="n">
        <v>8.0285744481857E-005</v>
      </c>
      <c r="Z69" s="33" t="n">
        <v>0.000392610267888813</v>
      </c>
      <c r="AA69" s="33" t="n">
        <v>6.24667893501825E-005</v>
      </c>
      <c r="AB69" s="33" t="n">
        <v>0.000118314717911348</v>
      </c>
      <c r="AC69" s="33" t="n">
        <v>5.5657357267442E-005</v>
      </c>
      <c r="AD69" s="33" t="n">
        <v>1.78199285723336E-005</v>
      </c>
      <c r="AE69" s="33" t="n">
        <v>0.00148106650941214</v>
      </c>
      <c r="AF69" s="33" t="n">
        <v>0.00102469698338999</v>
      </c>
      <c r="AG69" s="33" t="n">
        <v>0.000491529294821257</v>
      </c>
      <c r="AH69" s="33" t="n">
        <v>6.41948706856752E-005</v>
      </c>
      <c r="AI69" s="33" t="n">
        <v>3.01006896479074E-005</v>
      </c>
      <c r="AJ69" s="33" t="n">
        <v>0.000213982766420691</v>
      </c>
      <c r="AK69" s="33" t="n">
        <v>0.000540656040654111</v>
      </c>
      <c r="AL69" s="33" t="n">
        <v>5.97330415991779E-005</v>
      </c>
      <c r="AM69" s="33" t="n">
        <v>1.69694889682426E-005</v>
      </c>
      <c r="AN69" s="33" t="n">
        <v>1.24350590532184E-005</v>
      </c>
      <c r="AO69" s="33" t="n">
        <v>8.95676402895103E-005</v>
      </c>
      <c r="AP69" s="33" t="n">
        <v>0.000339088389517593</v>
      </c>
      <c r="AQ69" s="33" t="n">
        <v>2.56263208645574E-005</v>
      </c>
      <c r="AR69" s="33" t="n">
        <v>5.13925844533265E-006</v>
      </c>
      <c r="AS69" s="33" t="n">
        <v>0.000162083898011283</v>
      </c>
      <c r="AT69" s="33" t="n">
        <v>0.00061940360117955</v>
      </c>
      <c r="AU69" s="33" t="n">
        <v>0.00247269947595752</v>
      </c>
      <c r="AV69" s="33" t="n">
        <v>0.0041416044968744</v>
      </c>
      <c r="AW69" s="33" t="n">
        <v>0.000419126768492494</v>
      </c>
      <c r="AX69" s="33" t="n">
        <v>0.00188485009842184</v>
      </c>
      <c r="AY69" s="33" t="n">
        <v>7.00531592107736E-005</v>
      </c>
      <c r="AZ69" s="33" t="n">
        <v>3.73325516914761E-006</v>
      </c>
      <c r="BA69" s="33" t="n">
        <v>3.35001480690219E-005</v>
      </c>
      <c r="BB69" s="33" t="n">
        <v>2.17262607491245E-005</v>
      </c>
      <c r="BC69" s="33" t="n">
        <v>0.000314935980947777</v>
      </c>
      <c r="BD69" s="33" t="n">
        <v>2.85746132823852E-005</v>
      </c>
      <c r="BE69" s="33" t="n">
        <v>0.00292947436992191</v>
      </c>
      <c r="BF69" s="33" t="n">
        <v>7.29050363617639E-007</v>
      </c>
      <c r="BG69" s="33" t="n">
        <v>0.0115841869006838</v>
      </c>
      <c r="BH69" s="33" t="n">
        <v>0.00242224751427099</v>
      </c>
      <c r="BI69" s="33" t="n">
        <v>0.00475162954723326</v>
      </c>
      <c r="BJ69" s="33" t="n">
        <v>0.00125426916167336</v>
      </c>
      <c r="BK69" s="33" t="n">
        <v>0.0068342237862597</v>
      </c>
      <c r="BL69" s="33" t="n">
        <v>0.00336087467633731</v>
      </c>
      <c r="BM69" s="33" t="n">
        <v>0.000764444040630903</v>
      </c>
      <c r="BN69" s="33" t="n">
        <v>0.00558217285158693</v>
      </c>
      <c r="BO69" s="33" t="n">
        <v>6.81950879329146E-005</v>
      </c>
      <c r="BP69" s="33" t="n">
        <v>0.00316062936556435</v>
      </c>
      <c r="BQ69" s="33" t="n">
        <v>2.63346890258749E-006</v>
      </c>
      <c r="BR69" s="33" t="n">
        <v>1.64243947613504E-005</v>
      </c>
      <c r="BS69" s="33" t="n">
        <v>0.00200674849894242</v>
      </c>
      <c r="BT69" s="33" t="n">
        <v>0</v>
      </c>
    </row>
    <row r="70" customFormat="false" ht="11.25" hidden="false" customHeight="true" outlineLevel="0" collapsed="false">
      <c r="B70" s="24" t="s">
        <v>191</v>
      </c>
      <c r="C70" s="25" t="s">
        <v>192</v>
      </c>
      <c r="D70" s="24" t="n">
        <v>64</v>
      </c>
      <c r="E70" s="34" t="n">
        <v>1.57201354555097E-007</v>
      </c>
      <c r="F70" s="34" t="n">
        <v>6.06809894361593E-008</v>
      </c>
      <c r="G70" s="34" t="n">
        <v>5.31660205990442E-008</v>
      </c>
      <c r="H70" s="34" t="n">
        <v>8.2347204202858E-007</v>
      </c>
      <c r="I70" s="34" t="n">
        <v>1.96440692441373E-006</v>
      </c>
      <c r="J70" s="34" t="n">
        <v>2.10064614035109E-005</v>
      </c>
      <c r="K70" s="34" t="n">
        <v>8.76816851596023E-007</v>
      </c>
      <c r="L70" s="34" t="n">
        <v>1.27980758789547E-006</v>
      </c>
      <c r="M70" s="34" t="n">
        <v>1.36480490915926E-006</v>
      </c>
      <c r="N70" s="34" t="n">
        <v>7.90276813924767E-006</v>
      </c>
      <c r="O70" s="34" t="n">
        <v>8.27065323214025E-006</v>
      </c>
      <c r="P70" s="34" t="n">
        <v>1.03235733158279E-005</v>
      </c>
      <c r="Q70" s="34" t="n">
        <v>5.54402855571212E-006</v>
      </c>
      <c r="R70" s="34" t="n">
        <v>2.78273582521953E-006</v>
      </c>
      <c r="S70" s="34" t="n">
        <v>2.63440272799911E-006</v>
      </c>
      <c r="T70" s="34" t="n">
        <v>1.84470076428378E-007</v>
      </c>
      <c r="U70" s="34" t="n">
        <v>4.4568668575133E-006</v>
      </c>
      <c r="V70" s="34" t="n">
        <v>2.55542924049672E-007</v>
      </c>
      <c r="W70" s="34" t="n">
        <v>1.63075319655564E-007</v>
      </c>
      <c r="X70" s="34" t="n">
        <v>6.35836172554787E-007</v>
      </c>
      <c r="Y70" s="34" t="n">
        <v>1.00565111568171E-005</v>
      </c>
      <c r="Z70" s="34" t="n">
        <v>3.61505169105907E-005</v>
      </c>
      <c r="AA70" s="34" t="n">
        <v>7.10255657506238E-005</v>
      </c>
      <c r="AB70" s="34" t="n">
        <v>0.000109645887140995</v>
      </c>
      <c r="AC70" s="34" t="n">
        <v>1.31320958199869E-005</v>
      </c>
      <c r="AD70" s="34" t="n">
        <v>3.59311345210664E-006</v>
      </c>
      <c r="AE70" s="34" t="n">
        <v>1.6713428789202E-005</v>
      </c>
      <c r="AF70" s="34" t="n">
        <v>1.94715066450946E-005</v>
      </c>
      <c r="AG70" s="34" t="n">
        <v>5.97819915950274E-006</v>
      </c>
      <c r="AH70" s="34" t="n">
        <v>4.54730451491582E-005</v>
      </c>
      <c r="AI70" s="34" t="n">
        <v>1.66776534677176E-005</v>
      </c>
      <c r="AJ70" s="34" t="n">
        <v>1.08554058070687E-005</v>
      </c>
      <c r="AK70" s="34" t="n">
        <v>5.70482528326062E-005</v>
      </c>
      <c r="AL70" s="34" t="n">
        <v>2.86876941826102E-005</v>
      </c>
      <c r="AM70" s="34" t="n">
        <v>1.40057268667973E-005</v>
      </c>
      <c r="AN70" s="34" t="n">
        <v>2.17995174940313E-006</v>
      </c>
      <c r="AO70" s="34" t="n">
        <v>2.88636990396565E-007</v>
      </c>
      <c r="AP70" s="34" t="n">
        <v>7.5767121538159E-006</v>
      </c>
      <c r="AQ70" s="34" t="n">
        <v>2.9732764311898E-006</v>
      </c>
      <c r="AR70" s="34" t="n">
        <v>9.84713588119385E-007</v>
      </c>
      <c r="AS70" s="34" t="n">
        <v>6.96463394713176E-007</v>
      </c>
      <c r="AT70" s="34" t="n">
        <v>3.02273038581512E-006</v>
      </c>
      <c r="AU70" s="34" t="n">
        <v>2.34715453720348E-007</v>
      </c>
      <c r="AV70" s="34" t="n">
        <v>2.52200797431966E-007</v>
      </c>
      <c r="AW70" s="34" t="n">
        <v>4.35621862607665E-007</v>
      </c>
      <c r="AX70" s="34" t="n">
        <v>3.55992900966408E-006</v>
      </c>
      <c r="AY70" s="34" t="n">
        <v>6.02194720523123E-007</v>
      </c>
      <c r="AZ70" s="34" t="n">
        <v>1.16687457310641E-007</v>
      </c>
      <c r="BA70" s="34" t="n">
        <v>9.99787463622788E-007</v>
      </c>
      <c r="BB70" s="34" t="n">
        <v>1.27022780857493E-006</v>
      </c>
      <c r="BC70" s="34" t="n">
        <v>9.6249721318761E-006</v>
      </c>
      <c r="BD70" s="34" t="n">
        <v>2.74553494534009E-005</v>
      </c>
      <c r="BE70" s="34" t="n">
        <v>1.33069577980291E-006</v>
      </c>
      <c r="BF70" s="34" t="n">
        <v>6.86852940128395E-008</v>
      </c>
      <c r="BG70" s="34" t="n">
        <v>1.17426669189916E-006</v>
      </c>
      <c r="BH70" s="34" t="n">
        <v>0.000438784711991616</v>
      </c>
      <c r="BI70" s="34" t="n">
        <v>3.28433945516068E-007</v>
      </c>
      <c r="BJ70" s="34" t="n">
        <v>2.31648016650083E-005</v>
      </c>
      <c r="BK70" s="34" t="n">
        <v>1.14819533886972E-006</v>
      </c>
      <c r="BL70" s="34" t="n">
        <v>4.14057918069856E-007</v>
      </c>
      <c r="BM70" s="34" t="n">
        <v>3.03604835633578E-006</v>
      </c>
      <c r="BN70" s="34" t="n">
        <v>8.85243227422328E-007</v>
      </c>
      <c r="BO70" s="34" t="n">
        <v>7.13245515718255E-005</v>
      </c>
      <c r="BP70" s="34" t="n">
        <v>2.6556446278489E-006</v>
      </c>
      <c r="BQ70" s="34" t="n">
        <v>0.00215076286961119</v>
      </c>
      <c r="BR70" s="34" t="n">
        <v>8.97751641120335E-007</v>
      </c>
      <c r="BS70" s="34" t="n">
        <v>6.8218582103259E-007</v>
      </c>
      <c r="BT70" s="34" t="n">
        <v>0</v>
      </c>
    </row>
    <row r="71" customFormat="false" ht="11.25" hidden="false" customHeight="true" outlineLevel="0" collapsed="false">
      <c r="B71" s="19" t="s">
        <v>193</v>
      </c>
      <c r="C71" s="20" t="s">
        <v>194</v>
      </c>
      <c r="D71" s="19" t="n">
        <v>65</v>
      </c>
      <c r="E71" s="33" t="n">
        <v>2.76827454520343E-007</v>
      </c>
      <c r="F71" s="33" t="n">
        <v>2.80086765397371E-007</v>
      </c>
      <c r="G71" s="33" t="n">
        <v>1.91591910935797E-006</v>
      </c>
      <c r="H71" s="33" t="n">
        <v>9.97620810483704E-006</v>
      </c>
      <c r="I71" s="33" t="n">
        <v>1.24975386858569E-005</v>
      </c>
      <c r="J71" s="33" t="n">
        <v>3.60089132336921E-006</v>
      </c>
      <c r="K71" s="33" t="n">
        <v>1.105763468452E-005</v>
      </c>
      <c r="L71" s="33" t="n">
        <v>1.92789498939292E-005</v>
      </c>
      <c r="M71" s="33" t="n">
        <v>2.66768702005945E-005</v>
      </c>
      <c r="N71" s="33" t="n">
        <v>1.46171642401462E-005</v>
      </c>
      <c r="O71" s="33" t="n">
        <v>7.53166133811197E-006</v>
      </c>
      <c r="P71" s="33" t="n">
        <v>1.53569350854567E-005</v>
      </c>
      <c r="Q71" s="33" t="n">
        <v>5.22805526011875E-005</v>
      </c>
      <c r="R71" s="33" t="n">
        <v>4.95513099275204E-005</v>
      </c>
      <c r="S71" s="33" t="n">
        <v>2.05495521215128E-005</v>
      </c>
      <c r="T71" s="33" t="n">
        <v>8.52598133533544E-006</v>
      </c>
      <c r="U71" s="33" t="n">
        <v>1.53432649163606E-005</v>
      </c>
      <c r="V71" s="33" t="n">
        <v>2.06881659902725E-005</v>
      </c>
      <c r="W71" s="33" t="n">
        <v>3.57029263072445E-006</v>
      </c>
      <c r="X71" s="33" t="n">
        <v>3.49123247749534E-005</v>
      </c>
      <c r="Y71" s="33" t="n">
        <v>1.03323118430322E-005</v>
      </c>
      <c r="Z71" s="33" t="n">
        <v>1.38706505013606E-005</v>
      </c>
      <c r="AA71" s="33" t="n">
        <v>3.53237069559883E-005</v>
      </c>
      <c r="AB71" s="33" t="n">
        <v>3.52636992229038E-005</v>
      </c>
      <c r="AC71" s="33" t="n">
        <v>3.02632487035426E-005</v>
      </c>
      <c r="AD71" s="33" t="n">
        <v>1.75719024153884E-005</v>
      </c>
      <c r="AE71" s="33" t="n">
        <v>2.12190982681862E-005</v>
      </c>
      <c r="AF71" s="33" t="n">
        <v>2.37935920221728E-006</v>
      </c>
      <c r="AG71" s="33" t="n">
        <v>1.67788067024824E-005</v>
      </c>
      <c r="AH71" s="33" t="n">
        <v>1.90061622519597E-005</v>
      </c>
      <c r="AI71" s="33" t="n">
        <v>1.23981194275887E-005</v>
      </c>
      <c r="AJ71" s="33" t="n">
        <v>1.37711285117415E-005</v>
      </c>
      <c r="AK71" s="33" t="n">
        <v>7.45515365846199E-006</v>
      </c>
      <c r="AL71" s="33" t="n">
        <v>1.869368230066E-005</v>
      </c>
      <c r="AM71" s="33" t="n">
        <v>1.19733745735153E-005</v>
      </c>
      <c r="AN71" s="33" t="n">
        <v>2.56064003898459E-005</v>
      </c>
      <c r="AO71" s="33" t="n">
        <v>6.82150263270507E-006</v>
      </c>
      <c r="AP71" s="33" t="n">
        <v>3.1662980870946E-005</v>
      </c>
      <c r="AQ71" s="33" t="n">
        <v>4.09706823799835E-005</v>
      </c>
      <c r="AR71" s="33" t="n">
        <v>1.96963937343914E-005</v>
      </c>
      <c r="AS71" s="33" t="n">
        <v>0.000199729267123659</v>
      </c>
      <c r="AT71" s="33" t="n">
        <v>0.000304609222830274</v>
      </c>
      <c r="AU71" s="33" t="n">
        <v>3.05624631123244E-005</v>
      </c>
      <c r="AV71" s="33" t="n">
        <v>3.71723797156849E-005</v>
      </c>
      <c r="AW71" s="33" t="n">
        <v>3.24750669536874E-005</v>
      </c>
      <c r="AX71" s="33" t="n">
        <v>0.000180014279383706</v>
      </c>
      <c r="AY71" s="33" t="n">
        <v>0.000366046358360583</v>
      </c>
      <c r="AZ71" s="33" t="n">
        <v>0.000177600089129152</v>
      </c>
      <c r="BA71" s="33" t="n">
        <v>0.00010675260057566</v>
      </c>
      <c r="BB71" s="33" t="n">
        <v>0.0001070124497411</v>
      </c>
      <c r="BC71" s="33" t="n">
        <v>0.000121994727256139</v>
      </c>
      <c r="BD71" s="33" t="n">
        <v>0.000100345979597644</v>
      </c>
      <c r="BE71" s="33" t="n">
        <v>0.000102212189615834</v>
      </c>
      <c r="BF71" s="33" t="n">
        <v>3.52188732511831E-005</v>
      </c>
      <c r="BG71" s="33" t="n">
        <v>0.000204930035412617</v>
      </c>
      <c r="BH71" s="33" t="n">
        <v>0.000122102607153492</v>
      </c>
      <c r="BI71" s="33" t="n">
        <v>8.20927119259565E-005</v>
      </c>
      <c r="BJ71" s="33" t="n">
        <v>0.000226045021618539</v>
      </c>
      <c r="BK71" s="33" t="n">
        <v>0.000126643591447153</v>
      </c>
      <c r="BL71" s="33" t="n">
        <v>5.89735439085889E-005</v>
      </c>
      <c r="BM71" s="33" t="n">
        <v>0.000128976173790414</v>
      </c>
      <c r="BN71" s="33" t="n">
        <v>3.25253049796019E-005</v>
      </c>
      <c r="BO71" s="33" t="n">
        <v>0.000367142737289312</v>
      </c>
      <c r="BP71" s="33" t="n">
        <v>9.53598060713519E-005</v>
      </c>
      <c r="BQ71" s="33" t="n">
        <v>0.100272878887278</v>
      </c>
      <c r="BR71" s="33" t="n">
        <v>0.000764744124529494</v>
      </c>
      <c r="BS71" s="33" t="n">
        <v>0.000149872287741389</v>
      </c>
      <c r="BT71" s="33" t="n">
        <v>0</v>
      </c>
    </row>
    <row r="72" customFormat="false" ht="11.25" hidden="false" customHeight="true" outlineLevel="0" collapsed="false">
      <c r="B72" s="24" t="s">
        <v>195</v>
      </c>
      <c r="C72" s="25" t="s">
        <v>196</v>
      </c>
      <c r="D72" s="24" t="n">
        <v>66</v>
      </c>
      <c r="E72" s="34" t="n">
        <v>1.15924962912966E-006</v>
      </c>
      <c r="F72" s="34" t="n">
        <v>6.11957376348659E-005</v>
      </c>
      <c r="G72" s="34" t="n">
        <v>4.44837702677465E-005</v>
      </c>
      <c r="H72" s="34" t="n">
        <v>4.24948169689776E-005</v>
      </c>
      <c r="I72" s="34" t="n">
        <v>5.345918296453E-005</v>
      </c>
      <c r="J72" s="34" t="n">
        <v>4.71612864644725E-006</v>
      </c>
      <c r="K72" s="34" t="n">
        <v>1.12984878691016E-005</v>
      </c>
      <c r="L72" s="34" t="n">
        <v>0.000243806070459368</v>
      </c>
      <c r="M72" s="34" t="n">
        <v>8.37354057997005E-005</v>
      </c>
      <c r="N72" s="34" t="n">
        <v>0.00029618186927587</v>
      </c>
      <c r="O72" s="34" t="n">
        <v>0.00130458423796608</v>
      </c>
      <c r="P72" s="34" t="n">
        <v>0.000514632529507814</v>
      </c>
      <c r="Q72" s="34" t="n">
        <v>8.9200418999834E-005</v>
      </c>
      <c r="R72" s="34" t="n">
        <v>0.000148499616317166</v>
      </c>
      <c r="S72" s="34" t="n">
        <v>0.000450943681998606</v>
      </c>
      <c r="T72" s="34" t="n">
        <v>4.24740054940011E-005</v>
      </c>
      <c r="U72" s="34" t="n">
        <v>0.000202459029847653</v>
      </c>
      <c r="V72" s="34" t="n">
        <v>7.70940729682482E-005</v>
      </c>
      <c r="W72" s="34" t="n">
        <v>1.26075616809625E-005</v>
      </c>
      <c r="X72" s="34" t="n">
        <v>7.69411299260257E-005</v>
      </c>
      <c r="Y72" s="34" t="n">
        <v>3.79307997664385E-005</v>
      </c>
      <c r="Z72" s="34" t="n">
        <v>0.000211074006387628</v>
      </c>
      <c r="AA72" s="34" t="n">
        <v>0.000630143224446467</v>
      </c>
      <c r="AB72" s="34" t="n">
        <v>0.000683024555746022</v>
      </c>
      <c r="AC72" s="34" t="n">
        <v>0.000143031952696658</v>
      </c>
      <c r="AD72" s="34" t="n">
        <v>9.52504517686032E-005</v>
      </c>
      <c r="AE72" s="34" t="n">
        <v>8.09095569502751E-005</v>
      </c>
      <c r="AF72" s="34" t="n">
        <v>3.6612235933761E-005</v>
      </c>
      <c r="AG72" s="34" t="n">
        <v>0.000121614217962798</v>
      </c>
      <c r="AH72" s="34" t="n">
        <v>0.000351044920537179</v>
      </c>
      <c r="AI72" s="34" t="n">
        <v>0.000239006953850272</v>
      </c>
      <c r="AJ72" s="34" t="n">
        <v>0.000128718387877073</v>
      </c>
      <c r="AK72" s="34" t="n">
        <v>0.000478432058931846</v>
      </c>
      <c r="AL72" s="34" t="n">
        <v>3.51007302155706E-005</v>
      </c>
      <c r="AM72" s="34" t="n">
        <v>0.00014260627942966</v>
      </c>
      <c r="AN72" s="34" t="n">
        <v>0.000131818934228239</v>
      </c>
      <c r="AO72" s="34" t="n">
        <v>2.76380782127909E-005</v>
      </c>
      <c r="AP72" s="34" t="n">
        <v>0.000202457648246599</v>
      </c>
      <c r="AQ72" s="34" t="n">
        <v>7.01192939800944E-005</v>
      </c>
      <c r="AR72" s="34" t="n">
        <v>6.72755008190815E-005</v>
      </c>
      <c r="AS72" s="34" t="n">
        <v>0.000361839151491924</v>
      </c>
      <c r="AT72" s="34" t="n">
        <v>0.00037177363020539</v>
      </c>
      <c r="AU72" s="34" t="n">
        <v>4.22662050805606E-005</v>
      </c>
      <c r="AV72" s="34" t="n">
        <v>5.28113575149299E-005</v>
      </c>
      <c r="AW72" s="34" t="n">
        <v>0.000141464032029808</v>
      </c>
      <c r="AX72" s="34" t="n">
        <v>0.000197284225675547</v>
      </c>
      <c r="AY72" s="34" t="n">
        <v>0.000753822154360282</v>
      </c>
      <c r="AZ72" s="34" t="n">
        <v>6.95555203639343E-005</v>
      </c>
      <c r="BA72" s="34" t="n">
        <v>0.00100092857276167</v>
      </c>
      <c r="BB72" s="34" t="n">
        <v>0.0468674185079874</v>
      </c>
      <c r="BC72" s="34" t="n">
        <v>0.0023008543189586</v>
      </c>
      <c r="BD72" s="34" t="n">
        <v>0.000303632873547689</v>
      </c>
      <c r="BE72" s="34" t="n">
        <v>0.000443676107115143</v>
      </c>
      <c r="BF72" s="34" t="n">
        <v>3.57393623240892E-005</v>
      </c>
      <c r="BG72" s="34" t="n">
        <v>0.000501617053073147</v>
      </c>
      <c r="BH72" s="34" t="n">
        <v>0.000117055754141948</v>
      </c>
      <c r="BI72" s="34" t="n">
        <v>0.000840132153443833</v>
      </c>
      <c r="BJ72" s="34" t="n">
        <v>0.000483199564119304</v>
      </c>
      <c r="BK72" s="34" t="n">
        <v>0.00026536905654036</v>
      </c>
      <c r="BL72" s="34" t="n">
        <v>0.000105005865435627</v>
      </c>
      <c r="BM72" s="34" t="n">
        <v>0.000941077929987426</v>
      </c>
      <c r="BN72" s="34" t="n">
        <v>0.000308411361357106</v>
      </c>
      <c r="BO72" s="34" t="n">
        <v>0.000553587666564851</v>
      </c>
      <c r="BP72" s="34" t="n">
        <v>0.000404523058004203</v>
      </c>
      <c r="BQ72" s="34" t="n">
        <v>6.30441384031585E-006</v>
      </c>
      <c r="BR72" s="34" t="n">
        <v>0.0190173523134856</v>
      </c>
      <c r="BS72" s="34" t="n">
        <v>0.0070947970020156</v>
      </c>
      <c r="BT72" s="34" t="n">
        <v>0</v>
      </c>
    </row>
    <row r="73" customFormat="false" ht="11.25" hidden="false" customHeight="true" outlineLevel="0" collapsed="false">
      <c r="B73" s="19" t="s">
        <v>197</v>
      </c>
      <c r="C73" s="20" t="s">
        <v>198</v>
      </c>
      <c r="D73" s="19" t="n">
        <v>67</v>
      </c>
      <c r="E73" s="33" t="n">
        <v>0.000414919957701487</v>
      </c>
      <c r="F73" s="33" t="n">
        <v>0.000264141698199856</v>
      </c>
      <c r="G73" s="33" t="n">
        <v>0.000707283573708043</v>
      </c>
      <c r="H73" s="33" t="n">
        <v>0.00191784294796155</v>
      </c>
      <c r="I73" s="33" t="n">
        <v>0.00231050891855017</v>
      </c>
      <c r="J73" s="33" t="n">
        <v>0.0024050900587448</v>
      </c>
      <c r="K73" s="33" t="n">
        <v>0.00323479981702115</v>
      </c>
      <c r="L73" s="33" t="n">
        <v>0.00114932668590139</v>
      </c>
      <c r="M73" s="33" t="n">
        <v>0.00154687793690986</v>
      </c>
      <c r="N73" s="33" t="n">
        <v>0.00106906688386176</v>
      </c>
      <c r="O73" s="33" t="n">
        <v>0.00153501330459414</v>
      </c>
      <c r="P73" s="33" t="n">
        <v>0.00130538576039293</v>
      </c>
      <c r="Q73" s="33" t="n">
        <v>0.00156361194920495</v>
      </c>
      <c r="R73" s="33" t="n">
        <v>0.00162289584176093</v>
      </c>
      <c r="S73" s="33" t="n">
        <v>0.00175144058203428</v>
      </c>
      <c r="T73" s="33" t="n">
        <v>0.00171715800307849</v>
      </c>
      <c r="U73" s="33" t="n">
        <v>0.00184790470886169</v>
      </c>
      <c r="V73" s="33" t="n">
        <v>0.00238394327009874</v>
      </c>
      <c r="W73" s="33" t="n">
        <v>0.000359259030061662</v>
      </c>
      <c r="X73" s="33" t="n">
        <v>0.00126621128467803</v>
      </c>
      <c r="Y73" s="33" t="n">
        <v>0.000926043280684055</v>
      </c>
      <c r="Z73" s="33" t="n">
        <v>0.00125239808881476</v>
      </c>
      <c r="AA73" s="33" t="n">
        <v>0.00113238853495755</v>
      </c>
      <c r="AB73" s="33" t="n">
        <v>0.00189053837604241</v>
      </c>
      <c r="AC73" s="33" t="n">
        <v>0.00177871868201801</v>
      </c>
      <c r="AD73" s="33" t="n">
        <v>0.00183621626632957</v>
      </c>
      <c r="AE73" s="33" t="n">
        <v>0.00135153009955663</v>
      </c>
      <c r="AF73" s="33" t="n">
        <v>0.0011604062462248</v>
      </c>
      <c r="AG73" s="33" t="n">
        <v>0.00211863318037038</v>
      </c>
      <c r="AH73" s="33" t="n">
        <v>0.00469674459151036</v>
      </c>
      <c r="AI73" s="33" t="n">
        <v>0.00217074180666721</v>
      </c>
      <c r="AJ73" s="33" t="n">
        <v>0.00193595520045877</v>
      </c>
      <c r="AK73" s="33" t="n">
        <v>0.00132182821975652</v>
      </c>
      <c r="AL73" s="33" t="n">
        <v>0.00144223091504047</v>
      </c>
      <c r="AM73" s="33" t="n">
        <v>0.00116497380360946</v>
      </c>
      <c r="AN73" s="33" t="n">
        <v>0.0015525862808967</v>
      </c>
      <c r="AO73" s="33" t="n">
        <v>3.4772894677359E-005</v>
      </c>
      <c r="AP73" s="33" t="n">
        <v>0.00180292555064059</v>
      </c>
      <c r="AQ73" s="33" t="n">
        <v>5.13405256019455E-006</v>
      </c>
      <c r="AR73" s="33" t="n">
        <v>0.000155278273266388</v>
      </c>
      <c r="AS73" s="33" t="n">
        <v>0.000415667078735995</v>
      </c>
      <c r="AT73" s="33" t="n">
        <v>0.00239653001440772</v>
      </c>
      <c r="AU73" s="33" t="n">
        <v>0.00116195291136557</v>
      </c>
      <c r="AV73" s="33" t="n">
        <v>0.000378822372892237</v>
      </c>
      <c r="AW73" s="33" t="n">
        <v>0.000229299743836891</v>
      </c>
      <c r="AX73" s="33" t="n">
        <v>0.00904880275783569</v>
      </c>
      <c r="AY73" s="33" t="n">
        <v>0.0045476412023213</v>
      </c>
      <c r="AZ73" s="33" t="n">
        <v>0.000626953573798811</v>
      </c>
      <c r="BA73" s="33" t="n">
        <v>0.00242324037940321</v>
      </c>
      <c r="BB73" s="33" t="n">
        <v>0.00391490917453756</v>
      </c>
      <c r="BC73" s="33" t="n">
        <v>0.0206095473816012</v>
      </c>
      <c r="BD73" s="33" t="n">
        <v>0.00768651327965754</v>
      </c>
      <c r="BE73" s="33" t="n">
        <v>0.00335010050002329</v>
      </c>
      <c r="BF73" s="33" t="n">
        <v>0.000189333900539663</v>
      </c>
      <c r="BG73" s="33" t="n">
        <v>0.00206249702266154</v>
      </c>
      <c r="BH73" s="33" t="n">
        <v>0.000879244218524794</v>
      </c>
      <c r="BI73" s="33" t="n">
        <v>0.00335371758425145</v>
      </c>
      <c r="BJ73" s="33" t="n">
        <v>0.00181197054674161</v>
      </c>
      <c r="BK73" s="33" t="n">
        <v>0.00510757070659758</v>
      </c>
      <c r="BL73" s="33" t="n">
        <v>0.00093122592277895</v>
      </c>
      <c r="BM73" s="33" t="n">
        <v>0.000899394261769742</v>
      </c>
      <c r="BN73" s="33" t="n">
        <v>0.000391673675851976</v>
      </c>
      <c r="BO73" s="33" t="n">
        <v>0.00409884085985343</v>
      </c>
      <c r="BP73" s="33" t="n">
        <v>0.00785053237271894</v>
      </c>
      <c r="BQ73" s="33" t="n">
        <v>0.0095551501820185</v>
      </c>
      <c r="BR73" s="33" t="n">
        <v>0.000427691437608283</v>
      </c>
      <c r="BS73" s="33" t="n">
        <v>0.00171708008308647</v>
      </c>
      <c r="BT73" s="33" t="n">
        <v>0</v>
      </c>
    </row>
    <row r="74" customFormat="false" ht="11.25" hidden="false" customHeight="true" outlineLevel="0" collapsed="false">
      <c r="B74" s="24" t="s">
        <v>199</v>
      </c>
      <c r="C74" s="25" t="s">
        <v>200</v>
      </c>
      <c r="D74" s="24" t="n">
        <v>68</v>
      </c>
      <c r="E74" s="34" t="n">
        <v>0</v>
      </c>
      <c r="F74" s="34" t="n">
        <v>0</v>
      </c>
      <c r="G74" s="34" t="n">
        <v>0</v>
      </c>
      <c r="H74" s="34" t="n">
        <v>0</v>
      </c>
      <c r="I74" s="34" t="n">
        <v>0</v>
      </c>
      <c r="J74" s="34" t="n">
        <v>0</v>
      </c>
      <c r="K74" s="34" t="n">
        <v>0</v>
      </c>
      <c r="L74" s="34" t="n">
        <v>0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</v>
      </c>
      <c r="R74" s="34" t="n">
        <v>0</v>
      </c>
      <c r="S74" s="34" t="n">
        <v>0</v>
      </c>
      <c r="T74" s="34" t="n">
        <v>0</v>
      </c>
      <c r="U74" s="34" t="n">
        <v>0</v>
      </c>
      <c r="V74" s="34" t="n">
        <v>0</v>
      </c>
      <c r="W74" s="34" t="n">
        <v>0</v>
      </c>
      <c r="X74" s="34" t="n">
        <v>0</v>
      </c>
      <c r="Y74" s="34" t="n">
        <v>0</v>
      </c>
      <c r="Z74" s="34" t="n">
        <v>0</v>
      </c>
      <c r="AA74" s="34" t="n">
        <v>0</v>
      </c>
      <c r="AB74" s="34" t="n">
        <v>0</v>
      </c>
      <c r="AC74" s="34" t="n">
        <v>0</v>
      </c>
      <c r="AD74" s="34" t="n">
        <v>0</v>
      </c>
      <c r="AE74" s="34" t="n">
        <v>0</v>
      </c>
      <c r="AF74" s="34" t="n">
        <v>0</v>
      </c>
      <c r="AG74" s="34" t="n">
        <v>0</v>
      </c>
      <c r="AH74" s="34" t="n">
        <v>0</v>
      </c>
      <c r="AI74" s="34" t="n">
        <v>0</v>
      </c>
      <c r="AJ74" s="34" t="n">
        <v>0</v>
      </c>
      <c r="AK74" s="34" t="n">
        <v>0</v>
      </c>
      <c r="AL74" s="34" t="n">
        <v>0</v>
      </c>
      <c r="AM74" s="34" t="n">
        <v>0</v>
      </c>
      <c r="AN74" s="34" t="n">
        <v>0</v>
      </c>
      <c r="AO74" s="34" t="n">
        <v>0</v>
      </c>
      <c r="AP74" s="34" t="n">
        <v>0</v>
      </c>
      <c r="AQ74" s="34" t="n">
        <v>0</v>
      </c>
      <c r="AR74" s="34" t="n">
        <v>0</v>
      </c>
      <c r="AS74" s="34" t="n">
        <v>0</v>
      </c>
      <c r="AT74" s="34" t="n">
        <v>0</v>
      </c>
      <c r="AU74" s="34" t="n">
        <v>0</v>
      </c>
      <c r="AV74" s="34" t="n">
        <v>0</v>
      </c>
      <c r="AW74" s="34" t="n">
        <v>0</v>
      </c>
      <c r="AX74" s="34" t="n">
        <v>0</v>
      </c>
      <c r="AY74" s="34" t="n">
        <v>0</v>
      </c>
      <c r="AZ74" s="34" t="n">
        <v>0</v>
      </c>
      <c r="BA74" s="34" t="n">
        <v>0</v>
      </c>
      <c r="BB74" s="34" t="n">
        <v>0</v>
      </c>
      <c r="BC74" s="34" t="n">
        <v>0</v>
      </c>
      <c r="BD74" s="34" t="n">
        <v>0</v>
      </c>
      <c r="BE74" s="34" t="n">
        <v>0</v>
      </c>
      <c r="BF74" s="34" t="n">
        <v>0</v>
      </c>
      <c r="BG74" s="34" t="n">
        <v>0</v>
      </c>
      <c r="BH74" s="34" t="n">
        <v>0</v>
      </c>
      <c r="BI74" s="34" t="n">
        <v>0</v>
      </c>
      <c r="BJ74" s="34" t="n">
        <v>0</v>
      </c>
      <c r="BK74" s="34" t="n">
        <v>0</v>
      </c>
      <c r="BL74" s="34" t="n">
        <v>0</v>
      </c>
      <c r="BM74" s="34" t="n">
        <v>0</v>
      </c>
      <c r="BN74" s="34" t="n">
        <v>0</v>
      </c>
      <c r="BO74" s="34" t="n">
        <v>0</v>
      </c>
      <c r="BP74" s="34" t="n">
        <v>0</v>
      </c>
      <c r="BQ74" s="34" t="n">
        <v>0</v>
      </c>
      <c r="BR74" s="34" t="n">
        <v>0</v>
      </c>
      <c r="BS74" s="34" t="n">
        <v>0</v>
      </c>
      <c r="BT74" s="34" t="n">
        <v>0</v>
      </c>
    </row>
  </sheetData>
  <mergeCells count="2">
    <mergeCell ref="B3:V3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8CE"/>
    <pageSetUpPr fitToPage="false"/>
  </sheetPr>
  <dimension ref="B1:BT7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52"/>
    <col collapsed="false" customWidth="true" hidden="false" outlineLevel="0" max="4" min="4" style="0" width="4.4"/>
    <col collapsed="false" customWidth="true" hidden="false" outlineLevel="0" max="72" min="5" style="0" width="10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232</v>
      </c>
    </row>
    <row r="3" customFormat="false" ht="12.75" hidden="false" customHeight="true" outlineLevel="0" collapsed="false">
      <c r="B3" s="15" t="s">
        <v>233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6" customFormat="false" ht="13.5" hidden="false" customHeight="true" outlineLevel="0" collapsed="false">
      <c r="B6" s="32" t="s">
        <v>62</v>
      </c>
      <c r="C6" s="32" t="s">
        <v>63</v>
      </c>
      <c r="D6" s="32"/>
      <c r="E6" s="32" t="n">
        <v>1</v>
      </c>
      <c r="F6" s="32" t="n">
        <v>2</v>
      </c>
      <c r="G6" s="32" t="n">
        <v>3</v>
      </c>
      <c r="H6" s="32" t="n">
        <v>4</v>
      </c>
      <c r="I6" s="32" t="n">
        <v>5</v>
      </c>
      <c r="J6" s="32" t="n">
        <v>6</v>
      </c>
      <c r="K6" s="32" t="n">
        <v>7</v>
      </c>
      <c r="L6" s="32" t="n">
        <v>8</v>
      </c>
      <c r="M6" s="32" t="n">
        <v>9</v>
      </c>
      <c r="N6" s="32" t="n">
        <v>10</v>
      </c>
      <c r="O6" s="32" t="n">
        <v>11</v>
      </c>
      <c r="P6" s="32" t="n">
        <v>12</v>
      </c>
      <c r="Q6" s="32" t="n">
        <v>13</v>
      </c>
      <c r="R6" s="32" t="n">
        <v>14</v>
      </c>
      <c r="S6" s="32" t="n">
        <v>15</v>
      </c>
      <c r="T6" s="32" t="n">
        <v>16</v>
      </c>
      <c r="U6" s="32" t="n">
        <v>17</v>
      </c>
      <c r="V6" s="32" t="n">
        <v>18</v>
      </c>
      <c r="W6" s="32" t="n">
        <v>19</v>
      </c>
      <c r="X6" s="32" t="n">
        <v>20</v>
      </c>
      <c r="Y6" s="32" t="n">
        <v>21</v>
      </c>
      <c r="Z6" s="32" t="n">
        <v>22</v>
      </c>
      <c r="AA6" s="32" t="n">
        <v>23</v>
      </c>
      <c r="AB6" s="32" t="n">
        <v>24</v>
      </c>
      <c r="AC6" s="32" t="n">
        <v>25</v>
      </c>
      <c r="AD6" s="32" t="n">
        <v>26</v>
      </c>
      <c r="AE6" s="32" t="n">
        <v>27</v>
      </c>
      <c r="AF6" s="32" t="n">
        <v>28</v>
      </c>
      <c r="AG6" s="32" t="n">
        <v>29</v>
      </c>
      <c r="AH6" s="32" t="n">
        <v>30</v>
      </c>
      <c r="AI6" s="32" t="n">
        <v>31</v>
      </c>
      <c r="AJ6" s="32" t="n">
        <v>32</v>
      </c>
      <c r="AK6" s="32" t="n">
        <v>33</v>
      </c>
      <c r="AL6" s="32" t="n">
        <v>34</v>
      </c>
      <c r="AM6" s="32" t="n">
        <v>35</v>
      </c>
      <c r="AN6" s="32" t="n">
        <v>36</v>
      </c>
      <c r="AO6" s="32" t="n">
        <v>37</v>
      </c>
      <c r="AP6" s="32" t="n">
        <v>38</v>
      </c>
      <c r="AQ6" s="32" t="n">
        <v>39</v>
      </c>
      <c r="AR6" s="32" t="n">
        <v>40</v>
      </c>
      <c r="AS6" s="32" t="n">
        <v>41</v>
      </c>
      <c r="AT6" s="32" t="n">
        <v>42</v>
      </c>
      <c r="AU6" s="32" t="n">
        <v>43</v>
      </c>
      <c r="AV6" s="32" t="n">
        <v>44</v>
      </c>
      <c r="AW6" s="32" t="n">
        <v>45</v>
      </c>
      <c r="AX6" s="32" t="n">
        <v>46</v>
      </c>
      <c r="AY6" s="32" t="n">
        <v>47</v>
      </c>
      <c r="AZ6" s="32" t="n">
        <v>48</v>
      </c>
      <c r="BA6" s="32" t="n">
        <v>49</v>
      </c>
      <c r="BB6" s="32" t="n">
        <v>50</v>
      </c>
      <c r="BC6" s="32" t="n">
        <v>51</v>
      </c>
      <c r="BD6" s="32" t="n">
        <v>52</v>
      </c>
      <c r="BE6" s="32" t="n">
        <v>53</v>
      </c>
      <c r="BF6" s="32" t="n">
        <v>54</v>
      </c>
      <c r="BG6" s="32" t="n">
        <v>55</v>
      </c>
      <c r="BH6" s="32" t="n">
        <v>56</v>
      </c>
      <c r="BI6" s="32" t="n">
        <v>57</v>
      </c>
      <c r="BJ6" s="32" t="n">
        <v>58</v>
      </c>
      <c r="BK6" s="32" t="n">
        <v>59</v>
      </c>
      <c r="BL6" s="32" t="n">
        <v>60</v>
      </c>
      <c r="BM6" s="32" t="n">
        <v>61</v>
      </c>
      <c r="BN6" s="32" t="n">
        <v>62</v>
      </c>
      <c r="BO6" s="32" t="n">
        <v>63</v>
      </c>
      <c r="BP6" s="32" t="n">
        <v>64</v>
      </c>
      <c r="BQ6" s="32" t="n">
        <v>65</v>
      </c>
      <c r="BR6" s="32" t="n">
        <v>66</v>
      </c>
      <c r="BS6" s="32" t="n">
        <v>67</v>
      </c>
      <c r="BT6" s="32" t="n">
        <v>68</v>
      </c>
    </row>
    <row r="7" customFormat="false" ht="11.25" hidden="false" customHeight="true" outlineLevel="0" collapsed="false">
      <c r="B7" s="19" t="s">
        <v>65</v>
      </c>
      <c r="C7" s="20" t="s">
        <v>66</v>
      </c>
      <c r="D7" s="19" t="n">
        <v>1</v>
      </c>
      <c r="E7" s="33" t="n">
        <v>1.03157117491169</v>
      </c>
      <c r="F7" s="33" t="n">
        <v>0.0599812278981691</v>
      </c>
      <c r="G7" s="33" t="n">
        <v>0.0131647192827521</v>
      </c>
      <c r="H7" s="33" t="n">
        <v>0.0082220785453652</v>
      </c>
      <c r="I7" s="33" t="n">
        <v>0.00306321760787843</v>
      </c>
      <c r="J7" s="33" t="n">
        <v>0.00261333744039397</v>
      </c>
      <c r="K7" s="33" t="n">
        <v>0.00594331177575882</v>
      </c>
      <c r="L7" s="33" t="n">
        <v>0.0829379941005188</v>
      </c>
      <c r="M7" s="33" t="n">
        <v>0.495849010143742</v>
      </c>
      <c r="N7" s="33" t="n">
        <v>0.298457658769139</v>
      </c>
      <c r="O7" s="33" t="n">
        <v>0.0534937445298983</v>
      </c>
      <c r="P7" s="33" t="n">
        <v>0.276747947137133</v>
      </c>
      <c r="Q7" s="33" t="n">
        <v>0.113807613861375</v>
      </c>
      <c r="R7" s="33" t="n">
        <v>0.0320797070201282</v>
      </c>
      <c r="S7" s="33" t="n">
        <v>0.0215089324232427</v>
      </c>
      <c r="T7" s="33" t="n">
        <v>0.0105157160789013</v>
      </c>
      <c r="U7" s="33" t="n">
        <v>0.0150436651087529</v>
      </c>
      <c r="V7" s="33" t="n">
        <v>0.00491769112140954</v>
      </c>
      <c r="W7" s="33" t="n">
        <v>0.0296221563642959</v>
      </c>
      <c r="X7" s="33" t="n">
        <v>0.456793944707667</v>
      </c>
      <c r="Y7" s="33" t="n">
        <v>0.00917879595802256</v>
      </c>
      <c r="Z7" s="33" t="n">
        <v>0.0203989089702103</v>
      </c>
      <c r="AA7" s="33" t="n">
        <v>0.0229695942926108</v>
      </c>
      <c r="AB7" s="33" t="n">
        <v>0.0130370646249358</v>
      </c>
      <c r="AC7" s="33" t="n">
        <v>0.0101427459425095</v>
      </c>
      <c r="AD7" s="33" t="n">
        <v>0.00793098645064383</v>
      </c>
      <c r="AE7" s="33" t="n">
        <v>0.00768614219895103</v>
      </c>
      <c r="AF7" s="33" t="n">
        <v>0.00705776556431504</v>
      </c>
      <c r="AG7" s="33" t="n">
        <v>0.006917879482299</v>
      </c>
      <c r="AH7" s="33" t="n">
        <v>0.00461711110600128</v>
      </c>
      <c r="AI7" s="33" t="n">
        <v>0.00727302655012037</v>
      </c>
      <c r="AJ7" s="33" t="n">
        <v>0.00861280696360316</v>
      </c>
      <c r="AK7" s="33" t="n">
        <v>0.0037947053872404</v>
      </c>
      <c r="AL7" s="33" t="n">
        <v>0.00517083910292985</v>
      </c>
      <c r="AM7" s="33" t="n">
        <v>0.00396092175468085</v>
      </c>
      <c r="AN7" s="33" t="n">
        <v>0.00744344140260198</v>
      </c>
      <c r="AO7" s="33" t="n">
        <v>0.00349698747895265</v>
      </c>
      <c r="AP7" s="33" t="n">
        <v>0.00291928210257247</v>
      </c>
      <c r="AQ7" s="33" t="n">
        <v>0.00275114124531744</v>
      </c>
      <c r="AR7" s="33" t="n">
        <v>0.00402802958322816</v>
      </c>
      <c r="AS7" s="33" t="n">
        <v>0.00223978934346954</v>
      </c>
      <c r="AT7" s="33" t="n">
        <v>0.0132910975530376</v>
      </c>
      <c r="AU7" s="33" t="n">
        <v>0.0081522818253354</v>
      </c>
      <c r="AV7" s="33" t="n">
        <v>0.00461273838334989</v>
      </c>
      <c r="AW7" s="33" t="n">
        <v>0.00623418809855937</v>
      </c>
      <c r="AX7" s="33" t="n">
        <v>0.00230144954765834</v>
      </c>
      <c r="AY7" s="33" t="n">
        <v>0.019018319720445</v>
      </c>
      <c r="AZ7" s="33" t="n">
        <v>0.0441372075059484</v>
      </c>
      <c r="BA7" s="33" t="n">
        <v>0.00904397987668926</v>
      </c>
      <c r="BB7" s="33" t="n">
        <v>0.00648473151942314</v>
      </c>
      <c r="BC7" s="33" t="n">
        <v>0.00858427212816878</v>
      </c>
      <c r="BD7" s="33" t="n">
        <v>0.00180824604988025</v>
      </c>
      <c r="BE7" s="33" t="n">
        <v>0.00145285442413038</v>
      </c>
      <c r="BF7" s="33" t="n">
        <v>0.000287826568818767</v>
      </c>
      <c r="BG7" s="33" t="n">
        <v>0.00206501685217953</v>
      </c>
      <c r="BH7" s="33" t="n">
        <v>0.00219799373184201</v>
      </c>
      <c r="BI7" s="33" t="n">
        <v>0.00424558771195385</v>
      </c>
      <c r="BJ7" s="33" t="n">
        <v>0.0018062701047802</v>
      </c>
      <c r="BK7" s="33" t="n">
        <v>0.00259167128284809</v>
      </c>
      <c r="BL7" s="33" t="n">
        <v>0.00199896450516214</v>
      </c>
      <c r="BM7" s="33" t="n">
        <v>0.00487970215976274</v>
      </c>
      <c r="BN7" s="33" t="n">
        <v>0.00530024009301508</v>
      </c>
      <c r="BO7" s="33" t="n">
        <v>0.00280371248999378</v>
      </c>
      <c r="BP7" s="33" t="n">
        <v>0.00664567353838102</v>
      </c>
      <c r="BQ7" s="33" t="n">
        <v>0.00480428915332182</v>
      </c>
      <c r="BR7" s="33" t="n">
        <v>0.00199688312719708</v>
      </c>
      <c r="BS7" s="33" t="n">
        <v>0.00805039971441021</v>
      </c>
      <c r="BT7" s="33" t="n">
        <v>0</v>
      </c>
    </row>
    <row r="8" customFormat="false" ht="11.25" hidden="false" customHeight="true" outlineLevel="0" collapsed="false">
      <c r="B8" s="24" t="s">
        <v>67</v>
      </c>
      <c r="C8" s="25" t="s">
        <v>68</v>
      </c>
      <c r="D8" s="24" t="n">
        <v>2</v>
      </c>
      <c r="E8" s="34" t="n">
        <v>0.00413963886920706</v>
      </c>
      <c r="F8" s="34" t="n">
        <v>1.046792373485</v>
      </c>
      <c r="G8" s="34" t="n">
        <v>0.00771683079832398</v>
      </c>
      <c r="H8" s="34" t="n">
        <v>0.00103456010266032</v>
      </c>
      <c r="I8" s="34" t="n">
        <v>0.000405800680534321</v>
      </c>
      <c r="J8" s="34" t="n">
        <v>0.00028238722943043</v>
      </c>
      <c r="K8" s="34" t="n">
        <v>0.000697459945753537</v>
      </c>
      <c r="L8" s="34" t="n">
        <v>0.388463008790208</v>
      </c>
      <c r="M8" s="34" t="n">
        <v>0.00487726693953782</v>
      </c>
      <c r="N8" s="34" t="n">
        <v>0.0225778420550266</v>
      </c>
      <c r="O8" s="34" t="n">
        <v>0.00276528010438642</v>
      </c>
      <c r="P8" s="34" t="n">
        <v>0.0158452600111169</v>
      </c>
      <c r="Q8" s="34" t="n">
        <v>0.00383859781680255</v>
      </c>
      <c r="R8" s="34" t="n">
        <v>0.0023433066127561</v>
      </c>
      <c r="S8" s="34" t="n">
        <v>0.0257670670878227</v>
      </c>
      <c r="T8" s="34" t="n">
        <v>0.00823255431782193</v>
      </c>
      <c r="U8" s="34" t="n">
        <v>0.00420365781559155</v>
      </c>
      <c r="V8" s="34" t="n">
        <v>0.000783947509147134</v>
      </c>
      <c r="W8" s="34" t="n">
        <v>0.000800366203728646</v>
      </c>
      <c r="X8" s="34" t="n">
        <v>0.0112795567129901</v>
      </c>
      <c r="Y8" s="34" t="n">
        <v>0.00133977081862353</v>
      </c>
      <c r="Z8" s="34" t="n">
        <v>0.00176498356259275</v>
      </c>
      <c r="AA8" s="34" t="n">
        <v>0.0107400478683383</v>
      </c>
      <c r="AB8" s="34" t="n">
        <v>0.00118748675308122</v>
      </c>
      <c r="AC8" s="34" t="n">
        <v>0.00197190067309466</v>
      </c>
      <c r="AD8" s="34" t="n">
        <v>0.00193297872709277</v>
      </c>
      <c r="AE8" s="34" t="n">
        <v>0.00118480649330137</v>
      </c>
      <c r="AF8" s="34" t="n">
        <v>0.00138230168581307</v>
      </c>
      <c r="AG8" s="34" t="n">
        <v>0.00102385093021519</v>
      </c>
      <c r="AH8" s="34" t="n">
        <v>0.000618755529486749</v>
      </c>
      <c r="AI8" s="34" t="n">
        <v>0.000938623109069789</v>
      </c>
      <c r="AJ8" s="34" t="n">
        <v>0.00102872892090009</v>
      </c>
      <c r="AK8" s="34" t="n">
        <v>0.000572911562205277</v>
      </c>
      <c r="AL8" s="34" t="n">
        <v>0.000625826301835967</v>
      </c>
      <c r="AM8" s="34" t="n">
        <v>0.000571676029698082</v>
      </c>
      <c r="AN8" s="34" t="n">
        <v>0.00149524290111513</v>
      </c>
      <c r="AO8" s="34" t="n">
        <v>0.000444538436514345</v>
      </c>
      <c r="AP8" s="34" t="n">
        <v>0.000270535604633274</v>
      </c>
      <c r="AQ8" s="34" t="n">
        <v>0.000498007661708524</v>
      </c>
      <c r="AR8" s="34" t="n">
        <v>0.00180788560057917</v>
      </c>
      <c r="AS8" s="34" t="n">
        <v>0.000333103455059457</v>
      </c>
      <c r="AT8" s="34" t="n">
        <v>0.00104847189537208</v>
      </c>
      <c r="AU8" s="34" t="n">
        <v>0.000373264876766198</v>
      </c>
      <c r="AV8" s="34" t="n">
        <v>0.00035419772580948</v>
      </c>
      <c r="AW8" s="34" t="n">
        <v>0.00103403271253133</v>
      </c>
      <c r="AX8" s="34" t="n">
        <v>0.000447000163043351</v>
      </c>
      <c r="AY8" s="34" t="n">
        <v>0.0164573266875612</v>
      </c>
      <c r="AZ8" s="34" t="n">
        <v>0.0268989808984238</v>
      </c>
      <c r="BA8" s="34" t="n">
        <v>0.00118700943992698</v>
      </c>
      <c r="BB8" s="34" t="n">
        <v>0.00108640280867387</v>
      </c>
      <c r="BC8" s="34" t="n">
        <v>0.00152639887326895</v>
      </c>
      <c r="BD8" s="34" t="n">
        <v>0.000349804342176177</v>
      </c>
      <c r="BE8" s="34" t="n">
        <v>0.00042100175968941</v>
      </c>
      <c r="BF8" s="34" t="n">
        <v>0.000123449598910622</v>
      </c>
      <c r="BG8" s="34" t="n">
        <v>0.000480415695279892</v>
      </c>
      <c r="BH8" s="34" t="n">
        <v>0.000528823231428852</v>
      </c>
      <c r="BI8" s="34" t="n">
        <v>0.000816881804091826</v>
      </c>
      <c r="BJ8" s="34" t="n">
        <v>0.000330177590057896</v>
      </c>
      <c r="BK8" s="34" t="n">
        <v>0.000591628387482002</v>
      </c>
      <c r="BL8" s="34" t="n">
        <v>0.000224772027581202</v>
      </c>
      <c r="BM8" s="34" t="n">
        <v>0.00207176585163765</v>
      </c>
      <c r="BN8" s="34" t="n">
        <v>0.00332268204045489</v>
      </c>
      <c r="BO8" s="34" t="n">
        <v>0.00125035526700228</v>
      </c>
      <c r="BP8" s="34" t="n">
        <v>0.00335532971194742</v>
      </c>
      <c r="BQ8" s="34" t="n">
        <v>0.0027559228077123</v>
      </c>
      <c r="BR8" s="34" t="n">
        <v>0.000504474114066363</v>
      </c>
      <c r="BS8" s="34" t="n">
        <v>0.00366358714185632</v>
      </c>
      <c r="BT8" s="34" t="n">
        <v>0</v>
      </c>
    </row>
    <row r="9" customFormat="false" ht="11.25" hidden="false" customHeight="true" outlineLevel="0" collapsed="false">
      <c r="B9" s="19" t="s">
        <v>69</v>
      </c>
      <c r="C9" s="20" t="s">
        <v>70</v>
      </c>
      <c r="D9" s="19" t="n">
        <v>3</v>
      </c>
      <c r="E9" s="33" t="n">
        <v>0.00557722297938535</v>
      </c>
      <c r="F9" s="33" t="n">
        <v>0.0130589992941121</v>
      </c>
      <c r="G9" s="33" t="n">
        <v>1.08100013557113</v>
      </c>
      <c r="H9" s="33" t="n">
        <v>0.00104705119900013</v>
      </c>
      <c r="I9" s="33" t="n">
        <v>0.000564617578819264</v>
      </c>
      <c r="J9" s="33" t="n">
        <v>0.000563464092256189</v>
      </c>
      <c r="K9" s="33" t="n">
        <v>0.00093941407051197</v>
      </c>
      <c r="L9" s="33" t="n">
        <v>0.0149518176033215</v>
      </c>
      <c r="M9" s="33" t="n">
        <v>0.00322997072243249</v>
      </c>
      <c r="N9" s="33" t="n">
        <v>0.0062448486122906</v>
      </c>
      <c r="O9" s="33" t="n">
        <v>0.00233205427144835</v>
      </c>
      <c r="P9" s="33" t="n">
        <v>0.00655590851247392</v>
      </c>
      <c r="Q9" s="33" t="n">
        <v>0.0044576738772631</v>
      </c>
      <c r="R9" s="33" t="n">
        <v>0.00250857623498318</v>
      </c>
      <c r="S9" s="33" t="n">
        <v>0.00407830187360108</v>
      </c>
      <c r="T9" s="33" t="n">
        <v>0.13343128545366</v>
      </c>
      <c r="U9" s="33" t="n">
        <v>0.0493165718129157</v>
      </c>
      <c r="V9" s="33" t="n">
        <v>0.00451810127820019</v>
      </c>
      <c r="W9" s="33" t="n">
        <v>0.000602356890374238</v>
      </c>
      <c r="X9" s="33" t="n">
        <v>0.0035703665462744</v>
      </c>
      <c r="Y9" s="33" t="n">
        <v>0.00254910039467048</v>
      </c>
      <c r="Z9" s="33" t="n">
        <v>0.00197281232012655</v>
      </c>
      <c r="AA9" s="33" t="n">
        <v>0.00383239175830089</v>
      </c>
      <c r="AB9" s="33" t="n">
        <v>0.00188560770183869</v>
      </c>
      <c r="AC9" s="33" t="n">
        <v>0.0185483391786891</v>
      </c>
      <c r="AD9" s="33" t="n">
        <v>0.00326484439932907</v>
      </c>
      <c r="AE9" s="33" t="n">
        <v>0.00694372914530304</v>
      </c>
      <c r="AF9" s="33" t="n">
        <v>0.00119361906167183</v>
      </c>
      <c r="AG9" s="33" t="n">
        <v>0.00321955818272757</v>
      </c>
      <c r="AH9" s="33" t="n">
        <v>0.00185038977401654</v>
      </c>
      <c r="AI9" s="33" t="n">
        <v>0.00216899312508018</v>
      </c>
      <c r="AJ9" s="33" t="n">
        <v>0.00257113247373739</v>
      </c>
      <c r="AK9" s="33" t="n">
        <v>0.00233534134136652</v>
      </c>
      <c r="AL9" s="33" t="n">
        <v>0.00259466261201565</v>
      </c>
      <c r="AM9" s="33" t="n">
        <v>0.00211313794818991</v>
      </c>
      <c r="AN9" s="33" t="n">
        <v>0.014230164466711</v>
      </c>
      <c r="AO9" s="33" t="n">
        <v>0.00121962241172969</v>
      </c>
      <c r="AP9" s="33" t="n">
        <v>0.000661022351592865</v>
      </c>
      <c r="AQ9" s="33" t="n">
        <v>0.000865222094976924</v>
      </c>
      <c r="AR9" s="33" t="n">
        <v>0.00365376502983338</v>
      </c>
      <c r="AS9" s="33" t="n">
        <v>0.000869982684496513</v>
      </c>
      <c r="AT9" s="33" t="n">
        <v>0.00160767746132245</v>
      </c>
      <c r="AU9" s="33" t="n">
        <v>0.000765298311982729</v>
      </c>
      <c r="AV9" s="33" t="n">
        <v>0.000717812339273775</v>
      </c>
      <c r="AW9" s="33" t="n">
        <v>0.000907729330248029</v>
      </c>
      <c r="AX9" s="33" t="n">
        <v>0.000638321594409412</v>
      </c>
      <c r="AY9" s="33" t="n">
        <v>0.0034875935280744</v>
      </c>
      <c r="AZ9" s="33" t="n">
        <v>0.00430335380743809</v>
      </c>
      <c r="BA9" s="33" t="n">
        <v>0.00424230577908656</v>
      </c>
      <c r="BB9" s="33" t="n">
        <v>0.00185935578312136</v>
      </c>
      <c r="BC9" s="33" t="n">
        <v>0.00126553812082356</v>
      </c>
      <c r="BD9" s="33" t="n">
        <v>0.000525902305088505</v>
      </c>
      <c r="BE9" s="33" t="n">
        <v>0.000483599904339039</v>
      </c>
      <c r="BF9" s="33" t="n">
        <v>0.000225235891884648</v>
      </c>
      <c r="BG9" s="33" t="n">
        <v>0.000803299413377909</v>
      </c>
      <c r="BH9" s="33" t="n">
        <v>0.000751617621367792</v>
      </c>
      <c r="BI9" s="33" t="n">
        <v>0.00151378398017702</v>
      </c>
      <c r="BJ9" s="33" t="n">
        <v>0.00107265147369535</v>
      </c>
      <c r="BK9" s="33" t="n">
        <v>0.0010032416471079</v>
      </c>
      <c r="BL9" s="33" t="n">
        <v>0.000265849008384741</v>
      </c>
      <c r="BM9" s="33" t="n">
        <v>0.00066092272592237</v>
      </c>
      <c r="BN9" s="33" t="n">
        <v>0.000916242051770391</v>
      </c>
      <c r="BO9" s="33" t="n">
        <v>0.000766885627651438</v>
      </c>
      <c r="BP9" s="33" t="n">
        <v>0.00105667301083296</v>
      </c>
      <c r="BQ9" s="33" t="n">
        <v>0.00136908380436909</v>
      </c>
      <c r="BR9" s="33" t="n">
        <v>0.000580916085135662</v>
      </c>
      <c r="BS9" s="33" t="n">
        <v>0.00123291446778279</v>
      </c>
      <c r="BT9" s="33" t="n">
        <v>0</v>
      </c>
    </row>
    <row r="10" customFormat="false" ht="11.25" hidden="false" customHeight="true" outlineLevel="0" collapsed="false">
      <c r="B10" s="24" t="s">
        <v>71</v>
      </c>
      <c r="C10" s="25" t="s">
        <v>72</v>
      </c>
      <c r="D10" s="24" t="n">
        <v>4</v>
      </c>
      <c r="E10" s="34" t="n">
        <v>0.00545700157184951</v>
      </c>
      <c r="F10" s="34" t="n">
        <v>0.00552519965778983</v>
      </c>
      <c r="G10" s="34" t="n">
        <v>0.00126049434680228</v>
      </c>
      <c r="H10" s="34" t="n">
        <v>1.01879294706077</v>
      </c>
      <c r="I10" s="34" t="n">
        <v>0.00405258659209855</v>
      </c>
      <c r="J10" s="34" t="n">
        <v>0.000948382831361309</v>
      </c>
      <c r="K10" s="34" t="n">
        <v>0.00222350461931669</v>
      </c>
      <c r="L10" s="34" t="n">
        <v>0.00366795100838359</v>
      </c>
      <c r="M10" s="34" t="n">
        <v>0.00368955033711068</v>
      </c>
      <c r="N10" s="34" t="n">
        <v>0.00441753323127492</v>
      </c>
      <c r="O10" s="34" t="n">
        <v>0.00297894663178842</v>
      </c>
      <c r="P10" s="34" t="n">
        <v>0.0021354177334456</v>
      </c>
      <c r="Q10" s="34" t="n">
        <v>0.00481457349661272</v>
      </c>
      <c r="R10" s="34" t="n">
        <v>0.00155781959059778</v>
      </c>
      <c r="S10" s="34" t="n">
        <v>0.00282404030598761</v>
      </c>
      <c r="T10" s="34" t="n">
        <v>0.0016058317773902</v>
      </c>
      <c r="U10" s="34" t="n">
        <v>0.00406038319877716</v>
      </c>
      <c r="V10" s="34" t="n">
        <v>0.00188284800445456</v>
      </c>
      <c r="W10" s="34" t="n">
        <v>0.0023595361066527</v>
      </c>
      <c r="X10" s="34" t="n">
        <v>0.00856087442838211</v>
      </c>
      <c r="Y10" s="34" t="n">
        <v>0.0347075986742634</v>
      </c>
      <c r="Z10" s="34" t="n">
        <v>0.010470249812385</v>
      </c>
      <c r="AA10" s="34" t="n">
        <v>0.00589377104154072</v>
      </c>
      <c r="AB10" s="34" t="n">
        <v>0.00185588154076886</v>
      </c>
      <c r="AC10" s="34" t="n">
        <v>0.00694705100513423</v>
      </c>
      <c r="AD10" s="34" t="n">
        <v>0.0617068527594118</v>
      </c>
      <c r="AE10" s="34" t="n">
        <v>0.0160780350709921</v>
      </c>
      <c r="AF10" s="34" t="n">
        <v>0.0110438261265651</v>
      </c>
      <c r="AG10" s="34" t="n">
        <v>0.00497739401698385</v>
      </c>
      <c r="AH10" s="34" t="n">
        <v>0.00095739895452514</v>
      </c>
      <c r="AI10" s="34" t="n">
        <v>0.00507593016565132</v>
      </c>
      <c r="AJ10" s="34" t="n">
        <v>0.00313780390907448</v>
      </c>
      <c r="AK10" s="34" t="n">
        <v>0.00323798093033283</v>
      </c>
      <c r="AL10" s="34" t="n">
        <v>0.00430099997495568</v>
      </c>
      <c r="AM10" s="34" t="n">
        <v>0.00254459932524005</v>
      </c>
      <c r="AN10" s="34" t="n">
        <v>0.00321353327281106</v>
      </c>
      <c r="AO10" s="34" t="n">
        <v>0.00223854972833497</v>
      </c>
      <c r="AP10" s="34" t="n">
        <v>0.00205594883468362</v>
      </c>
      <c r="AQ10" s="34" t="n">
        <v>0.00886651774338412</v>
      </c>
      <c r="AR10" s="34" t="n">
        <v>0.0188508553945694</v>
      </c>
      <c r="AS10" s="34" t="n">
        <v>0.00104963517103598</v>
      </c>
      <c r="AT10" s="34" t="n">
        <v>0.00077554552524265</v>
      </c>
      <c r="AU10" s="34" t="n">
        <v>0.00107391794866024</v>
      </c>
      <c r="AV10" s="34" t="n">
        <v>0.000742548960652168</v>
      </c>
      <c r="AW10" s="34" t="n">
        <v>0.00074106841409449</v>
      </c>
      <c r="AX10" s="34" t="n">
        <v>0.00074466677472719</v>
      </c>
      <c r="AY10" s="34" t="n">
        <v>0.00164455121257002</v>
      </c>
      <c r="AZ10" s="34" t="n">
        <v>0.00143240034701763</v>
      </c>
      <c r="BA10" s="34" t="n">
        <v>0.00120765195911596</v>
      </c>
      <c r="BB10" s="34" t="n">
        <v>0.00082347487614695</v>
      </c>
      <c r="BC10" s="34" t="n">
        <v>0.00128771864783901</v>
      </c>
      <c r="BD10" s="34" t="n">
        <v>0.000449081541041796</v>
      </c>
      <c r="BE10" s="34" t="n">
        <v>0.000307078832756335</v>
      </c>
      <c r="BF10" s="34" t="n">
        <v>0.000878041608984662</v>
      </c>
      <c r="BG10" s="34" t="n">
        <v>0.000397350253986614</v>
      </c>
      <c r="BH10" s="34" t="n">
        <v>0.000589375479766512</v>
      </c>
      <c r="BI10" s="34" t="n">
        <v>0.000618903308497629</v>
      </c>
      <c r="BJ10" s="34" t="n">
        <v>0.00066817806449939</v>
      </c>
      <c r="BK10" s="34" t="n">
        <v>0.000867050331985825</v>
      </c>
      <c r="BL10" s="34" t="n">
        <v>0.00021273502390854</v>
      </c>
      <c r="BM10" s="34" t="n">
        <v>0.000841507558932985</v>
      </c>
      <c r="BN10" s="34" t="n">
        <v>0.000538488879699778</v>
      </c>
      <c r="BO10" s="34" t="n">
        <v>0.000512637722583792</v>
      </c>
      <c r="BP10" s="34" t="n">
        <v>0.00108602676657901</v>
      </c>
      <c r="BQ10" s="34" t="n">
        <v>0.000883897209870694</v>
      </c>
      <c r="BR10" s="34" t="n">
        <v>0.000623086450863203</v>
      </c>
      <c r="BS10" s="34" t="n">
        <v>0.000926150625470277</v>
      </c>
      <c r="BT10" s="34" t="n">
        <v>0</v>
      </c>
    </row>
    <row r="11" customFormat="false" ht="11.25" hidden="false" customHeight="true" outlineLevel="0" collapsed="false">
      <c r="B11" s="19" t="s">
        <v>73</v>
      </c>
      <c r="C11" s="20" t="s">
        <v>74</v>
      </c>
      <c r="D11" s="19" t="n">
        <v>5</v>
      </c>
      <c r="E11" s="33" t="n">
        <v>0.0282858352922846</v>
      </c>
      <c r="F11" s="33" t="n">
        <v>0.023664791920319</v>
      </c>
      <c r="G11" s="33" t="n">
        <v>0.0142473421528055</v>
      </c>
      <c r="H11" s="33" t="n">
        <v>0.0342704499479507</v>
      </c>
      <c r="I11" s="33" t="n">
        <v>1.06055126303239</v>
      </c>
      <c r="J11" s="33" t="n">
        <v>0.0226422633367123</v>
      </c>
      <c r="K11" s="33" t="n">
        <v>0.0487269959451927</v>
      </c>
      <c r="L11" s="33" t="n">
        <v>0.0311932904373494</v>
      </c>
      <c r="M11" s="33" t="n">
        <v>0.0322522043723249</v>
      </c>
      <c r="N11" s="33" t="n">
        <v>0.0335082330409351</v>
      </c>
      <c r="O11" s="33" t="n">
        <v>0.0206119117983996</v>
      </c>
      <c r="P11" s="33" t="n">
        <v>0.0174063349631211</v>
      </c>
      <c r="Q11" s="33" t="n">
        <v>0.0282586473101449</v>
      </c>
      <c r="R11" s="33" t="n">
        <v>0.0126189649901194</v>
      </c>
      <c r="S11" s="33" t="n">
        <v>0.0212543219955796</v>
      </c>
      <c r="T11" s="33" t="n">
        <v>0.0181343295215259</v>
      </c>
      <c r="U11" s="33" t="n">
        <v>0.0387637126546859</v>
      </c>
      <c r="V11" s="33" t="n">
        <v>0.0124842611905759</v>
      </c>
      <c r="W11" s="33" t="n">
        <v>0.423967797553246</v>
      </c>
      <c r="X11" s="33" t="n">
        <v>0.0299917844295987</v>
      </c>
      <c r="Y11" s="33" t="n">
        <v>0.0667130057876361</v>
      </c>
      <c r="Z11" s="33" t="n">
        <v>0.0357043418772455</v>
      </c>
      <c r="AA11" s="33" t="n">
        <v>0.0257614421247851</v>
      </c>
      <c r="AB11" s="33" t="n">
        <v>0.018714389528566</v>
      </c>
      <c r="AC11" s="33" t="n">
        <v>0.0321108772110882</v>
      </c>
      <c r="AD11" s="33" t="n">
        <v>0.0393650989951664</v>
      </c>
      <c r="AE11" s="33" t="n">
        <v>0.035759728254008</v>
      </c>
      <c r="AF11" s="33" t="n">
        <v>0.0431658922809958</v>
      </c>
      <c r="AG11" s="33" t="n">
        <v>0.0226101668741541</v>
      </c>
      <c r="AH11" s="33" t="n">
        <v>0.0104811636119006</v>
      </c>
      <c r="AI11" s="33" t="n">
        <v>0.0236042870363162</v>
      </c>
      <c r="AJ11" s="33" t="n">
        <v>0.0181196940061254</v>
      </c>
      <c r="AK11" s="33" t="n">
        <v>0.0163204864125164</v>
      </c>
      <c r="AL11" s="33" t="n">
        <v>0.018976783953805</v>
      </c>
      <c r="AM11" s="33" t="n">
        <v>0.0128426115950554</v>
      </c>
      <c r="AN11" s="33" t="n">
        <v>0.0149275839800381</v>
      </c>
      <c r="AO11" s="33" t="n">
        <v>0.0104456985099119</v>
      </c>
      <c r="AP11" s="33" t="n">
        <v>0.0671513221442669</v>
      </c>
      <c r="AQ11" s="33" t="n">
        <v>0.0202658985553619</v>
      </c>
      <c r="AR11" s="33" t="n">
        <v>0.0174140400289497</v>
      </c>
      <c r="AS11" s="33" t="n">
        <v>0.00837282197422086</v>
      </c>
      <c r="AT11" s="33" t="n">
        <v>0.0160798267252789</v>
      </c>
      <c r="AU11" s="33" t="n">
        <v>0.0948296276448911</v>
      </c>
      <c r="AV11" s="33" t="n">
        <v>0.0502781499195298</v>
      </c>
      <c r="AW11" s="33" t="n">
        <v>0.0565111989237169</v>
      </c>
      <c r="AX11" s="33" t="n">
        <v>0.0154751538710714</v>
      </c>
      <c r="AY11" s="33" t="n">
        <v>0.00956433811759806</v>
      </c>
      <c r="AZ11" s="33" t="n">
        <v>0.0111824341639938</v>
      </c>
      <c r="BA11" s="33" t="n">
        <v>0.0161548750191064</v>
      </c>
      <c r="BB11" s="33" t="n">
        <v>0.0105816640370819</v>
      </c>
      <c r="BC11" s="33" t="n">
        <v>0.012040077180914</v>
      </c>
      <c r="BD11" s="33" t="n">
        <v>0.00426156601609931</v>
      </c>
      <c r="BE11" s="33" t="n">
        <v>0.00369009175511421</v>
      </c>
      <c r="BF11" s="33" t="n">
        <v>0.000821614315664348</v>
      </c>
      <c r="BG11" s="33" t="n">
        <v>0.00533246498762212</v>
      </c>
      <c r="BH11" s="33" t="n">
        <v>0.00809784184254997</v>
      </c>
      <c r="BI11" s="33" t="n">
        <v>0.00778571297115515</v>
      </c>
      <c r="BJ11" s="33" t="n">
        <v>0.0113689188148857</v>
      </c>
      <c r="BK11" s="33" t="n">
        <v>0.00660435382181376</v>
      </c>
      <c r="BL11" s="33" t="n">
        <v>0.00629368778709908</v>
      </c>
      <c r="BM11" s="33" t="n">
        <v>0.00523182931392789</v>
      </c>
      <c r="BN11" s="33" t="n">
        <v>0.00365930347256737</v>
      </c>
      <c r="BO11" s="33" t="n">
        <v>0.00676602814263205</v>
      </c>
      <c r="BP11" s="33" t="n">
        <v>0.00501019381957673</v>
      </c>
      <c r="BQ11" s="33" t="n">
        <v>0.00489881347031125</v>
      </c>
      <c r="BR11" s="33" t="n">
        <v>0.00644961897921232</v>
      </c>
      <c r="BS11" s="33" t="n">
        <v>0.0117931072654802</v>
      </c>
      <c r="BT11" s="33" t="n">
        <v>0</v>
      </c>
    </row>
    <row r="12" customFormat="false" ht="11.25" hidden="false" customHeight="true" outlineLevel="0" collapsed="false">
      <c r="B12" s="24" t="s">
        <v>75</v>
      </c>
      <c r="C12" s="25" t="s">
        <v>76</v>
      </c>
      <c r="D12" s="24" t="n">
        <v>6</v>
      </c>
      <c r="E12" s="34" t="n">
        <v>0.000513616797192735</v>
      </c>
      <c r="F12" s="34" t="n">
        <v>0.000890525314702818</v>
      </c>
      <c r="G12" s="34" t="n">
        <v>0.000303818699981028</v>
      </c>
      <c r="H12" s="34" t="n">
        <v>0.00187383140055671</v>
      </c>
      <c r="I12" s="34" t="n">
        <v>0.00307646413011847</v>
      </c>
      <c r="J12" s="34" t="n">
        <v>1.01458211780084</v>
      </c>
      <c r="K12" s="34" t="n">
        <v>0.00584988993367023</v>
      </c>
      <c r="L12" s="34" t="n">
        <v>0.00147369902075705</v>
      </c>
      <c r="M12" s="34" t="n">
        <v>0.00069529720580166</v>
      </c>
      <c r="N12" s="34" t="n">
        <v>0.00115759324968558</v>
      </c>
      <c r="O12" s="34" t="n">
        <v>0.00225458393811879</v>
      </c>
      <c r="P12" s="34" t="n">
        <v>0.000575972665120596</v>
      </c>
      <c r="Q12" s="34" t="n">
        <v>0.000764146037488762</v>
      </c>
      <c r="R12" s="34" t="n">
        <v>0.00057902737863201</v>
      </c>
      <c r="S12" s="34" t="n">
        <v>0.000841605456777823</v>
      </c>
      <c r="T12" s="34" t="n">
        <v>0.00101270801131234</v>
      </c>
      <c r="U12" s="34" t="n">
        <v>0.00145583725449815</v>
      </c>
      <c r="V12" s="34" t="n">
        <v>0.0010623004087377</v>
      </c>
      <c r="W12" s="34" t="n">
        <v>0.00143429334142697</v>
      </c>
      <c r="X12" s="34" t="n">
        <v>0.00076639373950545</v>
      </c>
      <c r="Y12" s="34" t="n">
        <v>0.0009566763118923</v>
      </c>
      <c r="Z12" s="34" t="n">
        <v>0.00150336893865761</v>
      </c>
      <c r="AA12" s="34" t="n">
        <v>0.00150699358005099</v>
      </c>
      <c r="AB12" s="34" t="n">
        <v>0.000805045142065369</v>
      </c>
      <c r="AC12" s="34" t="n">
        <v>0.00233920105494579</v>
      </c>
      <c r="AD12" s="34" t="n">
        <v>0.00419274570099071</v>
      </c>
      <c r="AE12" s="34" t="n">
        <v>0.141817938084819</v>
      </c>
      <c r="AF12" s="34" t="n">
        <v>0.00852774712380928</v>
      </c>
      <c r="AG12" s="34" t="n">
        <v>0.032385566338704</v>
      </c>
      <c r="AH12" s="34" t="n">
        <v>0.00131336168164243</v>
      </c>
      <c r="AI12" s="34" t="n">
        <v>0.0102112184335188</v>
      </c>
      <c r="AJ12" s="34" t="n">
        <v>0.0154054632926824</v>
      </c>
      <c r="AK12" s="34" t="n">
        <v>0.011439696932637</v>
      </c>
      <c r="AL12" s="34" t="n">
        <v>0.0175941265251229</v>
      </c>
      <c r="AM12" s="34" t="n">
        <v>0.00741604217373451</v>
      </c>
      <c r="AN12" s="34" t="n">
        <v>0.00448785271405045</v>
      </c>
      <c r="AO12" s="34" t="n">
        <v>0.00659129894376318</v>
      </c>
      <c r="AP12" s="34" t="n">
        <v>0.00116624480342972</v>
      </c>
      <c r="AQ12" s="34" t="n">
        <v>0.00173850694319095</v>
      </c>
      <c r="AR12" s="34" t="n">
        <v>0.00706514742650248</v>
      </c>
      <c r="AS12" s="34" t="n">
        <v>0.00208230066966067</v>
      </c>
      <c r="AT12" s="34" t="n">
        <v>0.000689847905598267</v>
      </c>
      <c r="AU12" s="34" t="n">
        <v>0.0014023190361715</v>
      </c>
      <c r="AV12" s="34" t="n">
        <v>0.000991266723010227</v>
      </c>
      <c r="AW12" s="34" t="n">
        <v>0.000559233489594376</v>
      </c>
      <c r="AX12" s="34" t="n">
        <v>0.000622528108559519</v>
      </c>
      <c r="AY12" s="34" t="n">
        <v>0.000700895954939661</v>
      </c>
      <c r="AZ12" s="34" t="n">
        <v>0.000844105739452009</v>
      </c>
      <c r="BA12" s="34" t="n">
        <v>0.000885448269057716</v>
      </c>
      <c r="BB12" s="34" t="n">
        <v>0.000602157567870144</v>
      </c>
      <c r="BC12" s="34" t="n">
        <v>0.000856877229093436</v>
      </c>
      <c r="BD12" s="34" t="n">
        <v>0.000341373435453714</v>
      </c>
      <c r="BE12" s="34" t="n">
        <v>0.000196523768203771</v>
      </c>
      <c r="BF12" s="34" t="n">
        <v>0.000112909694835969</v>
      </c>
      <c r="BG12" s="34" t="n">
        <v>0.000305004047721706</v>
      </c>
      <c r="BH12" s="34" t="n">
        <v>0.000644581951418283</v>
      </c>
      <c r="BI12" s="34" t="n">
        <v>0.000440411895610856</v>
      </c>
      <c r="BJ12" s="34" t="n">
        <v>0.00137756011433696</v>
      </c>
      <c r="BK12" s="34" t="n">
        <v>0.000506298063614452</v>
      </c>
      <c r="BL12" s="34" t="n">
        <v>0.000260252300643984</v>
      </c>
      <c r="BM12" s="34" t="n">
        <v>0.000418853462932042</v>
      </c>
      <c r="BN12" s="34" t="n">
        <v>0.00024925802389363</v>
      </c>
      <c r="BO12" s="34" t="n">
        <v>0.000345126640731475</v>
      </c>
      <c r="BP12" s="34" t="n">
        <v>0.00050200036251837</v>
      </c>
      <c r="BQ12" s="34" t="n">
        <v>0.000421478828831958</v>
      </c>
      <c r="BR12" s="34" t="n">
        <v>0.000509007799513862</v>
      </c>
      <c r="BS12" s="34" t="n">
        <v>0.000484109360155788</v>
      </c>
      <c r="BT12" s="34" t="n">
        <v>0</v>
      </c>
    </row>
    <row r="13" customFormat="false" ht="11.25" hidden="false" customHeight="true" outlineLevel="0" collapsed="false">
      <c r="B13" s="19" t="s">
        <v>77</v>
      </c>
      <c r="C13" s="20" t="s">
        <v>78</v>
      </c>
      <c r="D13" s="19" t="n">
        <v>7</v>
      </c>
      <c r="E13" s="33" t="n">
        <v>0.000489920481476512</v>
      </c>
      <c r="F13" s="33" t="n">
        <v>0.000453601488213739</v>
      </c>
      <c r="G13" s="33" t="n">
        <v>0.000194459431237895</v>
      </c>
      <c r="H13" s="33" t="n">
        <v>0.00102229811353766</v>
      </c>
      <c r="I13" s="33" t="n">
        <v>0.00114753148179621</v>
      </c>
      <c r="J13" s="33" t="n">
        <v>0.000776275622140372</v>
      </c>
      <c r="K13" s="33" t="n">
        <v>1.05993965214062</v>
      </c>
      <c r="L13" s="33" t="n">
        <v>0.000976875269277551</v>
      </c>
      <c r="M13" s="33" t="n">
        <v>0.000554668217471753</v>
      </c>
      <c r="N13" s="33" t="n">
        <v>0.00101993706921964</v>
      </c>
      <c r="O13" s="33" t="n">
        <v>0.000879841207502233</v>
      </c>
      <c r="P13" s="33" t="n">
        <v>0.000445097319002392</v>
      </c>
      <c r="Q13" s="33" t="n">
        <v>0.000672605305728749</v>
      </c>
      <c r="R13" s="33" t="n">
        <v>0.000487857514394573</v>
      </c>
      <c r="S13" s="33" t="n">
        <v>0.000650588546188684</v>
      </c>
      <c r="T13" s="33" t="n">
        <v>0.000581749051465019</v>
      </c>
      <c r="U13" s="33" t="n">
        <v>0.00164682554880009</v>
      </c>
      <c r="V13" s="33" t="n">
        <v>0.00304566685566186</v>
      </c>
      <c r="W13" s="33" t="n">
        <v>0.000583728198237412</v>
      </c>
      <c r="X13" s="33" t="n">
        <v>0.000624389436370645</v>
      </c>
      <c r="Y13" s="33" t="n">
        <v>0.00169428119018084</v>
      </c>
      <c r="Z13" s="33" t="n">
        <v>0.00182930029012948</v>
      </c>
      <c r="AA13" s="33" t="n">
        <v>0.00100024253683932</v>
      </c>
      <c r="AB13" s="33" t="n">
        <v>0.000593993918282016</v>
      </c>
      <c r="AC13" s="33" t="n">
        <v>0.0011344032587177</v>
      </c>
      <c r="AD13" s="33" t="n">
        <v>0.00176783925399898</v>
      </c>
      <c r="AE13" s="33" t="n">
        <v>0.0179515166108282</v>
      </c>
      <c r="AF13" s="33" t="n">
        <v>0.176322600105073</v>
      </c>
      <c r="AG13" s="33" t="n">
        <v>0.00750678636622586</v>
      </c>
      <c r="AH13" s="33" t="n">
        <v>0.00136033798997144</v>
      </c>
      <c r="AI13" s="33" t="n">
        <v>0.0200996551177994</v>
      </c>
      <c r="AJ13" s="33" t="n">
        <v>0.00621847256209136</v>
      </c>
      <c r="AK13" s="33" t="n">
        <v>0.00501545249582001</v>
      </c>
      <c r="AL13" s="33" t="n">
        <v>0.0137072053953611</v>
      </c>
      <c r="AM13" s="33" t="n">
        <v>0.0057562007612667</v>
      </c>
      <c r="AN13" s="33" t="n">
        <v>0.00578606136912392</v>
      </c>
      <c r="AO13" s="33" t="n">
        <v>0.00685121734101553</v>
      </c>
      <c r="AP13" s="33" t="n">
        <v>0.000850499492207912</v>
      </c>
      <c r="AQ13" s="33" t="n">
        <v>0.00130290206229778</v>
      </c>
      <c r="AR13" s="33" t="n">
        <v>0.00288228069224632</v>
      </c>
      <c r="AS13" s="33" t="n">
        <v>0.0021283466779603</v>
      </c>
      <c r="AT13" s="33" t="n">
        <v>0.000442028610563726</v>
      </c>
      <c r="AU13" s="33" t="n">
        <v>0.00100884811346129</v>
      </c>
      <c r="AV13" s="33" t="n">
        <v>0.000773098581151503</v>
      </c>
      <c r="AW13" s="33" t="n">
        <v>0.000356672812821368</v>
      </c>
      <c r="AX13" s="33" t="n">
        <v>0.00048727100599606</v>
      </c>
      <c r="AY13" s="33" t="n">
        <v>0.000439500312016097</v>
      </c>
      <c r="AZ13" s="33" t="n">
        <v>0.000416043061943679</v>
      </c>
      <c r="BA13" s="33" t="n">
        <v>0.000908504775975588</v>
      </c>
      <c r="BB13" s="33" t="n">
        <v>0.000484521679502838</v>
      </c>
      <c r="BC13" s="33" t="n">
        <v>0.000617655120059107</v>
      </c>
      <c r="BD13" s="33" t="n">
        <v>0.000265769353614797</v>
      </c>
      <c r="BE13" s="33" t="n">
        <v>0.000170511420419984</v>
      </c>
      <c r="BF13" s="33" t="n">
        <v>9.59079834660973E-005</v>
      </c>
      <c r="BG13" s="33" t="n">
        <v>0.000305803659125645</v>
      </c>
      <c r="BH13" s="33" t="n">
        <v>0.00035213299770382</v>
      </c>
      <c r="BI13" s="33" t="n">
        <v>0.000457261589225176</v>
      </c>
      <c r="BJ13" s="33" t="n">
        <v>0.000657723328435488</v>
      </c>
      <c r="BK13" s="33" t="n">
        <v>0.000388442258170255</v>
      </c>
      <c r="BL13" s="33" t="n">
        <v>0.000175970945052725</v>
      </c>
      <c r="BM13" s="33" t="n">
        <v>0.000239459866255334</v>
      </c>
      <c r="BN13" s="33" t="n">
        <v>0.00018040458986982</v>
      </c>
      <c r="BO13" s="33" t="n">
        <v>0.000281669581107929</v>
      </c>
      <c r="BP13" s="33" t="n">
        <v>0.0003762135060983</v>
      </c>
      <c r="BQ13" s="33" t="n">
        <v>0.000501703874292427</v>
      </c>
      <c r="BR13" s="33" t="n">
        <v>0.000531493619147059</v>
      </c>
      <c r="BS13" s="33" t="n">
        <v>0.00043678982799081</v>
      </c>
      <c r="BT13" s="33" t="n">
        <v>0</v>
      </c>
    </row>
    <row r="14" customFormat="false" ht="11.25" hidden="false" customHeight="true" outlineLevel="0" collapsed="false">
      <c r="B14" s="24" t="s">
        <v>79</v>
      </c>
      <c r="C14" s="25" t="s">
        <v>80</v>
      </c>
      <c r="D14" s="24" t="n">
        <v>8</v>
      </c>
      <c r="E14" s="34" t="n">
        <v>0.00116885766389498</v>
      </c>
      <c r="F14" s="34" t="n">
        <v>0.0234310665211661</v>
      </c>
      <c r="G14" s="34" t="n">
        <v>0.00379333795743042</v>
      </c>
      <c r="H14" s="34" t="n">
        <v>0.000760047755092714</v>
      </c>
      <c r="I14" s="34" t="n">
        <v>0.000347216170013652</v>
      </c>
      <c r="J14" s="34" t="n">
        <v>0.00027336609858461</v>
      </c>
      <c r="K14" s="34" t="n">
        <v>0.000542198506403384</v>
      </c>
      <c r="L14" s="34" t="n">
        <v>1.09113035551195</v>
      </c>
      <c r="M14" s="34" t="n">
        <v>0.00108165366991991</v>
      </c>
      <c r="N14" s="34" t="n">
        <v>0.00999693358219903</v>
      </c>
      <c r="O14" s="34" t="n">
        <v>0.00170392254795743</v>
      </c>
      <c r="P14" s="34" t="n">
        <v>0.00131271516596474</v>
      </c>
      <c r="Q14" s="34" t="n">
        <v>0.00104506828677722</v>
      </c>
      <c r="R14" s="34" t="n">
        <v>0.000747433710556083</v>
      </c>
      <c r="S14" s="34" t="n">
        <v>0.0692039882641202</v>
      </c>
      <c r="T14" s="34" t="n">
        <v>0.00113834623023137</v>
      </c>
      <c r="U14" s="34" t="n">
        <v>0.00153833280365428</v>
      </c>
      <c r="V14" s="34" t="n">
        <v>0.000595165383795015</v>
      </c>
      <c r="W14" s="34" t="n">
        <v>0.000809798534887673</v>
      </c>
      <c r="X14" s="34" t="n">
        <v>0.0151421088606537</v>
      </c>
      <c r="Y14" s="34" t="n">
        <v>0.000837551589521615</v>
      </c>
      <c r="Z14" s="34" t="n">
        <v>0.00176638132347516</v>
      </c>
      <c r="AA14" s="34" t="n">
        <v>0.0272080585810636</v>
      </c>
      <c r="AB14" s="34" t="n">
        <v>0.00136703147594513</v>
      </c>
      <c r="AC14" s="34" t="n">
        <v>0.00107417042610322</v>
      </c>
      <c r="AD14" s="34" t="n">
        <v>0.00080720221771984</v>
      </c>
      <c r="AE14" s="34" t="n">
        <v>0.00085052480795278</v>
      </c>
      <c r="AF14" s="34" t="n">
        <v>0.000739275739104978</v>
      </c>
      <c r="AG14" s="34" t="n">
        <v>0.00119582429249983</v>
      </c>
      <c r="AH14" s="34" t="n">
        <v>0.00063717746162282</v>
      </c>
      <c r="AI14" s="34" t="n">
        <v>0.000870397585269817</v>
      </c>
      <c r="AJ14" s="34" t="n">
        <v>0.00106712693913436</v>
      </c>
      <c r="AK14" s="34" t="n">
        <v>0.000520307282300182</v>
      </c>
      <c r="AL14" s="34" t="n">
        <v>0.000450477007536754</v>
      </c>
      <c r="AM14" s="34" t="n">
        <v>0.000480558928126423</v>
      </c>
      <c r="AN14" s="34" t="n">
        <v>0.000699496034961932</v>
      </c>
      <c r="AO14" s="34" t="n">
        <v>0.000451735378041287</v>
      </c>
      <c r="AP14" s="34" t="n">
        <v>0.000298046088624138</v>
      </c>
      <c r="AQ14" s="34" t="n">
        <v>0.000264086438923723</v>
      </c>
      <c r="AR14" s="34" t="n">
        <v>0.000405930083483252</v>
      </c>
      <c r="AS14" s="34" t="n">
        <v>0.000321562760851117</v>
      </c>
      <c r="AT14" s="34" t="n">
        <v>0.000852523970611602</v>
      </c>
      <c r="AU14" s="34" t="n">
        <v>0.000372431955500525</v>
      </c>
      <c r="AV14" s="34" t="n">
        <v>0.000370833691665034</v>
      </c>
      <c r="AW14" s="34" t="n">
        <v>0.00171428544088001</v>
      </c>
      <c r="AX14" s="34" t="n">
        <v>0.000340150572751206</v>
      </c>
      <c r="AY14" s="34" t="n">
        <v>0.0168929749041782</v>
      </c>
      <c r="AZ14" s="34" t="n">
        <v>0.0556145382666962</v>
      </c>
      <c r="BA14" s="34" t="n">
        <v>0.00114094380258592</v>
      </c>
      <c r="BB14" s="34" t="n">
        <v>0.00140054327262094</v>
      </c>
      <c r="BC14" s="34" t="n">
        <v>0.00123533043538403</v>
      </c>
      <c r="BD14" s="34" t="n">
        <v>0.000358736984188183</v>
      </c>
      <c r="BE14" s="34" t="n">
        <v>0.000518866850572007</v>
      </c>
      <c r="BF14" s="34" t="n">
        <v>5.24675274908601E-005</v>
      </c>
      <c r="BG14" s="34" t="n">
        <v>0.000660641644038504</v>
      </c>
      <c r="BH14" s="34" t="n">
        <v>0.000402373008297045</v>
      </c>
      <c r="BI14" s="34" t="n">
        <v>0.000943980754876883</v>
      </c>
      <c r="BJ14" s="34" t="n">
        <v>0.000332464645338772</v>
      </c>
      <c r="BK14" s="34" t="n">
        <v>0.000684144580748462</v>
      </c>
      <c r="BL14" s="34" t="n">
        <v>0.000302124125743474</v>
      </c>
      <c r="BM14" s="34" t="n">
        <v>0.00397118760465796</v>
      </c>
      <c r="BN14" s="34" t="n">
        <v>0.00710853332621199</v>
      </c>
      <c r="BO14" s="34" t="n">
        <v>0.00239182701013641</v>
      </c>
      <c r="BP14" s="34" t="n">
        <v>0.00676855122502795</v>
      </c>
      <c r="BQ14" s="34" t="n">
        <v>0.00478152778598812</v>
      </c>
      <c r="BR14" s="34" t="n">
        <v>0.000717401546116564</v>
      </c>
      <c r="BS14" s="34" t="n">
        <v>0.00634076332908189</v>
      </c>
      <c r="BT14" s="34" t="n">
        <v>0</v>
      </c>
    </row>
    <row r="15" customFormat="false" ht="11.25" hidden="false" customHeight="true" outlineLevel="0" collapsed="false">
      <c r="B15" s="19" t="s">
        <v>81</v>
      </c>
      <c r="C15" s="20" t="s">
        <v>82</v>
      </c>
      <c r="D15" s="19" t="n">
        <v>9</v>
      </c>
      <c r="E15" s="33" t="n">
        <v>0.00302080697662819</v>
      </c>
      <c r="F15" s="33" t="n">
        <v>0.00469159237987801</v>
      </c>
      <c r="G15" s="33" t="n">
        <v>0.00156848992448074</v>
      </c>
      <c r="H15" s="33" t="n">
        <v>0.00390243861727376</v>
      </c>
      <c r="I15" s="33" t="n">
        <v>0.00193430142646286</v>
      </c>
      <c r="J15" s="33" t="n">
        <v>0.00163859878822798</v>
      </c>
      <c r="K15" s="33" t="n">
        <v>0.00365123109702745</v>
      </c>
      <c r="L15" s="33" t="n">
        <v>0.00754424449756813</v>
      </c>
      <c r="M15" s="33" t="n">
        <v>1.04119033412054</v>
      </c>
      <c r="N15" s="33" t="n">
        <v>0.0268319080494781</v>
      </c>
      <c r="O15" s="33" t="n">
        <v>0.0205199080190486</v>
      </c>
      <c r="P15" s="33" t="n">
        <v>0.00179664809678391</v>
      </c>
      <c r="Q15" s="33" t="n">
        <v>0.00242315854036441</v>
      </c>
      <c r="R15" s="33" t="n">
        <v>0.00118005848826298</v>
      </c>
      <c r="S15" s="33" t="n">
        <v>0.00235315794390589</v>
      </c>
      <c r="T15" s="33" t="n">
        <v>0.00181598779711839</v>
      </c>
      <c r="U15" s="33" t="n">
        <v>0.0032090958355094</v>
      </c>
      <c r="V15" s="33" t="n">
        <v>0.00182984189980718</v>
      </c>
      <c r="W15" s="33" t="n">
        <v>0.0263226204323757</v>
      </c>
      <c r="X15" s="33" t="n">
        <v>0.0276458415928305</v>
      </c>
      <c r="Y15" s="33" t="n">
        <v>0.0050369047898892</v>
      </c>
      <c r="Z15" s="33" t="n">
        <v>0.0152682216704687</v>
      </c>
      <c r="AA15" s="33" t="n">
        <v>0.0127894725280901</v>
      </c>
      <c r="AB15" s="33" t="n">
        <v>0.00584823968712874</v>
      </c>
      <c r="AC15" s="33" t="n">
        <v>0.00305569462139972</v>
      </c>
      <c r="AD15" s="33" t="n">
        <v>0.0030464394877828</v>
      </c>
      <c r="AE15" s="33" t="n">
        <v>0.00268354492957044</v>
      </c>
      <c r="AF15" s="33" t="n">
        <v>0.00297263365972082</v>
      </c>
      <c r="AG15" s="33" t="n">
        <v>0.00190750928943201</v>
      </c>
      <c r="AH15" s="33" t="n">
        <v>0.00105277492171827</v>
      </c>
      <c r="AI15" s="33" t="n">
        <v>0.00203995880039222</v>
      </c>
      <c r="AJ15" s="33" t="n">
        <v>0.00248238967327538</v>
      </c>
      <c r="AK15" s="33" t="n">
        <v>0.00139896264441309</v>
      </c>
      <c r="AL15" s="33" t="n">
        <v>0.00143719173557794</v>
      </c>
      <c r="AM15" s="33" t="n">
        <v>0.00124112857784076</v>
      </c>
      <c r="AN15" s="33" t="n">
        <v>0.00142742453192547</v>
      </c>
      <c r="AO15" s="33" t="n">
        <v>0.0018284313658009</v>
      </c>
      <c r="AP15" s="33" t="n">
        <v>0.00283746028880405</v>
      </c>
      <c r="AQ15" s="33" t="n">
        <v>0.00148724099521229</v>
      </c>
      <c r="AR15" s="33" t="n">
        <v>0.00164460218340148</v>
      </c>
      <c r="AS15" s="33" t="n">
        <v>0.00106062212729113</v>
      </c>
      <c r="AT15" s="33" t="n">
        <v>0.00149493795327705</v>
      </c>
      <c r="AU15" s="33" t="n">
        <v>0.00671498752527464</v>
      </c>
      <c r="AV15" s="33" t="n">
        <v>0.00342018117626674</v>
      </c>
      <c r="AW15" s="33" t="n">
        <v>0.00389051024459516</v>
      </c>
      <c r="AX15" s="33" t="n">
        <v>0.00137066520830151</v>
      </c>
      <c r="AY15" s="33" t="n">
        <v>0.0018189049825366</v>
      </c>
      <c r="AZ15" s="33" t="n">
        <v>0.00899462391402591</v>
      </c>
      <c r="BA15" s="33" t="n">
        <v>0.00175777646959579</v>
      </c>
      <c r="BB15" s="33" t="n">
        <v>0.00121705531473553</v>
      </c>
      <c r="BC15" s="33" t="n">
        <v>0.00131131855839763</v>
      </c>
      <c r="BD15" s="33" t="n">
        <v>0.000434179481454692</v>
      </c>
      <c r="BE15" s="33" t="n">
        <v>0.000418474421420118</v>
      </c>
      <c r="BF15" s="33" t="n">
        <v>0.000101234009562601</v>
      </c>
      <c r="BG15" s="33" t="n">
        <v>0.0005555596739947</v>
      </c>
      <c r="BH15" s="33" t="n">
        <v>0.000964603579005426</v>
      </c>
      <c r="BI15" s="33" t="n">
        <v>0.0009419956180381</v>
      </c>
      <c r="BJ15" s="33" t="n">
        <v>0.000899447350357001</v>
      </c>
      <c r="BK15" s="33" t="n">
        <v>0.000836170352419115</v>
      </c>
      <c r="BL15" s="33" t="n">
        <v>0.00110693463010357</v>
      </c>
      <c r="BM15" s="33" t="n">
        <v>0.00123922553859191</v>
      </c>
      <c r="BN15" s="33" t="n">
        <v>0.00111968837028644</v>
      </c>
      <c r="BO15" s="33" t="n">
        <v>0.00084387921742063</v>
      </c>
      <c r="BP15" s="33" t="n">
        <v>0.00143756798260733</v>
      </c>
      <c r="BQ15" s="33" t="n">
        <v>0.00115174007998329</v>
      </c>
      <c r="BR15" s="33" t="n">
        <v>0.000736000256750758</v>
      </c>
      <c r="BS15" s="33" t="n">
        <v>0.00188982757712678</v>
      </c>
      <c r="BT15" s="33" t="n">
        <v>0</v>
      </c>
    </row>
    <row r="16" customFormat="false" ht="11.25" hidden="false" customHeight="true" outlineLevel="0" collapsed="false">
      <c r="B16" s="24" t="s">
        <v>83</v>
      </c>
      <c r="C16" s="25" t="s">
        <v>84</v>
      </c>
      <c r="D16" s="24" t="n">
        <v>10</v>
      </c>
      <c r="E16" s="34" t="n">
        <v>0.0105814102377298</v>
      </c>
      <c r="F16" s="34" t="n">
        <v>0.0740771143546222</v>
      </c>
      <c r="G16" s="34" t="n">
        <v>0.0191974719331391</v>
      </c>
      <c r="H16" s="34" t="n">
        <v>0.0102545956643301</v>
      </c>
      <c r="I16" s="34" t="n">
        <v>0.00166428823299401</v>
      </c>
      <c r="J16" s="34" t="n">
        <v>0.00163592222334847</v>
      </c>
      <c r="K16" s="34" t="n">
        <v>0.00359526944509581</v>
      </c>
      <c r="L16" s="34" t="n">
        <v>0.105402889944958</v>
      </c>
      <c r="M16" s="34" t="n">
        <v>0.00835066671489955</v>
      </c>
      <c r="N16" s="34" t="n">
        <v>1.11449472841865</v>
      </c>
      <c r="O16" s="34" t="n">
        <v>0.037062679888709</v>
      </c>
      <c r="P16" s="34" t="n">
        <v>0.00920750703950099</v>
      </c>
      <c r="Q16" s="34" t="n">
        <v>0.00833150588141603</v>
      </c>
      <c r="R16" s="34" t="n">
        <v>0.00541506740823477</v>
      </c>
      <c r="S16" s="34" t="n">
        <v>0.0161779845394867</v>
      </c>
      <c r="T16" s="34" t="n">
        <v>0.00734822476381521</v>
      </c>
      <c r="U16" s="34" t="n">
        <v>0.0184579637599138</v>
      </c>
      <c r="V16" s="34" t="n">
        <v>0.00524347414627235</v>
      </c>
      <c r="W16" s="34" t="n">
        <v>0.00542781991141923</v>
      </c>
      <c r="X16" s="34" t="n">
        <v>0.0634324759780028</v>
      </c>
      <c r="Y16" s="34" t="n">
        <v>0.00784219090536374</v>
      </c>
      <c r="Z16" s="34" t="n">
        <v>0.0207751418889989</v>
      </c>
      <c r="AA16" s="34" t="n">
        <v>0.0282112453275472</v>
      </c>
      <c r="AB16" s="34" t="n">
        <v>0.00951253561302659</v>
      </c>
      <c r="AC16" s="34" t="n">
        <v>0.00877853326469702</v>
      </c>
      <c r="AD16" s="34" t="n">
        <v>0.00644585921740751</v>
      </c>
      <c r="AE16" s="34" t="n">
        <v>0.00628909982143809</v>
      </c>
      <c r="AF16" s="34" t="n">
        <v>0.00503618825899072</v>
      </c>
      <c r="AG16" s="34" t="n">
        <v>0.00636226298762834</v>
      </c>
      <c r="AH16" s="34" t="n">
        <v>0.00436988734488432</v>
      </c>
      <c r="AI16" s="34" t="n">
        <v>0.00645073500252422</v>
      </c>
      <c r="AJ16" s="34" t="n">
        <v>0.00786509054971226</v>
      </c>
      <c r="AK16" s="34" t="n">
        <v>0.00271104007826986</v>
      </c>
      <c r="AL16" s="34" t="n">
        <v>0.00291003158820642</v>
      </c>
      <c r="AM16" s="34" t="n">
        <v>0.00331153274476379</v>
      </c>
      <c r="AN16" s="34" t="n">
        <v>0.00506308174143199</v>
      </c>
      <c r="AO16" s="34" t="n">
        <v>0.00301125552066178</v>
      </c>
      <c r="AP16" s="34" t="n">
        <v>0.00109008080720181</v>
      </c>
      <c r="AQ16" s="34" t="n">
        <v>0.0016291038275747</v>
      </c>
      <c r="AR16" s="34" t="n">
        <v>0.00263402009336671</v>
      </c>
      <c r="AS16" s="34" t="n">
        <v>0.00188712637352807</v>
      </c>
      <c r="AT16" s="34" t="n">
        <v>0.00587491341929016</v>
      </c>
      <c r="AU16" s="34" t="n">
        <v>0.00208894828257987</v>
      </c>
      <c r="AV16" s="34" t="n">
        <v>0.00160472645281683</v>
      </c>
      <c r="AW16" s="34" t="n">
        <v>0.00380510207246846</v>
      </c>
      <c r="AX16" s="34" t="n">
        <v>0.00130586717692616</v>
      </c>
      <c r="AY16" s="34" t="n">
        <v>0.0142402008235492</v>
      </c>
      <c r="AZ16" s="34" t="n">
        <v>0.0556016581593278</v>
      </c>
      <c r="BA16" s="34" t="n">
        <v>0.00893460659196105</v>
      </c>
      <c r="BB16" s="34" t="n">
        <v>0.00622798935792859</v>
      </c>
      <c r="BC16" s="34" t="n">
        <v>0.00818986898177235</v>
      </c>
      <c r="BD16" s="34" t="n">
        <v>0.00165261781406283</v>
      </c>
      <c r="BE16" s="34" t="n">
        <v>0.00155765064321399</v>
      </c>
      <c r="BF16" s="34" t="n">
        <v>0.000266689878694694</v>
      </c>
      <c r="BG16" s="34" t="n">
        <v>0.00209447730073144</v>
      </c>
      <c r="BH16" s="34" t="n">
        <v>0.00150106562345992</v>
      </c>
      <c r="BI16" s="34" t="n">
        <v>0.00420114887888072</v>
      </c>
      <c r="BJ16" s="34" t="n">
        <v>0.00128363786050887</v>
      </c>
      <c r="BK16" s="34" t="n">
        <v>0.00200671979094831</v>
      </c>
      <c r="BL16" s="34" t="n">
        <v>0.000989812348315126</v>
      </c>
      <c r="BM16" s="34" t="n">
        <v>0.00372395449750663</v>
      </c>
      <c r="BN16" s="34" t="n">
        <v>0.00733183340838573</v>
      </c>
      <c r="BO16" s="34" t="n">
        <v>0.00330774877439926</v>
      </c>
      <c r="BP16" s="34" t="n">
        <v>0.0111126352460802</v>
      </c>
      <c r="BQ16" s="34" t="n">
        <v>0.00605995456620089</v>
      </c>
      <c r="BR16" s="34" t="n">
        <v>0.00229158598940002</v>
      </c>
      <c r="BS16" s="34" t="n">
        <v>0.00928118543399734</v>
      </c>
      <c r="BT16" s="34" t="n">
        <v>0</v>
      </c>
    </row>
    <row r="17" customFormat="false" ht="11.25" hidden="false" customHeight="true" outlineLevel="0" collapsed="false">
      <c r="B17" s="19" t="s">
        <v>85</v>
      </c>
      <c r="C17" s="20" t="s">
        <v>86</v>
      </c>
      <c r="D17" s="19" t="n">
        <v>11</v>
      </c>
      <c r="E17" s="33" t="n">
        <v>0.000219300267970625</v>
      </c>
      <c r="F17" s="33" t="n">
        <v>0.000290062452974839</v>
      </c>
      <c r="G17" s="33" t="n">
        <v>0.000133880279817383</v>
      </c>
      <c r="H17" s="33" t="n">
        <v>0.000474654160979789</v>
      </c>
      <c r="I17" s="33" t="n">
        <v>0.000500667357726477</v>
      </c>
      <c r="J17" s="33" t="n">
        <v>0.000369069547955231</v>
      </c>
      <c r="K17" s="33" t="n">
        <v>0.000673367352275982</v>
      </c>
      <c r="L17" s="33" t="n">
        <v>0.00286070837927958</v>
      </c>
      <c r="M17" s="33" t="n">
        <v>0.000488239605519516</v>
      </c>
      <c r="N17" s="33" t="n">
        <v>0.00106459982961688</v>
      </c>
      <c r="O17" s="33" t="n">
        <v>1.10031759691715</v>
      </c>
      <c r="P17" s="33" t="n">
        <v>0.000709179828239555</v>
      </c>
      <c r="Q17" s="33" t="n">
        <v>0.000754846627123018</v>
      </c>
      <c r="R17" s="33" t="n">
        <v>0.000575825893790753</v>
      </c>
      <c r="S17" s="33" t="n">
        <v>0.00109873409863593</v>
      </c>
      <c r="T17" s="33" t="n">
        <v>0.000497757592046307</v>
      </c>
      <c r="U17" s="33" t="n">
        <v>0.00104514024483392</v>
      </c>
      <c r="V17" s="33" t="n">
        <v>0.000561019589757584</v>
      </c>
      <c r="W17" s="33" t="n">
        <v>0.000525067923600184</v>
      </c>
      <c r="X17" s="33" t="n">
        <v>0.000645918484397598</v>
      </c>
      <c r="Y17" s="33" t="n">
        <v>0.000630285133554795</v>
      </c>
      <c r="Z17" s="33" t="n">
        <v>0.00119101347290791</v>
      </c>
      <c r="AA17" s="33" t="n">
        <v>0.00071416818546019</v>
      </c>
      <c r="AB17" s="33" t="n">
        <v>0.0013749539164987</v>
      </c>
      <c r="AC17" s="33" t="n">
        <v>0.000858489635020447</v>
      </c>
      <c r="AD17" s="33" t="n">
        <v>0.000695571318000041</v>
      </c>
      <c r="AE17" s="33" t="n">
        <v>0.00086500981413887</v>
      </c>
      <c r="AF17" s="33" t="n">
        <v>0.000777482915013644</v>
      </c>
      <c r="AG17" s="33" t="n">
        <v>0.000931082012819754</v>
      </c>
      <c r="AH17" s="33" t="n">
        <v>0.000651666486221289</v>
      </c>
      <c r="AI17" s="33" t="n">
        <v>0.000919678835082659</v>
      </c>
      <c r="AJ17" s="33" t="n">
        <v>0.00144205235939891</v>
      </c>
      <c r="AK17" s="33" t="n">
        <v>0.000717313597794148</v>
      </c>
      <c r="AL17" s="33" t="n">
        <v>0.000516003083548311</v>
      </c>
      <c r="AM17" s="33" t="n">
        <v>0.000638339804458979</v>
      </c>
      <c r="AN17" s="33" t="n">
        <v>0.000575348572111674</v>
      </c>
      <c r="AO17" s="33" t="n">
        <v>0.000899934278387554</v>
      </c>
      <c r="AP17" s="33" t="n">
        <v>0.000381567718544678</v>
      </c>
      <c r="AQ17" s="33" t="n">
        <v>0.000308011212424493</v>
      </c>
      <c r="AR17" s="33" t="n">
        <v>0.000462606301176253</v>
      </c>
      <c r="AS17" s="33" t="n">
        <v>0.00042935366582733</v>
      </c>
      <c r="AT17" s="33" t="n">
        <v>0.000574529777332647</v>
      </c>
      <c r="AU17" s="33" t="n">
        <v>0.000354333840795897</v>
      </c>
      <c r="AV17" s="33" t="n">
        <v>0.000457514540380796</v>
      </c>
      <c r="AW17" s="33" t="n">
        <v>0.00385876375781278</v>
      </c>
      <c r="AX17" s="33" t="n">
        <v>0.000437653483725504</v>
      </c>
      <c r="AY17" s="33" t="n">
        <v>0.0213342197008484</v>
      </c>
      <c r="AZ17" s="33" t="n">
        <v>0.13046887263586</v>
      </c>
      <c r="BA17" s="33" t="n">
        <v>0.00108222927114234</v>
      </c>
      <c r="BB17" s="33" t="n">
        <v>0.00199876469549378</v>
      </c>
      <c r="BC17" s="33" t="n">
        <v>0.00129421288256946</v>
      </c>
      <c r="BD17" s="33" t="n">
        <v>0.000440217931484267</v>
      </c>
      <c r="BE17" s="33" t="n">
        <v>0.00122873406309854</v>
      </c>
      <c r="BF17" s="33" t="n">
        <v>8.57543371774353E-005</v>
      </c>
      <c r="BG17" s="33" t="n">
        <v>0.00110900041677891</v>
      </c>
      <c r="BH17" s="33" t="n">
        <v>0.000376553144170314</v>
      </c>
      <c r="BI17" s="33" t="n">
        <v>0.00124480462355949</v>
      </c>
      <c r="BJ17" s="33" t="n">
        <v>0.000374956217468523</v>
      </c>
      <c r="BK17" s="33" t="n">
        <v>0.000951914042837682</v>
      </c>
      <c r="BL17" s="33" t="n">
        <v>0.000243526641572331</v>
      </c>
      <c r="BM17" s="33" t="n">
        <v>0.00200651567000279</v>
      </c>
      <c r="BN17" s="33" t="n">
        <v>0.00129501093789001</v>
      </c>
      <c r="BO17" s="33" t="n">
        <v>0.000778498054834361</v>
      </c>
      <c r="BP17" s="33" t="n">
        <v>0.00373606136242185</v>
      </c>
      <c r="BQ17" s="33" t="n">
        <v>0.00325224541342894</v>
      </c>
      <c r="BR17" s="33" t="n">
        <v>0.00136358189416891</v>
      </c>
      <c r="BS17" s="33" t="n">
        <v>0.00884417526271798</v>
      </c>
      <c r="BT17" s="33" t="n">
        <v>0</v>
      </c>
    </row>
    <row r="18" customFormat="false" ht="11.25" hidden="false" customHeight="true" outlineLevel="0" collapsed="false">
      <c r="B18" s="24" t="s">
        <v>87</v>
      </c>
      <c r="C18" s="25" t="s">
        <v>88</v>
      </c>
      <c r="D18" s="24" t="n">
        <v>12</v>
      </c>
      <c r="E18" s="34" t="n">
        <v>1.19397794894063E-005</v>
      </c>
      <c r="F18" s="34" t="n">
        <v>1.52038800637869E-005</v>
      </c>
      <c r="G18" s="34" t="n">
        <v>4.47750633814965E-006</v>
      </c>
      <c r="H18" s="34" t="n">
        <v>2.20321299701771E-005</v>
      </c>
      <c r="I18" s="34" t="n">
        <v>1.00031943796715E-005</v>
      </c>
      <c r="J18" s="34" t="n">
        <v>1.21830023594807E-005</v>
      </c>
      <c r="K18" s="34" t="n">
        <v>2.50596712550945E-005</v>
      </c>
      <c r="L18" s="34" t="n">
        <v>0.000110015004418252</v>
      </c>
      <c r="M18" s="34" t="n">
        <v>3.3797952836243E-005</v>
      </c>
      <c r="N18" s="34" t="n">
        <v>8.23682415620943E-005</v>
      </c>
      <c r="O18" s="34" t="n">
        <v>2.90080735928724E-005</v>
      </c>
      <c r="P18" s="34" t="n">
        <v>1.07337932242333</v>
      </c>
      <c r="Q18" s="34" t="n">
        <v>7.61815692511122E-005</v>
      </c>
      <c r="R18" s="34" t="n">
        <v>6.07446228900804E-005</v>
      </c>
      <c r="S18" s="34" t="n">
        <v>0.000111632418896045</v>
      </c>
      <c r="T18" s="34" t="n">
        <v>4.76282056211369E-005</v>
      </c>
      <c r="U18" s="34" t="n">
        <v>0.000143813156897968</v>
      </c>
      <c r="V18" s="34" t="n">
        <v>6.13041046475703E-005</v>
      </c>
      <c r="W18" s="34" t="n">
        <v>1.44294890791867E-005</v>
      </c>
      <c r="X18" s="34" t="n">
        <v>5.03286279781607E-005</v>
      </c>
      <c r="Y18" s="34" t="n">
        <v>3.83899934942655E-005</v>
      </c>
      <c r="Z18" s="34" t="n">
        <v>8.504788028081E-005</v>
      </c>
      <c r="AA18" s="34" t="n">
        <v>5.1292930713107E-005</v>
      </c>
      <c r="AB18" s="34" t="n">
        <v>9.46938703985498E-005</v>
      </c>
      <c r="AC18" s="34" t="n">
        <v>8.07387332628409E-005</v>
      </c>
      <c r="AD18" s="34" t="n">
        <v>6.5734204007641E-005</v>
      </c>
      <c r="AE18" s="34" t="n">
        <v>6.35254991054382E-005</v>
      </c>
      <c r="AF18" s="34" t="n">
        <v>5.01561774417666E-005</v>
      </c>
      <c r="AG18" s="34" t="n">
        <v>6.86762645630161E-005</v>
      </c>
      <c r="AH18" s="34" t="n">
        <v>5.63356756536181E-005</v>
      </c>
      <c r="AI18" s="34" t="n">
        <v>7.15456425799274E-005</v>
      </c>
      <c r="AJ18" s="34" t="n">
        <v>8.82226676611064E-005</v>
      </c>
      <c r="AK18" s="34" t="n">
        <v>2.68762168682328E-005</v>
      </c>
      <c r="AL18" s="34" t="n">
        <v>2.96658231760316E-005</v>
      </c>
      <c r="AM18" s="34" t="n">
        <v>3.26844767668013E-005</v>
      </c>
      <c r="AN18" s="34" t="n">
        <v>5.06703026386196E-005</v>
      </c>
      <c r="AO18" s="34" t="n">
        <v>2.42681511710731E-005</v>
      </c>
      <c r="AP18" s="34" t="n">
        <v>7.75291989503834E-006</v>
      </c>
      <c r="AQ18" s="34" t="n">
        <v>1.01830509370728E-005</v>
      </c>
      <c r="AR18" s="34" t="n">
        <v>1.90475218802076E-005</v>
      </c>
      <c r="AS18" s="34" t="n">
        <v>1.12952453173289E-005</v>
      </c>
      <c r="AT18" s="34" t="n">
        <v>2.9318585546558E-005</v>
      </c>
      <c r="AU18" s="34" t="n">
        <v>9.32205140406323E-006</v>
      </c>
      <c r="AV18" s="34" t="n">
        <v>1.03640007600326E-005</v>
      </c>
      <c r="AW18" s="34" t="n">
        <v>9.13002379773504E-006</v>
      </c>
      <c r="AX18" s="34" t="n">
        <v>8.70028233009756E-006</v>
      </c>
      <c r="AY18" s="34" t="n">
        <v>1.43568354387534E-005</v>
      </c>
      <c r="AZ18" s="34" t="n">
        <v>1.8166613925408E-005</v>
      </c>
      <c r="BA18" s="34" t="n">
        <v>0.000123003480824001</v>
      </c>
      <c r="BB18" s="34" t="n">
        <v>6.72097840844893E-005</v>
      </c>
      <c r="BC18" s="34" t="n">
        <v>9.56022929561824E-005</v>
      </c>
      <c r="BD18" s="34" t="n">
        <v>1.84524665046543E-005</v>
      </c>
      <c r="BE18" s="34" t="n">
        <v>9.30742520079906E-006</v>
      </c>
      <c r="BF18" s="34" t="n">
        <v>1.7291910481487E-006</v>
      </c>
      <c r="BG18" s="34" t="n">
        <v>1.8359346573012E-005</v>
      </c>
      <c r="BH18" s="34" t="n">
        <v>3.10820623182692E-005</v>
      </c>
      <c r="BI18" s="34" t="n">
        <v>4.38182127246319E-005</v>
      </c>
      <c r="BJ18" s="34" t="n">
        <v>1.28436572475728E-005</v>
      </c>
      <c r="BK18" s="34" t="n">
        <v>1.78313503955803E-005</v>
      </c>
      <c r="BL18" s="34" t="n">
        <v>8.67633210384066E-006</v>
      </c>
      <c r="BM18" s="34" t="n">
        <v>5.87301635351542E-006</v>
      </c>
      <c r="BN18" s="34" t="n">
        <v>7.31917004108559E-006</v>
      </c>
      <c r="BO18" s="34" t="n">
        <v>1.50857783533503E-005</v>
      </c>
      <c r="BP18" s="34" t="n">
        <v>8.84842819069682E-006</v>
      </c>
      <c r="BQ18" s="34" t="n">
        <v>1.2085510936208E-005</v>
      </c>
      <c r="BR18" s="34" t="n">
        <v>1.00552430069113E-005</v>
      </c>
      <c r="BS18" s="34" t="n">
        <v>1.20182748732282E-005</v>
      </c>
      <c r="BT18" s="34" t="n">
        <v>0</v>
      </c>
    </row>
    <row r="19" customFormat="false" ht="11.25" hidden="false" customHeight="true" outlineLevel="0" collapsed="false">
      <c r="B19" s="19" t="s">
        <v>89</v>
      </c>
      <c r="C19" s="20" t="s">
        <v>90</v>
      </c>
      <c r="D19" s="19" t="n">
        <v>13</v>
      </c>
      <c r="E19" s="33" t="n">
        <v>0.00306028568454591</v>
      </c>
      <c r="F19" s="33" t="n">
        <v>0.000796372928418772</v>
      </c>
      <c r="G19" s="33" t="n">
        <v>0.000390889186664651</v>
      </c>
      <c r="H19" s="33" t="n">
        <v>0.0106894032417551</v>
      </c>
      <c r="I19" s="33" t="n">
        <v>0.00121332361833493</v>
      </c>
      <c r="J19" s="33" t="n">
        <v>0.00057692294234497</v>
      </c>
      <c r="K19" s="33" t="n">
        <v>0.00118301730784816</v>
      </c>
      <c r="L19" s="33" t="n">
        <v>0.00173858036770034</v>
      </c>
      <c r="M19" s="33" t="n">
        <v>0.00416999783756083</v>
      </c>
      <c r="N19" s="33" t="n">
        <v>0.00298291012088498</v>
      </c>
      <c r="O19" s="33" t="n">
        <v>0.00141819977795816</v>
      </c>
      <c r="P19" s="33" t="n">
        <v>0.00161523844863384</v>
      </c>
      <c r="Q19" s="33" t="n">
        <v>1.22216329552521</v>
      </c>
      <c r="R19" s="33" t="n">
        <v>0.259308160145863</v>
      </c>
      <c r="S19" s="33" t="n">
        <v>0.081601297005427</v>
      </c>
      <c r="T19" s="33" t="n">
        <v>0.00112790350135426</v>
      </c>
      <c r="U19" s="33" t="n">
        <v>0.00336909773828115</v>
      </c>
      <c r="V19" s="33" t="n">
        <v>0.00148600026052165</v>
      </c>
      <c r="W19" s="33" t="n">
        <v>0.000797185189060719</v>
      </c>
      <c r="X19" s="33" t="n">
        <v>0.00211051292488674</v>
      </c>
      <c r="Y19" s="33" t="n">
        <v>0.0015042029096253</v>
      </c>
      <c r="Z19" s="33" t="n">
        <v>0.00243278891481641</v>
      </c>
      <c r="AA19" s="33" t="n">
        <v>0.00185374712138104</v>
      </c>
      <c r="AB19" s="33" t="n">
        <v>0.00341085740800725</v>
      </c>
      <c r="AC19" s="33" t="n">
        <v>0.00950052981623412</v>
      </c>
      <c r="AD19" s="33" t="n">
        <v>0.00230648757033991</v>
      </c>
      <c r="AE19" s="33" t="n">
        <v>0.00126924723558633</v>
      </c>
      <c r="AF19" s="33" t="n">
        <v>0.00111359448986964</v>
      </c>
      <c r="AG19" s="33" t="n">
        <v>0.0017770457054941</v>
      </c>
      <c r="AH19" s="33" t="n">
        <v>0.00106960947599129</v>
      </c>
      <c r="AI19" s="33" t="n">
        <v>0.00216442442161396</v>
      </c>
      <c r="AJ19" s="33" t="n">
        <v>0.0018178365008012</v>
      </c>
      <c r="AK19" s="33" t="n">
        <v>0.00621947477282066</v>
      </c>
      <c r="AL19" s="33" t="n">
        <v>0.019867581092446</v>
      </c>
      <c r="AM19" s="33" t="n">
        <v>0.00368230773003273</v>
      </c>
      <c r="AN19" s="33" t="n">
        <v>0.0217564047122177</v>
      </c>
      <c r="AO19" s="33" t="n">
        <v>0.0011457796235363</v>
      </c>
      <c r="AP19" s="33" t="n">
        <v>0.000671116146369249</v>
      </c>
      <c r="AQ19" s="33" t="n">
        <v>0.00125897486652654</v>
      </c>
      <c r="AR19" s="33" t="n">
        <v>0.00212345441566109</v>
      </c>
      <c r="AS19" s="33" t="n">
        <v>0.00261475590648058</v>
      </c>
      <c r="AT19" s="33" t="n">
        <v>0.000972470194248986</v>
      </c>
      <c r="AU19" s="33" t="n">
        <v>0.00191595602856725</v>
      </c>
      <c r="AV19" s="33" t="n">
        <v>0.00167923827416431</v>
      </c>
      <c r="AW19" s="33" t="n">
        <v>0.00209539555901093</v>
      </c>
      <c r="AX19" s="33" t="n">
        <v>0.000844746441539375</v>
      </c>
      <c r="AY19" s="33" t="n">
        <v>0.0133857574580278</v>
      </c>
      <c r="AZ19" s="33" t="n">
        <v>0.00170662829832682</v>
      </c>
      <c r="BA19" s="33" t="n">
        <v>0.00149454132619016</v>
      </c>
      <c r="BB19" s="33" t="n">
        <v>0.00192452636596756</v>
      </c>
      <c r="BC19" s="33" t="n">
        <v>0.00133766346612469</v>
      </c>
      <c r="BD19" s="33" t="n">
        <v>0.00046746616682346</v>
      </c>
      <c r="BE19" s="33" t="n">
        <v>0.000705709791855826</v>
      </c>
      <c r="BF19" s="33" t="n">
        <v>0.000112767457436098</v>
      </c>
      <c r="BG19" s="33" t="n">
        <v>0.000494976091775089</v>
      </c>
      <c r="BH19" s="33" t="n">
        <v>0.00121909777346658</v>
      </c>
      <c r="BI19" s="33" t="n">
        <v>0.00124966824405631</v>
      </c>
      <c r="BJ19" s="33" t="n">
        <v>0.000961259072238282</v>
      </c>
      <c r="BK19" s="33" t="n">
        <v>0.000727778455220717</v>
      </c>
      <c r="BL19" s="33" t="n">
        <v>0.0016591914569843</v>
      </c>
      <c r="BM19" s="33" t="n">
        <v>0.000656466712474296</v>
      </c>
      <c r="BN19" s="33" t="n">
        <v>0.001205149438513</v>
      </c>
      <c r="BO19" s="33" t="n">
        <v>0.000558612895864178</v>
      </c>
      <c r="BP19" s="33" t="n">
        <v>0.00114804398030172</v>
      </c>
      <c r="BQ19" s="33" t="n">
        <v>0.00182980327815392</v>
      </c>
      <c r="BR19" s="33" t="n">
        <v>0.00140381466510678</v>
      </c>
      <c r="BS19" s="33" t="n">
        <v>0.00637085777414789</v>
      </c>
      <c r="BT19" s="33" t="n">
        <v>0</v>
      </c>
    </row>
    <row r="20" customFormat="false" ht="11.25" hidden="false" customHeight="true" outlineLevel="0" collapsed="false">
      <c r="B20" s="24" t="s">
        <v>91</v>
      </c>
      <c r="C20" s="25" t="s">
        <v>92</v>
      </c>
      <c r="D20" s="24" t="n">
        <v>14</v>
      </c>
      <c r="E20" s="34" t="n">
        <v>0.000265699269589751</v>
      </c>
      <c r="F20" s="34" t="n">
        <v>0.000243323365758921</v>
      </c>
      <c r="G20" s="34" t="n">
        <v>0.000480712532865129</v>
      </c>
      <c r="H20" s="34" t="n">
        <v>0.000735882576152798</v>
      </c>
      <c r="I20" s="34" t="n">
        <v>0.000776329216171853</v>
      </c>
      <c r="J20" s="34" t="n">
        <v>0.000334938068368849</v>
      </c>
      <c r="K20" s="34" t="n">
        <v>0.000563635240215994</v>
      </c>
      <c r="L20" s="34" t="n">
        <v>0.000908054072723735</v>
      </c>
      <c r="M20" s="34" t="n">
        <v>0.000548597876377569</v>
      </c>
      <c r="N20" s="34" t="n">
        <v>0.000794400495961331</v>
      </c>
      <c r="O20" s="34" t="n">
        <v>0.000569097066665783</v>
      </c>
      <c r="P20" s="34" t="n">
        <v>0.000649254377042731</v>
      </c>
      <c r="Q20" s="34" t="n">
        <v>0.00307351327246572</v>
      </c>
      <c r="R20" s="34" t="n">
        <v>1.03263526166197</v>
      </c>
      <c r="S20" s="34" t="n">
        <v>0.00333089719301138</v>
      </c>
      <c r="T20" s="34" t="n">
        <v>0.000486309506545041</v>
      </c>
      <c r="U20" s="34" t="n">
        <v>0.000949642008695623</v>
      </c>
      <c r="V20" s="34" t="n">
        <v>0.000434248029533833</v>
      </c>
      <c r="W20" s="34" t="n">
        <v>0.000449132861964908</v>
      </c>
      <c r="X20" s="34" t="n">
        <v>0.000563762188865771</v>
      </c>
      <c r="Y20" s="34" t="n">
        <v>0.000537776543945853</v>
      </c>
      <c r="Z20" s="34" t="n">
        <v>0.000892950251605471</v>
      </c>
      <c r="AA20" s="34" t="n">
        <v>0.000534331545316893</v>
      </c>
      <c r="AB20" s="34" t="n">
        <v>0.000829338679361053</v>
      </c>
      <c r="AC20" s="34" t="n">
        <v>0.000755391248160176</v>
      </c>
      <c r="AD20" s="34" t="n">
        <v>0.000816017706252307</v>
      </c>
      <c r="AE20" s="34" t="n">
        <v>0.000815344897336808</v>
      </c>
      <c r="AF20" s="34" t="n">
        <v>0.00064880116243258</v>
      </c>
      <c r="AG20" s="34" t="n">
        <v>0.00110601173886013</v>
      </c>
      <c r="AH20" s="34" t="n">
        <v>0.000545608880564695</v>
      </c>
      <c r="AI20" s="34" t="n">
        <v>0.000738939550919379</v>
      </c>
      <c r="AJ20" s="34" t="n">
        <v>0.00101068291953212</v>
      </c>
      <c r="AK20" s="34" t="n">
        <v>0.000618553443414646</v>
      </c>
      <c r="AL20" s="34" t="n">
        <v>0.000934225835011904</v>
      </c>
      <c r="AM20" s="34" t="n">
        <v>0.000536661509079458</v>
      </c>
      <c r="AN20" s="34" t="n">
        <v>0.000933961482975794</v>
      </c>
      <c r="AO20" s="34" t="n">
        <v>0.000540360332229927</v>
      </c>
      <c r="AP20" s="34" t="n">
        <v>0.000756104084438967</v>
      </c>
      <c r="AQ20" s="34" t="n">
        <v>0.00193851361590075</v>
      </c>
      <c r="AR20" s="34" t="n">
        <v>0.0004324336642794</v>
      </c>
      <c r="AS20" s="34" t="n">
        <v>0.000334568007621223</v>
      </c>
      <c r="AT20" s="34" t="n">
        <v>0.000777914795321925</v>
      </c>
      <c r="AU20" s="34" t="n">
        <v>0.000943331760929951</v>
      </c>
      <c r="AV20" s="34" t="n">
        <v>0.00106775956971288</v>
      </c>
      <c r="AW20" s="34" t="n">
        <v>0.00561346072203243</v>
      </c>
      <c r="AX20" s="34" t="n">
        <v>0.00135321691774381</v>
      </c>
      <c r="AY20" s="34" t="n">
        <v>0.00367469172441158</v>
      </c>
      <c r="AZ20" s="34" t="n">
        <v>0.0010158476058419</v>
      </c>
      <c r="BA20" s="34" t="n">
        <v>0.000854158246414024</v>
      </c>
      <c r="BB20" s="34" t="n">
        <v>0.00365020430535563</v>
      </c>
      <c r="BC20" s="34" t="n">
        <v>0.00134394836234116</v>
      </c>
      <c r="BD20" s="34" t="n">
        <v>0.000360038499450883</v>
      </c>
      <c r="BE20" s="34" t="n">
        <v>0.00172382204756825</v>
      </c>
      <c r="BF20" s="34" t="n">
        <v>0.000144628497057794</v>
      </c>
      <c r="BG20" s="34" t="n">
        <v>0.000370786485354844</v>
      </c>
      <c r="BH20" s="34" t="n">
        <v>0.00250041554796362</v>
      </c>
      <c r="BI20" s="34" t="n">
        <v>0.00186185481204832</v>
      </c>
      <c r="BJ20" s="34" t="n">
        <v>0.000340305207515748</v>
      </c>
      <c r="BK20" s="34" t="n">
        <v>0.000999208492757883</v>
      </c>
      <c r="BL20" s="34" t="n">
        <v>0.00524437196367151</v>
      </c>
      <c r="BM20" s="34" t="n">
        <v>0.00114261714581225</v>
      </c>
      <c r="BN20" s="34" t="n">
        <v>0.00262439953190514</v>
      </c>
      <c r="BO20" s="34" t="n">
        <v>0.000470265705596999</v>
      </c>
      <c r="BP20" s="34" t="n">
        <v>0.000684316754469466</v>
      </c>
      <c r="BQ20" s="34" t="n">
        <v>0.000641438003657351</v>
      </c>
      <c r="BR20" s="34" t="n">
        <v>0.00281999988721709</v>
      </c>
      <c r="BS20" s="34" t="n">
        <v>0.00662578889356358</v>
      </c>
      <c r="BT20" s="34" t="n">
        <v>0</v>
      </c>
    </row>
    <row r="21" customFormat="false" ht="11.25" hidden="false" customHeight="true" outlineLevel="0" collapsed="false">
      <c r="B21" s="19" t="s">
        <v>93</v>
      </c>
      <c r="C21" s="20" t="s">
        <v>94</v>
      </c>
      <c r="D21" s="19" t="n">
        <v>15</v>
      </c>
      <c r="E21" s="33" t="n">
        <v>0.000111900991503507</v>
      </c>
      <c r="F21" s="33" t="n">
        <v>0.000179010228452857</v>
      </c>
      <c r="G21" s="33" t="n">
        <v>5.27154209059531E-005</v>
      </c>
      <c r="H21" s="33" t="n">
        <v>0.000567436492988874</v>
      </c>
      <c r="I21" s="33" t="n">
        <v>0.000111353203961007</v>
      </c>
      <c r="J21" s="33" t="n">
        <v>0.000109938558025216</v>
      </c>
      <c r="K21" s="33" t="n">
        <v>0.000208108528641109</v>
      </c>
      <c r="L21" s="33" t="n">
        <v>0.000509919928390671</v>
      </c>
      <c r="M21" s="33" t="n">
        <v>0.000169334985049926</v>
      </c>
      <c r="N21" s="33" t="n">
        <v>0.000455135233936247</v>
      </c>
      <c r="O21" s="33" t="n">
        <v>0.000238546034811401</v>
      </c>
      <c r="P21" s="33" t="n">
        <v>0.000317060585555147</v>
      </c>
      <c r="Q21" s="33" t="n">
        <v>0.000496303586995724</v>
      </c>
      <c r="R21" s="33" t="n">
        <v>0.000592064935040656</v>
      </c>
      <c r="S21" s="33" t="n">
        <v>1.12929374589448</v>
      </c>
      <c r="T21" s="33" t="n">
        <v>0.000285864029140045</v>
      </c>
      <c r="U21" s="33" t="n">
        <v>0.00159919631663765</v>
      </c>
      <c r="V21" s="33" t="n">
        <v>0.000326050993943706</v>
      </c>
      <c r="W21" s="33" t="n">
        <v>9.46401431368506E-005</v>
      </c>
      <c r="X21" s="33" t="n">
        <v>0.000279245352921717</v>
      </c>
      <c r="Y21" s="33" t="n">
        <v>0.000287623519380939</v>
      </c>
      <c r="Z21" s="33" t="n">
        <v>0.000622850494129006</v>
      </c>
      <c r="AA21" s="33" t="n">
        <v>0.000457165900764957</v>
      </c>
      <c r="AB21" s="33" t="n">
        <v>0.000398899927634529</v>
      </c>
      <c r="AC21" s="33" t="n">
        <v>0.000665418423024544</v>
      </c>
      <c r="AD21" s="33" t="n">
        <v>0.000411577485977677</v>
      </c>
      <c r="AE21" s="33" t="n">
        <v>0.000319641346450729</v>
      </c>
      <c r="AF21" s="33" t="n">
        <v>0.000264690341228862</v>
      </c>
      <c r="AG21" s="33" t="n">
        <v>0.00063042154361868</v>
      </c>
      <c r="AH21" s="33" t="n">
        <v>0.000233570604617868</v>
      </c>
      <c r="AI21" s="33" t="n">
        <v>0.000389947545544141</v>
      </c>
      <c r="AJ21" s="33" t="n">
        <v>0.000429299458383458</v>
      </c>
      <c r="AK21" s="33" t="n">
        <v>0.000289136323320613</v>
      </c>
      <c r="AL21" s="33" t="n">
        <v>0.000325562946604426</v>
      </c>
      <c r="AM21" s="33" t="n">
        <v>0.000253821706240926</v>
      </c>
      <c r="AN21" s="33" t="n">
        <v>0.000707169786947397</v>
      </c>
      <c r="AO21" s="33" t="n">
        <v>0.000232598532497346</v>
      </c>
      <c r="AP21" s="33" t="n">
        <v>0.000651394437145951</v>
      </c>
      <c r="AQ21" s="33" t="n">
        <v>0.000160944936160548</v>
      </c>
      <c r="AR21" s="33" t="n">
        <v>0.000240318239544824</v>
      </c>
      <c r="AS21" s="33" t="n">
        <v>0.000109870222348691</v>
      </c>
      <c r="AT21" s="33" t="n">
        <v>0.000153792023873227</v>
      </c>
      <c r="AU21" s="33" t="n">
        <v>0.000115512604858898</v>
      </c>
      <c r="AV21" s="33" t="n">
        <v>0.000101976493366901</v>
      </c>
      <c r="AW21" s="33" t="n">
        <v>0.000145606371786425</v>
      </c>
      <c r="AX21" s="33" t="n">
        <v>0.000110137333851103</v>
      </c>
      <c r="AY21" s="33" t="n">
        <v>0.000194049307700242</v>
      </c>
      <c r="AZ21" s="33" t="n">
        <v>0.000173409197624088</v>
      </c>
      <c r="BA21" s="33" t="n">
        <v>0.000434885591612548</v>
      </c>
      <c r="BB21" s="33" t="n">
        <v>0.0010959613163736</v>
      </c>
      <c r="BC21" s="33" t="n">
        <v>0.000364037174993326</v>
      </c>
      <c r="BD21" s="33" t="n">
        <v>0.000118377112835659</v>
      </c>
      <c r="BE21" s="33" t="n">
        <v>8.27086619038041E-005</v>
      </c>
      <c r="BF21" s="33" t="n">
        <v>1.51197114287581E-005</v>
      </c>
      <c r="BG21" s="33" t="n">
        <v>9.68235058314267E-005</v>
      </c>
      <c r="BH21" s="33" t="n">
        <v>0.000135631380847934</v>
      </c>
      <c r="BI21" s="33" t="n">
        <v>0.00048049894137153</v>
      </c>
      <c r="BJ21" s="33" t="n">
        <v>0.000120162868285502</v>
      </c>
      <c r="BK21" s="33" t="n">
        <v>0.000134138569486088</v>
      </c>
      <c r="BL21" s="33" t="n">
        <v>0.00173789524577947</v>
      </c>
      <c r="BM21" s="33" t="n">
        <v>9.49093505209625E-005</v>
      </c>
      <c r="BN21" s="33" t="n">
        <v>8.96540047475038E-005</v>
      </c>
      <c r="BO21" s="33" t="n">
        <v>0.000113291997960867</v>
      </c>
      <c r="BP21" s="33" t="n">
        <v>0.000138231986549535</v>
      </c>
      <c r="BQ21" s="33" t="n">
        <v>0.00019885135998671</v>
      </c>
      <c r="BR21" s="33" t="n">
        <v>0.000117309738235485</v>
      </c>
      <c r="BS21" s="33" t="n">
        <v>0.000130766185039775</v>
      </c>
      <c r="BT21" s="33" t="n">
        <v>0</v>
      </c>
    </row>
    <row r="22" customFormat="false" ht="11.25" hidden="false" customHeight="true" outlineLevel="0" collapsed="false">
      <c r="B22" s="24" t="s">
        <v>95</v>
      </c>
      <c r="C22" s="25" t="s">
        <v>96</v>
      </c>
      <c r="D22" s="24" t="n">
        <v>16</v>
      </c>
      <c r="E22" s="34" t="n">
        <v>0.00261912972698197</v>
      </c>
      <c r="F22" s="34" t="n">
        <v>0.00349683102464176</v>
      </c>
      <c r="G22" s="34" t="n">
        <v>0.000848136041970797</v>
      </c>
      <c r="H22" s="34" t="n">
        <v>0.00137053085237544</v>
      </c>
      <c r="I22" s="34" t="n">
        <v>0.000847162781649586</v>
      </c>
      <c r="J22" s="34" t="n">
        <v>0.000904084648656636</v>
      </c>
      <c r="K22" s="34" t="n">
        <v>0.00154971238661516</v>
      </c>
      <c r="L22" s="34" t="n">
        <v>0.00402047291214087</v>
      </c>
      <c r="M22" s="34" t="n">
        <v>0.00203352320445163</v>
      </c>
      <c r="N22" s="34" t="n">
        <v>0.00439155015445896</v>
      </c>
      <c r="O22" s="34" t="n">
        <v>0.00313908870492983</v>
      </c>
      <c r="P22" s="34" t="n">
        <v>0.00249940907412721</v>
      </c>
      <c r="Q22" s="34" t="n">
        <v>0.00300835821938657</v>
      </c>
      <c r="R22" s="34" t="n">
        <v>0.00319646432479449</v>
      </c>
      <c r="S22" s="34" t="n">
        <v>0.00323153397462252</v>
      </c>
      <c r="T22" s="34" t="n">
        <v>1.14202340408994</v>
      </c>
      <c r="U22" s="34" t="n">
        <v>0.0105529513576334</v>
      </c>
      <c r="V22" s="34" t="n">
        <v>0.00179838584472538</v>
      </c>
      <c r="W22" s="34" t="n">
        <v>0.000741113732782456</v>
      </c>
      <c r="X22" s="34" t="n">
        <v>0.00237252323389556</v>
      </c>
      <c r="Y22" s="34" t="n">
        <v>0.00146389297090595</v>
      </c>
      <c r="Z22" s="34" t="n">
        <v>0.00302289135437145</v>
      </c>
      <c r="AA22" s="34" t="n">
        <v>0.0017291294582529</v>
      </c>
      <c r="AB22" s="34" t="n">
        <v>0.00219827712835001</v>
      </c>
      <c r="AC22" s="34" t="n">
        <v>0.0023906070589375</v>
      </c>
      <c r="AD22" s="34" t="n">
        <v>0.00247852878940607</v>
      </c>
      <c r="AE22" s="34" t="n">
        <v>0.00218986590388034</v>
      </c>
      <c r="AF22" s="34" t="n">
        <v>0.00203985988807159</v>
      </c>
      <c r="AG22" s="34" t="n">
        <v>0.00460699753776827</v>
      </c>
      <c r="AH22" s="34" t="n">
        <v>0.00148909239620477</v>
      </c>
      <c r="AI22" s="34" t="n">
        <v>0.00221045389225061</v>
      </c>
      <c r="AJ22" s="34" t="n">
        <v>0.00650254633945298</v>
      </c>
      <c r="AK22" s="34" t="n">
        <v>0.00325185159009536</v>
      </c>
      <c r="AL22" s="34" t="n">
        <v>0.00275799210121825</v>
      </c>
      <c r="AM22" s="34" t="n">
        <v>0.00772108790006145</v>
      </c>
      <c r="AN22" s="34" t="n">
        <v>0.106458481442219</v>
      </c>
      <c r="AO22" s="34" t="n">
        <v>0.0018843007298645</v>
      </c>
      <c r="AP22" s="34" t="n">
        <v>0.00314254002607256</v>
      </c>
      <c r="AQ22" s="34" t="n">
        <v>0.00199426722141744</v>
      </c>
      <c r="AR22" s="34" t="n">
        <v>0.0133800371841323</v>
      </c>
      <c r="AS22" s="34" t="n">
        <v>0.000872973866374514</v>
      </c>
      <c r="AT22" s="34" t="n">
        <v>0.00380153500990808</v>
      </c>
      <c r="AU22" s="34" t="n">
        <v>0.000661974619068902</v>
      </c>
      <c r="AV22" s="34" t="n">
        <v>0.00134706997419812</v>
      </c>
      <c r="AW22" s="34" t="n">
        <v>0.00066665941225153</v>
      </c>
      <c r="AX22" s="34" t="n">
        <v>0.00172248431239067</v>
      </c>
      <c r="AY22" s="34" t="n">
        <v>0.00122260176418028</v>
      </c>
      <c r="AZ22" s="34" t="n">
        <v>0.0012139586016977</v>
      </c>
      <c r="BA22" s="34" t="n">
        <v>0.00290290967038563</v>
      </c>
      <c r="BB22" s="34" t="n">
        <v>0.00843922872402583</v>
      </c>
      <c r="BC22" s="34" t="n">
        <v>0.00288864549375644</v>
      </c>
      <c r="BD22" s="34" t="n">
        <v>0.000797575957987541</v>
      </c>
      <c r="BE22" s="34" t="n">
        <v>0.000581534885367166</v>
      </c>
      <c r="BF22" s="34" t="n">
        <v>0.0011603792021382</v>
      </c>
      <c r="BG22" s="34" t="n">
        <v>0.000839289751050812</v>
      </c>
      <c r="BH22" s="34" t="n">
        <v>0.00103784108528243</v>
      </c>
      <c r="BI22" s="34" t="n">
        <v>0.00378473512767892</v>
      </c>
      <c r="BJ22" s="34" t="n">
        <v>0.00158898488498979</v>
      </c>
      <c r="BK22" s="34" t="n">
        <v>0.0016406613428105</v>
      </c>
      <c r="BL22" s="34" t="n">
        <v>0.000388824893716825</v>
      </c>
      <c r="BM22" s="34" t="n">
        <v>0.000793587333214661</v>
      </c>
      <c r="BN22" s="34" t="n">
        <v>0.000838048401176481</v>
      </c>
      <c r="BO22" s="34" t="n">
        <v>0.000860391526915018</v>
      </c>
      <c r="BP22" s="34" t="n">
        <v>0.00191696939225752</v>
      </c>
      <c r="BQ22" s="34" t="n">
        <v>0.00449798509199116</v>
      </c>
      <c r="BR22" s="34" t="n">
        <v>0.00139093434033656</v>
      </c>
      <c r="BS22" s="34" t="n">
        <v>0.00240351758747769</v>
      </c>
      <c r="BT22" s="34" t="n">
        <v>0</v>
      </c>
    </row>
    <row r="23" customFormat="false" ht="11.25" hidden="false" customHeight="true" outlineLevel="0" collapsed="false">
      <c r="B23" s="19" t="s">
        <v>97</v>
      </c>
      <c r="C23" s="20" t="s">
        <v>98</v>
      </c>
      <c r="D23" s="19" t="n">
        <v>17</v>
      </c>
      <c r="E23" s="33" t="n">
        <v>0.00448792801667884</v>
      </c>
      <c r="F23" s="33" t="n">
        <v>0.00570998843614405</v>
      </c>
      <c r="G23" s="33" t="n">
        <v>0.00218119257827673</v>
      </c>
      <c r="H23" s="33" t="n">
        <v>0.00554614238464831</v>
      </c>
      <c r="I23" s="33" t="n">
        <v>0.00356688048850243</v>
      </c>
      <c r="J23" s="33" t="n">
        <v>0.00405035947772644</v>
      </c>
      <c r="K23" s="33" t="n">
        <v>0.00650542458134917</v>
      </c>
      <c r="L23" s="33" t="n">
        <v>0.0256101332489401</v>
      </c>
      <c r="M23" s="33" t="n">
        <v>0.00604360289419725</v>
      </c>
      <c r="N23" s="33" t="n">
        <v>0.0254356488463301</v>
      </c>
      <c r="O23" s="33" t="n">
        <v>0.0118225074041291</v>
      </c>
      <c r="P23" s="33" t="n">
        <v>0.06903183605505</v>
      </c>
      <c r="Q23" s="33" t="n">
        <v>0.0258477515360142</v>
      </c>
      <c r="R23" s="33" t="n">
        <v>0.0198250611547232</v>
      </c>
      <c r="S23" s="33" t="n">
        <v>0.031500762826381</v>
      </c>
      <c r="T23" s="33" t="n">
        <v>0.0296749182575089</v>
      </c>
      <c r="U23" s="33" t="n">
        <v>1.21601016381387</v>
      </c>
      <c r="V23" s="33" t="n">
        <v>0.0843387223365188</v>
      </c>
      <c r="W23" s="33" t="n">
        <v>0.00362314079615008</v>
      </c>
      <c r="X23" s="33" t="n">
        <v>0.0085391156403289</v>
      </c>
      <c r="Y23" s="33" t="n">
        <v>0.00635207204094773</v>
      </c>
      <c r="Z23" s="33" t="n">
        <v>0.0126764028657143</v>
      </c>
      <c r="AA23" s="33" t="n">
        <v>0.0531585703368574</v>
      </c>
      <c r="AB23" s="33" t="n">
        <v>0.025463915720088</v>
      </c>
      <c r="AC23" s="33" t="n">
        <v>0.0306779478283404</v>
      </c>
      <c r="AD23" s="33" t="n">
        <v>0.0307360204801929</v>
      </c>
      <c r="AE23" s="33" t="n">
        <v>0.00763656515179337</v>
      </c>
      <c r="AF23" s="33" t="n">
        <v>0.00639551951278563</v>
      </c>
      <c r="AG23" s="33" t="n">
        <v>0.0190909371242867</v>
      </c>
      <c r="AH23" s="33" t="n">
        <v>0.0270796148763319</v>
      </c>
      <c r="AI23" s="33" t="n">
        <v>0.0151852599525145</v>
      </c>
      <c r="AJ23" s="33" t="n">
        <v>0.0110590398243217</v>
      </c>
      <c r="AK23" s="33" t="n">
        <v>0.0104665146604755</v>
      </c>
      <c r="AL23" s="33" t="n">
        <v>0.0152241222710959</v>
      </c>
      <c r="AM23" s="33" t="n">
        <v>0.00759493623663556</v>
      </c>
      <c r="AN23" s="33" t="n">
        <v>0.0220663491175131</v>
      </c>
      <c r="AO23" s="33" t="n">
        <v>0.00550011021224121</v>
      </c>
      <c r="AP23" s="33" t="n">
        <v>0.00311952388887306</v>
      </c>
      <c r="AQ23" s="33" t="n">
        <v>0.00528311281417412</v>
      </c>
      <c r="AR23" s="33" t="n">
        <v>0.00749868277865379</v>
      </c>
      <c r="AS23" s="33" t="n">
        <v>0.00923229166444371</v>
      </c>
      <c r="AT23" s="33" t="n">
        <v>0.0113920086367047</v>
      </c>
      <c r="AU23" s="33" t="n">
        <v>0.00448022188458637</v>
      </c>
      <c r="AV23" s="33" t="n">
        <v>0.00920366815744732</v>
      </c>
      <c r="AW23" s="33" t="n">
        <v>0.00529997868256493</v>
      </c>
      <c r="AX23" s="33" t="n">
        <v>0.00645267288848163</v>
      </c>
      <c r="AY23" s="33" t="n">
        <v>0.0137198005636605</v>
      </c>
      <c r="AZ23" s="33" t="n">
        <v>0.0111554375199706</v>
      </c>
      <c r="BA23" s="33" t="n">
        <v>0.0856834667559084</v>
      </c>
      <c r="BB23" s="33" t="n">
        <v>0.0123733408655509</v>
      </c>
      <c r="BC23" s="33" t="n">
        <v>0.0102216538022476</v>
      </c>
      <c r="BD23" s="33" t="n">
        <v>0.00726305143165856</v>
      </c>
      <c r="BE23" s="33" t="n">
        <v>0.00780786316499628</v>
      </c>
      <c r="BF23" s="33" t="n">
        <v>0.00137548636520166</v>
      </c>
      <c r="BG23" s="33" t="n">
        <v>0.0133497497659421</v>
      </c>
      <c r="BH23" s="33" t="n">
        <v>0.010769142273564</v>
      </c>
      <c r="BI23" s="33" t="n">
        <v>0.0201290469930755</v>
      </c>
      <c r="BJ23" s="33" t="n">
        <v>0.015363905288044</v>
      </c>
      <c r="BK23" s="33" t="n">
        <v>0.0151798419959894</v>
      </c>
      <c r="BL23" s="33" t="n">
        <v>0.00345847177217909</v>
      </c>
      <c r="BM23" s="33" t="n">
        <v>0.00425646886805404</v>
      </c>
      <c r="BN23" s="33" t="n">
        <v>0.00650388167206426</v>
      </c>
      <c r="BO23" s="33" t="n">
        <v>0.010388269934752</v>
      </c>
      <c r="BP23" s="33" t="n">
        <v>0.00470599419486442</v>
      </c>
      <c r="BQ23" s="33" t="n">
        <v>0.00989803840445165</v>
      </c>
      <c r="BR23" s="33" t="n">
        <v>0.0066337529061599</v>
      </c>
      <c r="BS23" s="33" t="n">
        <v>0.00963262801227041</v>
      </c>
      <c r="BT23" s="33" t="n">
        <v>0</v>
      </c>
    </row>
    <row r="24" customFormat="false" ht="11.25" hidden="false" customHeight="true" outlineLevel="0" collapsed="false">
      <c r="B24" s="24" t="s">
        <v>99</v>
      </c>
      <c r="C24" s="25" t="s">
        <v>100</v>
      </c>
      <c r="D24" s="24" t="n">
        <v>18</v>
      </c>
      <c r="E24" s="34" t="n">
        <v>0.00115724606989694</v>
      </c>
      <c r="F24" s="34" t="n">
        <v>0.00150081470974459</v>
      </c>
      <c r="G24" s="34" t="n">
        <v>0.000764466154393201</v>
      </c>
      <c r="H24" s="34" t="n">
        <v>0.00245352631284373</v>
      </c>
      <c r="I24" s="34" t="n">
        <v>0.00165141168705812</v>
      </c>
      <c r="J24" s="34" t="n">
        <v>0.00151400809477777</v>
      </c>
      <c r="K24" s="34" t="n">
        <v>0.00276117915640196</v>
      </c>
      <c r="L24" s="34" t="n">
        <v>0.00728890121941694</v>
      </c>
      <c r="M24" s="34" t="n">
        <v>0.00316555495081307</v>
      </c>
      <c r="N24" s="34" t="n">
        <v>0.00624603094149887</v>
      </c>
      <c r="O24" s="34" t="n">
        <v>0.00918735235935654</v>
      </c>
      <c r="P24" s="34" t="n">
        <v>0.00587377672366516</v>
      </c>
      <c r="Q24" s="34" t="n">
        <v>0.00506441660321576</v>
      </c>
      <c r="R24" s="34" t="n">
        <v>0.00442129827558114</v>
      </c>
      <c r="S24" s="34" t="n">
        <v>0.00759793733310361</v>
      </c>
      <c r="T24" s="34" t="n">
        <v>0.00344075757071381</v>
      </c>
      <c r="U24" s="34" t="n">
        <v>0.00963947396237256</v>
      </c>
      <c r="V24" s="34" t="n">
        <v>1.07083959258446</v>
      </c>
      <c r="W24" s="34" t="n">
        <v>0.00172999216986609</v>
      </c>
      <c r="X24" s="34" t="n">
        <v>0.00390712898337913</v>
      </c>
      <c r="Y24" s="34" t="n">
        <v>0.00322314471029344</v>
      </c>
      <c r="Z24" s="34" t="n">
        <v>0.00632186825282331</v>
      </c>
      <c r="AA24" s="34" t="n">
        <v>0.00475558095149823</v>
      </c>
      <c r="AB24" s="34" t="n">
        <v>0.00736741426547404</v>
      </c>
      <c r="AC24" s="34" t="n">
        <v>0.00559929129277856</v>
      </c>
      <c r="AD24" s="34" t="n">
        <v>0.00457915987238671</v>
      </c>
      <c r="AE24" s="34" t="n">
        <v>0.00464067291330289</v>
      </c>
      <c r="AF24" s="34" t="n">
        <v>0.00368633341755299</v>
      </c>
      <c r="AG24" s="34" t="n">
        <v>0.00471719852594665</v>
      </c>
      <c r="AH24" s="34" t="n">
        <v>0.00637206778383378</v>
      </c>
      <c r="AI24" s="34" t="n">
        <v>0.00547945866401667</v>
      </c>
      <c r="AJ24" s="34" t="n">
        <v>0.00600179911429791</v>
      </c>
      <c r="AK24" s="34" t="n">
        <v>0.00368692234038824</v>
      </c>
      <c r="AL24" s="34" t="n">
        <v>0.00272422823977519</v>
      </c>
      <c r="AM24" s="34" t="n">
        <v>0.00299833841551192</v>
      </c>
      <c r="AN24" s="34" t="n">
        <v>0.0039684979819358</v>
      </c>
      <c r="AO24" s="34" t="n">
        <v>0.00209130081885923</v>
      </c>
      <c r="AP24" s="34" t="n">
        <v>0.0019975918815962</v>
      </c>
      <c r="AQ24" s="34" t="n">
        <v>0.00174411594148214</v>
      </c>
      <c r="AR24" s="34" t="n">
        <v>0.00200047033945507</v>
      </c>
      <c r="AS24" s="34" t="n">
        <v>0.00301704492366533</v>
      </c>
      <c r="AT24" s="34" t="n">
        <v>0.010583774203788</v>
      </c>
      <c r="AU24" s="34" t="n">
        <v>0.00183420910659118</v>
      </c>
      <c r="AV24" s="34" t="n">
        <v>0.00209124276636928</v>
      </c>
      <c r="AW24" s="34" t="n">
        <v>0.00374031904854063</v>
      </c>
      <c r="AX24" s="34" t="n">
        <v>0.00278216770398671</v>
      </c>
      <c r="AY24" s="34" t="n">
        <v>0.00302081780782611</v>
      </c>
      <c r="AZ24" s="34" t="n">
        <v>0.00286373154497494</v>
      </c>
      <c r="BA24" s="34" t="n">
        <v>0.0988439913391871</v>
      </c>
      <c r="BB24" s="34" t="n">
        <v>0.0207416727299066</v>
      </c>
      <c r="BC24" s="34" t="n">
        <v>0.013770989928974</v>
      </c>
      <c r="BD24" s="34" t="n">
        <v>0.014023178328819</v>
      </c>
      <c r="BE24" s="34" t="n">
        <v>0.00791965518366437</v>
      </c>
      <c r="BF24" s="34" t="n">
        <v>0.00112439874256374</v>
      </c>
      <c r="BG24" s="34" t="n">
        <v>0.00628499805473398</v>
      </c>
      <c r="BH24" s="34" t="n">
        <v>0.00625926823054909</v>
      </c>
      <c r="BI24" s="34" t="n">
        <v>0.053115506158668</v>
      </c>
      <c r="BJ24" s="34" t="n">
        <v>0.00419751855307887</v>
      </c>
      <c r="BK24" s="34" t="n">
        <v>0.0104497050109825</v>
      </c>
      <c r="BL24" s="34" t="n">
        <v>0.00146490211289223</v>
      </c>
      <c r="BM24" s="34" t="n">
        <v>0.00368911592635725</v>
      </c>
      <c r="BN24" s="34" t="n">
        <v>0.00324183547856323</v>
      </c>
      <c r="BO24" s="34" t="n">
        <v>0.00546272808455014</v>
      </c>
      <c r="BP24" s="34" t="n">
        <v>0.00265297617100564</v>
      </c>
      <c r="BQ24" s="34" t="n">
        <v>0.00245647771628256</v>
      </c>
      <c r="BR24" s="34" t="n">
        <v>0.0147696000846479</v>
      </c>
      <c r="BS24" s="34" t="n">
        <v>0.00674910717123393</v>
      </c>
      <c r="BT24" s="34" t="n">
        <v>0</v>
      </c>
    </row>
    <row r="25" customFormat="false" ht="11.25" hidden="false" customHeight="true" outlineLevel="0" collapsed="false">
      <c r="B25" s="19" t="s">
        <v>101</v>
      </c>
      <c r="C25" s="20" t="s">
        <v>102</v>
      </c>
      <c r="D25" s="19" t="n">
        <v>19</v>
      </c>
      <c r="E25" s="33" t="n">
        <v>0.0803612294174851</v>
      </c>
      <c r="F25" s="33" t="n">
        <v>0.0665753759235365</v>
      </c>
      <c r="G25" s="33" t="n">
        <v>0.0426815090950955</v>
      </c>
      <c r="H25" s="33" t="n">
        <v>0.100695233702174</v>
      </c>
      <c r="I25" s="33" t="n">
        <v>0.0370372817582275</v>
      </c>
      <c r="J25" s="33" t="n">
        <v>0.0589434349507163</v>
      </c>
      <c r="K25" s="33" t="n">
        <v>0.144535438133721</v>
      </c>
      <c r="L25" s="33" t="n">
        <v>0.0894322062573577</v>
      </c>
      <c r="M25" s="33" t="n">
        <v>0.0968622204768933</v>
      </c>
      <c r="N25" s="33" t="n">
        <v>0.0910224266801792</v>
      </c>
      <c r="O25" s="33" t="n">
        <v>0.0536520180962472</v>
      </c>
      <c r="P25" s="33" t="n">
        <v>0.0484320752584746</v>
      </c>
      <c r="Q25" s="33" t="n">
        <v>0.0634847301906673</v>
      </c>
      <c r="R25" s="33" t="n">
        <v>0.0321004623697578</v>
      </c>
      <c r="S25" s="33" t="n">
        <v>0.058684645124876</v>
      </c>
      <c r="T25" s="33" t="n">
        <v>0.0457781984336485</v>
      </c>
      <c r="U25" s="33" t="n">
        <v>0.086465477416977</v>
      </c>
      <c r="V25" s="33" t="n">
        <v>0.0322532510446371</v>
      </c>
      <c r="W25" s="33" t="n">
        <v>1.37529749208864</v>
      </c>
      <c r="X25" s="33" t="n">
        <v>0.0882264404311362</v>
      </c>
      <c r="Y25" s="33" t="n">
        <v>0.164871188606912</v>
      </c>
      <c r="Z25" s="33" t="n">
        <v>0.09473896445767</v>
      </c>
      <c r="AA25" s="33" t="n">
        <v>0.0697899431148947</v>
      </c>
      <c r="AB25" s="33" t="n">
        <v>0.0521809742957344</v>
      </c>
      <c r="AC25" s="33" t="n">
        <v>0.0844172570843757</v>
      </c>
      <c r="AD25" s="33" t="n">
        <v>0.101077504905222</v>
      </c>
      <c r="AE25" s="33" t="n">
        <v>0.0894325613649372</v>
      </c>
      <c r="AF25" s="33" t="n">
        <v>0.104973356258194</v>
      </c>
      <c r="AG25" s="33" t="n">
        <v>0.0526313529847714</v>
      </c>
      <c r="AH25" s="33" t="n">
        <v>0.0295697667355127</v>
      </c>
      <c r="AI25" s="33" t="n">
        <v>0.0630139128719528</v>
      </c>
      <c r="AJ25" s="33" t="n">
        <v>0.0490247797725114</v>
      </c>
      <c r="AK25" s="33" t="n">
        <v>0.0429172818869092</v>
      </c>
      <c r="AL25" s="33" t="n">
        <v>0.0439386676815004</v>
      </c>
      <c r="AM25" s="33" t="n">
        <v>0.0345624147547943</v>
      </c>
      <c r="AN25" s="33" t="n">
        <v>0.0401146727856295</v>
      </c>
      <c r="AO25" s="33" t="n">
        <v>0.027771418357768</v>
      </c>
      <c r="AP25" s="33" t="n">
        <v>0.0481497258489417</v>
      </c>
      <c r="AQ25" s="33" t="n">
        <v>0.0381883520817895</v>
      </c>
      <c r="AR25" s="33" t="n">
        <v>0.0463349916724149</v>
      </c>
      <c r="AS25" s="33" t="n">
        <v>0.0223378063446855</v>
      </c>
      <c r="AT25" s="33" t="n">
        <v>0.0462224930370917</v>
      </c>
      <c r="AU25" s="33" t="n">
        <v>0.30397862361732</v>
      </c>
      <c r="AV25" s="33" t="n">
        <v>0.159754519330033</v>
      </c>
      <c r="AW25" s="33" t="n">
        <v>0.181098794321978</v>
      </c>
      <c r="AX25" s="33" t="n">
        <v>0.0458136500865301</v>
      </c>
      <c r="AY25" s="33" t="n">
        <v>0.0196765542974239</v>
      </c>
      <c r="AZ25" s="33" t="n">
        <v>0.0305772131046386</v>
      </c>
      <c r="BA25" s="33" t="n">
        <v>0.0441810432591383</v>
      </c>
      <c r="BB25" s="33" t="n">
        <v>0.0287240464938323</v>
      </c>
      <c r="BC25" s="33" t="n">
        <v>0.0312364458382366</v>
      </c>
      <c r="BD25" s="33" t="n">
        <v>0.011385111189848</v>
      </c>
      <c r="BE25" s="33" t="n">
        <v>0.00978380363352664</v>
      </c>
      <c r="BF25" s="33" t="n">
        <v>0.00207071316236072</v>
      </c>
      <c r="BG25" s="33" t="n">
        <v>0.0144862453434878</v>
      </c>
      <c r="BH25" s="33" t="n">
        <v>0.0216971934306418</v>
      </c>
      <c r="BI25" s="33" t="n">
        <v>0.0211761522272946</v>
      </c>
      <c r="BJ25" s="33" t="n">
        <v>0.0337916386423158</v>
      </c>
      <c r="BK25" s="33" t="n">
        <v>0.0147574843504507</v>
      </c>
      <c r="BL25" s="33" t="n">
        <v>0.0190695293879115</v>
      </c>
      <c r="BM25" s="33" t="n">
        <v>0.0122557377435679</v>
      </c>
      <c r="BN25" s="33" t="n">
        <v>0.009276885140538</v>
      </c>
      <c r="BO25" s="33" t="n">
        <v>0.0161903846337545</v>
      </c>
      <c r="BP25" s="33" t="n">
        <v>0.0126678710044443</v>
      </c>
      <c r="BQ25" s="33" t="n">
        <v>0.0119443092529271</v>
      </c>
      <c r="BR25" s="33" t="n">
        <v>0.0150836590335781</v>
      </c>
      <c r="BS25" s="33" t="n">
        <v>0.0314873020739377</v>
      </c>
      <c r="BT25" s="33" t="n">
        <v>0</v>
      </c>
    </row>
    <row r="26" customFormat="false" ht="11.25" hidden="false" customHeight="true" outlineLevel="0" collapsed="false">
      <c r="B26" s="24" t="s">
        <v>103</v>
      </c>
      <c r="C26" s="25" t="s">
        <v>104</v>
      </c>
      <c r="D26" s="24" t="n">
        <v>20</v>
      </c>
      <c r="E26" s="34" t="n">
        <v>0.00287264169686529</v>
      </c>
      <c r="F26" s="34" t="n">
        <v>0.00300530670979284</v>
      </c>
      <c r="G26" s="34" t="n">
        <v>0.00141317056700006</v>
      </c>
      <c r="H26" s="34" t="n">
        <v>0.00353443226458674</v>
      </c>
      <c r="I26" s="34" t="n">
        <v>0.00230600737830598</v>
      </c>
      <c r="J26" s="34" t="n">
        <v>0.00173022418588956</v>
      </c>
      <c r="K26" s="34" t="n">
        <v>0.00408089917756795</v>
      </c>
      <c r="L26" s="34" t="n">
        <v>0.00419158737119458</v>
      </c>
      <c r="M26" s="34" t="n">
        <v>0.0094393606030619</v>
      </c>
      <c r="N26" s="34" t="n">
        <v>0.00748932820447336</v>
      </c>
      <c r="O26" s="34" t="n">
        <v>0.00465265661388911</v>
      </c>
      <c r="P26" s="34" t="n">
        <v>0.00171733567963859</v>
      </c>
      <c r="Q26" s="34" t="n">
        <v>0.00228400486515067</v>
      </c>
      <c r="R26" s="34" t="n">
        <v>0.00113807621667795</v>
      </c>
      <c r="S26" s="34" t="n">
        <v>0.00212040924216708</v>
      </c>
      <c r="T26" s="34" t="n">
        <v>0.00161153570682829</v>
      </c>
      <c r="U26" s="34" t="n">
        <v>0.00295896410307763</v>
      </c>
      <c r="V26" s="34" t="n">
        <v>0.00134633564450805</v>
      </c>
      <c r="W26" s="34" t="n">
        <v>0.0353033196054145</v>
      </c>
      <c r="X26" s="34" t="n">
        <v>1.01042157457281</v>
      </c>
      <c r="Y26" s="34" t="n">
        <v>0.00592965151996924</v>
      </c>
      <c r="Z26" s="34" t="n">
        <v>0.00737361490744653</v>
      </c>
      <c r="AA26" s="34" t="n">
        <v>0.0160627946994064</v>
      </c>
      <c r="AB26" s="34" t="n">
        <v>0.00717426810683284</v>
      </c>
      <c r="AC26" s="34" t="n">
        <v>0.00295033788010908</v>
      </c>
      <c r="AD26" s="34" t="n">
        <v>0.00312802731359781</v>
      </c>
      <c r="AE26" s="34" t="n">
        <v>0.00276318851350387</v>
      </c>
      <c r="AF26" s="34" t="n">
        <v>0.0031565490583932</v>
      </c>
      <c r="AG26" s="34" t="n">
        <v>0.00191902875949006</v>
      </c>
      <c r="AH26" s="34" t="n">
        <v>0.00102860872591556</v>
      </c>
      <c r="AI26" s="34" t="n">
        <v>0.00208670817610526</v>
      </c>
      <c r="AJ26" s="34" t="n">
        <v>0.00178691108013557</v>
      </c>
      <c r="AK26" s="34" t="n">
        <v>0.00141287024469787</v>
      </c>
      <c r="AL26" s="34" t="n">
        <v>0.00144211767096457</v>
      </c>
      <c r="AM26" s="34" t="n">
        <v>0.00116673896178931</v>
      </c>
      <c r="AN26" s="34" t="n">
        <v>0.00139749271505861</v>
      </c>
      <c r="AO26" s="34" t="n">
        <v>0.00106593723996036</v>
      </c>
      <c r="AP26" s="34" t="n">
        <v>0.00186879766469191</v>
      </c>
      <c r="AQ26" s="34" t="n">
        <v>0.00132558197149984</v>
      </c>
      <c r="AR26" s="34" t="n">
        <v>0.00172075936926956</v>
      </c>
      <c r="AS26" s="34" t="n">
        <v>0.00108226355867625</v>
      </c>
      <c r="AT26" s="34" t="n">
        <v>0.00154753188005261</v>
      </c>
      <c r="AU26" s="34" t="n">
        <v>0.00885203397716482</v>
      </c>
      <c r="AV26" s="34" t="n">
        <v>0.00428806731805361</v>
      </c>
      <c r="AW26" s="34" t="n">
        <v>0.004810609908236</v>
      </c>
      <c r="AX26" s="34" t="n">
        <v>0.00159809419956276</v>
      </c>
      <c r="AY26" s="34" t="n">
        <v>0.000928837576294722</v>
      </c>
      <c r="AZ26" s="34" t="n">
        <v>0.00242691217077849</v>
      </c>
      <c r="BA26" s="34" t="n">
        <v>0.00159700754146922</v>
      </c>
      <c r="BB26" s="34" t="n">
        <v>0.00108230192126953</v>
      </c>
      <c r="BC26" s="34" t="n">
        <v>0.00117944007661093</v>
      </c>
      <c r="BD26" s="34" t="n">
        <v>0.000405089332330605</v>
      </c>
      <c r="BE26" s="34" t="n">
        <v>0.000357818230353089</v>
      </c>
      <c r="BF26" s="34" t="n">
        <v>8.08101133964626E-005</v>
      </c>
      <c r="BG26" s="34" t="n">
        <v>0.000510708414830383</v>
      </c>
      <c r="BH26" s="34" t="n">
        <v>0.0011117746839667</v>
      </c>
      <c r="BI26" s="34" t="n">
        <v>0.000874660354474569</v>
      </c>
      <c r="BJ26" s="34" t="n">
        <v>0.00102473302409873</v>
      </c>
      <c r="BK26" s="34" t="n">
        <v>0.000639421571634055</v>
      </c>
      <c r="BL26" s="34" t="n">
        <v>0.0013961863821067</v>
      </c>
      <c r="BM26" s="34" t="n">
        <v>0.00116711905769231</v>
      </c>
      <c r="BN26" s="34" t="n">
        <v>0.000718665228061203</v>
      </c>
      <c r="BO26" s="34" t="n">
        <v>0.000632694849891026</v>
      </c>
      <c r="BP26" s="34" t="n">
        <v>0.000886970535859685</v>
      </c>
      <c r="BQ26" s="34" t="n">
        <v>0.000835497884711637</v>
      </c>
      <c r="BR26" s="34" t="n">
        <v>0.000619778560466513</v>
      </c>
      <c r="BS26" s="34" t="n">
        <v>0.00142647697764777</v>
      </c>
      <c r="BT26" s="34" t="n">
        <v>0</v>
      </c>
    </row>
    <row r="27" customFormat="false" ht="11.25" hidden="false" customHeight="true" outlineLevel="0" collapsed="false">
      <c r="B27" s="19" t="s">
        <v>105</v>
      </c>
      <c r="C27" s="20" t="s">
        <v>106</v>
      </c>
      <c r="D27" s="19" t="n">
        <v>21</v>
      </c>
      <c r="E27" s="33" t="n">
        <v>0.136121457122643</v>
      </c>
      <c r="F27" s="33" t="n">
        <v>0.0427545439156264</v>
      </c>
      <c r="G27" s="33" t="n">
        <v>0.0187547105110511</v>
      </c>
      <c r="H27" s="33" t="n">
        <v>0.0409473393208186</v>
      </c>
      <c r="I27" s="33" t="n">
        <v>0.0213260743333236</v>
      </c>
      <c r="J27" s="33" t="n">
        <v>0.0085455105021549</v>
      </c>
      <c r="K27" s="33" t="n">
        <v>0.0201008658331157</v>
      </c>
      <c r="L27" s="33" t="n">
        <v>0.0362207541635365</v>
      </c>
      <c r="M27" s="33" t="n">
        <v>0.0746290802101681</v>
      </c>
      <c r="N27" s="33" t="n">
        <v>0.058939484561904</v>
      </c>
      <c r="O27" s="33" t="n">
        <v>0.0229250133474136</v>
      </c>
      <c r="P27" s="33" t="n">
        <v>0.046070131431563</v>
      </c>
      <c r="Q27" s="33" t="n">
        <v>0.142122984170855</v>
      </c>
      <c r="R27" s="33" t="n">
        <v>0.0387096434254882</v>
      </c>
      <c r="S27" s="33" t="n">
        <v>0.0703073598940452</v>
      </c>
      <c r="T27" s="33" t="n">
        <v>0.0336510982962101</v>
      </c>
      <c r="U27" s="33" t="n">
        <v>0.0777167615590261</v>
      </c>
      <c r="V27" s="33" t="n">
        <v>0.0344245993502282</v>
      </c>
      <c r="W27" s="33" t="n">
        <v>0.0197379161237363</v>
      </c>
      <c r="X27" s="33" t="n">
        <v>0.0782130718962276</v>
      </c>
      <c r="Y27" s="33" t="n">
        <v>1.2579328602894</v>
      </c>
      <c r="Z27" s="33" t="n">
        <v>0.232762191421664</v>
      </c>
      <c r="AA27" s="33" t="n">
        <v>0.140162218045575</v>
      </c>
      <c r="AB27" s="33" t="n">
        <v>0.0406666318491415</v>
      </c>
      <c r="AC27" s="33" t="n">
        <v>0.200362784885361</v>
      </c>
      <c r="AD27" s="33" t="n">
        <v>0.0505250228555435</v>
      </c>
      <c r="AE27" s="33" t="n">
        <v>0.0229812580729624</v>
      </c>
      <c r="AF27" s="33" t="n">
        <v>0.0333199586715453</v>
      </c>
      <c r="AG27" s="33" t="n">
        <v>0.0281000067615911</v>
      </c>
      <c r="AH27" s="33" t="n">
        <v>0.0148369130193619</v>
      </c>
      <c r="AI27" s="33" t="n">
        <v>0.0617319433378581</v>
      </c>
      <c r="AJ27" s="33" t="n">
        <v>0.0186651443479674</v>
      </c>
      <c r="AK27" s="33" t="n">
        <v>0.0232968101561104</v>
      </c>
      <c r="AL27" s="33" t="n">
        <v>0.0364289657679058</v>
      </c>
      <c r="AM27" s="33" t="n">
        <v>0.0250386309376806</v>
      </c>
      <c r="AN27" s="33" t="n">
        <v>0.0447917577719351</v>
      </c>
      <c r="AO27" s="33" t="n">
        <v>0.0183919072528721</v>
      </c>
      <c r="AP27" s="33" t="n">
        <v>0.00618103628060202</v>
      </c>
      <c r="AQ27" s="33" t="n">
        <v>0.0220771358410593</v>
      </c>
      <c r="AR27" s="33" t="n">
        <v>0.0174898837437073</v>
      </c>
      <c r="AS27" s="33" t="n">
        <v>0.0100389449177299</v>
      </c>
      <c r="AT27" s="33" t="n">
        <v>0.00844770304707573</v>
      </c>
      <c r="AU27" s="33" t="n">
        <v>0.0115793478412912</v>
      </c>
      <c r="AV27" s="33" t="n">
        <v>0.00617171184852266</v>
      </c>
      <c r="AW27" s="33" t="n">
        <v>0.00947199386730891</v>
      </c>
      <c r="AX27" s="33" t="n">
        <v>0.00436482522671387</v>
      </c>
      <c r="AY27" s="33" t="n">
        <v>0.00956194297469521</v>
      </c>
      <c r="AZ27" s="33" t="n">
        <v>0.012584895701561</v>
      </c>
      <c r="BA27" s="33" t="n">
        <v>0.0169547323052898</v>
      </c>
      <c r="BB27" s="33" t="n">
        <v>0.00780057148376068</v>
      </c>
      <c r="BC27" s="33" t="n">
        <v>0.00833320497541128</v>
      </c>
      <c r="BD27" s="33" t="n">
        <v>0.00307967003663504</v>
      </c>
      <c r="BE27" s="33" t="n">
        <v>0.00236361807407508</v>
      </c>
      <c r="BF27" s="33" t="n">
        <v>0.00121361701517092</v>
      </c>
      <c r="BG27" s="33" t="n">
        <v>0.00406152240309273</v>
      </c>
      <c r="BH27" s="33" t="n">
        <v>0.00488331616858514</v>
      </c>
      <c r="BI27" s="33" t="n">
        <v>0.00706427676333417</v>
      </c>
      <c r="BJ27" s="33" t="n">
        <v>0.00619217787360617</v>
      </c>
      <c r="BK27" s="33" t="n">
        <v>0.00654315800052821</v>
      </c>
      <c r="BL27" s="33" t="n">
        <v>0.00203530060019815</v>
      </c>
      <c r="BM27" s="33" t="n">
        <v>0.00304491288595384</v>
      </c>
      <c r="BN27" s="33" t="n">
        <v>0.00368155982701598</v>
      </c>
      <c r="BO27" s="33" t="n">
        <v>0.00390232257619001</v>
      </c>
      <c r="BP27" s="33" t="n">
        <v>0.00850455345890232</v>
      </c>
      <c r="BQ27" s="33" t="n">
        <v>0.011651623697612</v>
      </c>
      <c r="BR27" s="33" t="n">
        <v>0.00547630758265003</v>
      </c>
      <c r="BS27" s="33" t="n">
        <v>0.00829543662647735</v>
      </c>
      <c r="BT27" s="33" t="n">
        <v>0</v>
      </c>
    </row>
    <row r="28" customFormat="false" ht="11.25" hidden="false" customHeight="true" outlineLevel="0" collapsed="false">
      <c r="B28" s="24" t="s">
        <v>107</v>
      </c>
      <c r="C28" s="25" t="s">
        <v>108</v>
      </c>
      <c r="D28" s="24" t="n">
        <v>22</v>
      </c>
      <c r="E28" s="34" t="n">
        <v>0.0530897120148566</v>
      </c>
      <c r="F28" s="34" t="n">
        <v>0.0164312582072188</v>
      </c>
      <c r="G28" s="34" t="n">
        <v>0.00381910609291111</v>
      </c>
      <c r="H28" s="34" t="n">
        <v>0.107705255613448</v>
      </c>
      <c r="I28" s="34" t="n">
        <v>0.00547061634528962</v>
      </c>
      <c r="J28" s="34" t="n">
        <v>0.00598341275071278</v>
      </c>
      <c r="K28" s="34" t="n">
        <v>0.0146190960049061</v>
      </c>
      <c r="L28" s="34" t="n">
        <v>0.0194017068820389</v>
      </c>
      <c r="M28" s="34" t="n">
        <v>0.0287207022910764</v>
      </c>
      <c r="N28" s="34" t="n">
        <v>0.0339062787864628</v>
      </c>
      <c r="O28" s="34" t="n">
        <v>0.0110887221004748</v>
      </c>
      <c r="P28" s="34" t="n">
        <v>0.0196448757602446</v>
      </c>
      <c r="Q28" s="34" t="n">
        <v>0.0273114857593434</v>
      </c>
      <c r="R28" s="34" t="n">
        <v>0.0100240625735651</v>
      </c>
      <c r="S28" s="34" t="n">
        <v>0.0192533730997664</v>
      </c>
      <c r="T28" s="34" t="n">
        <v>0.0286802156771345</v>
      </c>
      <c r="U28" s="34" t="n">
        <v>0.0388586452538318</v>
      </c>
      <c r="V28" s="34" t="n">
        <v>0.0693988238920499</v>
      </c>
      <c r="W28" s="34" t="n">
        <v>0.00632481044981714</v>
      </c>
      <c r="X28" s="34" t="n">
        <v>0.0317264124758992</v>
      </c>
      <c r="Y28" s="34" t="n">
        <v>0.0270024846938015</v>
      </c>
      <c r="Z28" s="34" t="n">
        <v>1.10731187331992</v>
      </c>
      <c r="AA28" s="34" t="n">
        <v>0.050905801213201</v>
      </c>
      <c r="AB28" s="34" t="n">
        <v>0.0226062923491419</v>
      </c>
      <c r="AC28" s="34" t="n">
        <v>0.0538075964478967</v>
      </c>
      <c r="AD28" s="34" t="n">
        <v>0.0300873300154702</v>
      </c>
      <c r="AE28" s="34" t="n">
        <v>0.0133818702217983</v>
      </c>
      <c r="AF28" s="34" t="n">
        <v>0.0107234877892277</v>
      </c>
      <c r="AG28" s="34" t="n">
        <v>0.0157910543867489</v>
      </c>
      <c r="AH28" s="34" t="n">
        <v>0.012414538025138</v>
      </c>
      <c r="AI28" s="34" t="n">
        <v>0.0139633196853194</v>
      </c>
      <c r="AJ28" s="34" t="n">
        <v>0.0107311789907605</v>
      </c>
      <c r="AK28" s="34" t="n">
        <v>0.0122083691113035</v>
      </c>
      <c r="AL28" s="34" t="n">
        <v>0.0121724183654342</v>
      </c>
      <c r="AM28" s="34" t="n">
        <v>0.0114176515691835</v>
      </c>
      <c r="AN28" s="34" t="n">
        <v>0.0188063078410059</v>
      </c>
      <c r="AO28" s="34" t="n">
        <v>0.0185023417639345</v>
      </c>
      <c r="AP28" s="34" t="n">
        <v>0.00292437492950641</v>
      </c>
      <c r="AQ28" s="34" t="n">
        <v>0.0106711947498987</v>
      </c>
      <c r="AR28" s="34" t="n">
        <v>0.0214853069424324</v>
      </c>
      <c r="AS28" s="34" t="n">
        <v>0.0121206662091271</v>
      </c>
      <c r="AT28" s="34" t="n">
        <v>0.00622969004783648</v>
      </c>
      <c r="AU28" s="34" t="n">
        <v>0.00550289966579191</v>
      </c>
      <c r="AV28" s="34" t="n">
        <v>0.00357267980732383</v>
      </c>
      <c r="AW28" s="34" t="n">
        <v>0.00401778136253311</v>
      </c>
      <c r="AX28" s="34" t="n">
        <v>0.0031096001196755</v>
      </c>
      <c r="AY28" s="34" t="n">
        <v>0.00499119242884739</v>
      </c>
      <c r="AZ28" s="34" t="n">
        <v>0.00615055676547145</v>
      </c>
      <c r="BA28" s="34" t="n">
        <v>0.024054181530741</v>
      </c>
      <c r="BB28" s="34" t="n">
        <v>0.00874712004801008</v>
      </c>
      <c r="BC28" s="34" t="n">
        <v>0.00664638472613287</v>
      </c>
      <c r="BD28" s="34" t="n">
        <v>0.00287200061193621</v>
      </c>
      <c r="BE28" s="34" t="n">
        <v>0.0020169335220233</v>
      </c>
      <c r="BF28" s="34" t="n">
        <v>0.00249548767455344</v>
      </c>
      <c r="BG28" s="34" t="n">
        <v>0.00245168299656952</v>
      </c>
      <c r="BH28" s="34" t="n">
        <v>0.00342552136297868</v>
      </c>
      <c r="BI28" s="34" t="n">
        <v>0.0082377037017405</v>
      </c>
      <c r="BJ28" s="34" t="n">
        <v>0.00404442465841353</v>
      </c>
      <c r="BK28" s="34" t="n">
        <v>0.00849918528992126</v>
      </c>
      <c r="BL28" s="34" t="n">
        <v>0.0012755350370891</v>
      </c>
      <c r="BM28" s="34" t="n">
        <v>0.00245288535167171</v>
      </c>
      <c r="BN28" s="34" t="n">
        <v>0.00353038729011725</v>
      </c>
      <c r="BO28" s="34" t="n">
        <v>0.00276824826100955</v>
      </c>
      <c r="BP28" s="34" t="n">
        <v>0.00862039143115188</v>
      </c>
      <c r="BQ28" s="34" t="n">
        <v>0.0036965434164711</v>
      </c>
      <c r="BR28" s="34" t="n">
        <v>0.00432893371428906</v>
      </c>
      <c r="BS28" s="34" t="n">
        <v>0.00444254152045889</v>
      </c>
      <c r="BT28" s="34" t="n">
        <v>0</v>
      </c>
    </row>
    <row r="29" customFormat="false" ht="11.25" hidden="false" customHeight="true" outlineLevel="0" collapsed="false">
      <c r="B29" s="19" t="s">
        <v>109</v>
      </c>
      <c r="C29" s="20" t="s">
        <v>110</v>
      </c>
      <c r="D29" s="19" t="n">
        <v>23</v>
      </c>
      <c r="E29" s="33" t="n">
        <v>0.00220539867107973</v>
      </c>
      <c r="F29" s="33" t="n">
        <v>0.00137764705025301</v>
      </c>
      <c r="G29" s="33" t="n">
        <v>0.00034442893106461</v>
      </c>
      <c r="H29" s="33" t="n">
        <v>0.00299941513717013</v>
      </c>
      <c r="I29" s="33" t="n">
        <v>0.000979942107123123</v>
      </c>
      <c r="J29" s="33" t="n">
        <v>0.00113170685180784</v>
      </c>
      <c r="K29" s="33" t="n">
        <v>0.00191311204798713</v>
      </c>
      <c r="L29" s="33" t="n">
        <v>0.00366088974209532</v>
      </c>
      <c r="M29" s="33" t="n">
        <v>0.00221908502971531</v>
      </c>
      <c r="N29" s="33" t="n">
        <v>0.00361675451774529</v>
      </c>
      <c r="O29" s="33" t="n">
        <v>0.0017603159560824</v>
      </c>
      <c r="P29" s="33" t="n">
        <v>0.00243442765804657</v>
      </c>
      <c r="Q29" s="33" t="n">
        <v>0.00322635705413747</v>
      </c>
      <c r="R29" s="33" t="n">
        <v>0.00230344545773384</v>
      </c>
      <c r="S29" s="33" t="n">
        <v>0.00326876526751117</v>
      </c>
      <c r="T29" s="33" t="n">
        <v>0.00198114505892662</v>
      </c>
      <c r="U29" s="33" t="n">
        <v>0.00385017183547938</v>
      </c>
      <c r="V29" s="33" t="n">
        <v>0.0018921746825231</v>
      </c>
      <c r="W29" s="33" t="n">
        <v>0.00117466918109172</v>
      </c>
      <c r="X29" s="33" t="n">
        <v>0.0026052606592973</v>
      </c>
      <c r="Y29" s="33" t="n">
        <v>0.00286173347592346</v>
      </c>
      <c r="Z29" s="33" t="n">
        <v>0.00677281555077927</v>
      </c>
      <c r="AA29" s="33" t="n">
        <v>1.02356659991345</v>
      </c>
      <c r="AB29" s="33" t="n">
        <v>0.00370756274267029</v>
      </c>
      <c r="AC29" s="33" t="n">
        <v>0.00311832001460458</v>
      </c>
      <c r="AD29" s="33" t="n">
        <v>0.00264519107397666</v>
      </c>
      <c r="AE29" s="33" t="n">
        <v>0.00238052867357585</v>
      </c>
      <c r="AF29" s="33" t="n">
        <v>0.00247295923445452</v>
      </c>
      <c r="AG29" s="33" t="n">
        <v>0.00469087680068315</v>
      </c>
      <c r="AH29" s="33" t="n">
        <v>0.00223028971881578</v>
      </c>
      <c r="AI29" s="33" t="n">
        <v>0.00253737538963826</v>
      </c>
      <c r="AJ29" s="33" t="n">
        <v>0.00309557971482324</v>
      </c>
      <c r="AK29" s="33" t="n">
        <v>0.0013573327865199</v>
      </c>
      <c r="AL29" s="33" t="n">
        <v>0.00146024561156166</v>
      </c>
      <c r="AM29" s="33" t="n">
        <v>0.00141863121853092</v>
      </c>
      <c r="AN29" s="33" t="n">
        <v>0.00181868171180827</v>
      </c>
      <c r="AO29" s="33" t="n">
        <v>0.00133872114992489</v>
      </c>
      <c r="AP29" s="33" t="n">
        <v>0.000577561285879753</v>
      </c>
      <c r="AQ29" s="33" t="n">
        <v>0.00124776848522556</v>
      </c>
      <c r="AR29" s="33" t="n">
        <v>0.00118243956280847</v>
      </c>
      <c r="AS29" s="33" t="n">
        <v>0.0014556569614231</v>
      </c>
      <c r="AT29" s="33" t="n">
        <v>0.0024860932683082</v>
      </c>
      <c r="AU29" s="33" t="n">
        <v>0.00137351687959106</v>
      </c>
      <c r="AV29" s="33" t="n">
        <v>0.00122471766415807</v>
      </c>
      <c r="AW29" s="33" t="n">
        <v>0.000815419836755708</v>
      </c>
      <c r="AX29" s="33" t="n">
        <v>0.00126783906925538</v>
      </c>
      <c r="AY29" s="33" t="n">
        <v>0.00284707613933458</v>
      </c>
      <c r="AZ29" s="33" t="n">
        <v>0.0011116730265083</v>
      </c>
      <c r="BA29" s="33" t="n">
        <v>0.00334303147610071</v>
      </c>
      <c r="BB29" s="33" t="n">
        <v>0.00307763948547964</v>
      </c>
      <c r="BC29" s="33" t="n">
        <v>0.003675854531343</v>
      </c>
      <c r="BD29" s="33" t="n">
        <v>0.000920644345013057</v>
      </c>
      <c r="BE29" s="33" t="n">
        <v>0.000677519066979954</v>
      </c>
      <c r="BF29" s="33" t="n">
        <v>0.000106555451304905</v>
      </c>
      <c r="BG29" s="33" t="n">
        <v>0.00165442901028296</v>
      </c>
      <c r="BH29" s="33" t="n">
        <v>0.0019059438929752</v>
      </c>
      <c r="BI29" s="33" t="n">
        <v>0.00334762072486239</v>
      </c>
      <c r="BJ29" s="33" t="n">
        <v>0.00227847702532401</v>
      </c>
      <c r="BK29" s="33" t="n">
        <v>0.00586090947199211</v>
      </c>
      <c r="BL29" s="33" t="n">
        <v>0.000441745995389487</v>
      </c>
      <c r="BM29" s="33" t="n">
        <v>0.000650575603506527</v>
      </c>
      <c r="BN29" s="33" t="n">
        <v>0.00100113276038827</v>
      </c>
      <c r="BO29" s="33" t="n">
        <v>0.0016789243777577</v>
      </c>
      <c r="BP29" s="33" t="n">
        <v>0.0013658621433203</v>
      </c>
      <c r="BQ29" s="33" t="n">
        <v>0.00345159474499481</v>
      </c>
      <c r="BR29" s="33" t="n">
        <v>0.00377051179533154</v>
      </c>
      <c r="BS29" s="33" t="n">
        <v>0.00496386723837877</v>
      </c>
      <c r="BT29" s="33" t="n">
        <v>0</v>
      </c>
    </row>
    <row r="30" customFormat="false" ht="11.25" hidden="false" customHeight="true" outlineLevel="0" collapsed="false">
      <c r="B30" s="24" t="s">
        <v>111</v>
      </c>
      <c r="C30" s="25" t="s">
        <v>112</v>
      </c>
      <c r="D30" s="24" t="n">
        <v>24</v>
      </c>
      <c r="E30" s="34" t="n">
        <v>0.0024905789782723</v>
      </c>
      <c r="F30" s="34" t="n">
        <v>0.0202318350165169</v>
      </c>
      <c r="G30" s="34" t="n">
        <v>0.000832974177023552</v>
      </c>
      <c r="H30" s="34" t="n">
        <v>0.00101038179037197</v>
      </c>
      <c r="I30" s="34" t="n">
        <v>0.00132567200341167</v>
      </c>
      <c r="J30" s="34" t="n">
        <v>0.000292854232146881</v>
      </c>
      <c r="K30" s="34" t="n">
        <v>0.000538552856270056</v>
      </c>
      <c r="L30" s="34" t="n">
        <v>0.0085874135001452</v>
      </c>
      <c r="M30" s="34" t="n">
        <v>0.00156963915174943</v>
      </c>
      <c r="N30" s="34" t="n">
        <v>0.0024806580851198</v>
      </c>
      <c r="O30" s="34" t="n">
        <v>0.000804198812394153</v>
      </c>
      <c r="P30" s="34" t="n">
        <v>0.00148323456319335</v>
      </c>
      <c r="Q30" s="34" t="n">
        <v>0.00216483984077675</v>
      </c>
      <c r="R30" s="34" t="n">
        <v>0.00168462051350615</v>
      </c>
      <c r="S30" s="34" t="n">
        <v>0.0020909689133395</v>
      </c>
      <c r="T30" s="34" t="n">
        <v>0.000908797236107179</v>
      </c>
      <c r="U30" s="34" t="n">
        <v>0.00150437186851004</v>
      </c>
      <c r="V30" s="34" t="n">
        <v>0.000842504092631731</v>
      </c>
      <c r="W30" s="34" t="n">
        <v>0.000721218945318086</v>
      </c>
      <c r="X30" s="34" t="n">
        <v>0.0017996332701521</v>
      </c>
      <c r="Y30" s="34" t="n">
        <v>0.0016297262546361</v>
      </c>
      <c r="Z30" s="34" t="n">
        <v>0.00540975284451102</v>
      </c>
      <c r="AA30" s="34" t="n">
        <v>0.00195438191067228</v>
      </c>
      <c r="AB30" s="34" t="n">
        <v>1.05028459246907</v>
      </c>
      <c r="AC30" s="34" t="n">
        <v>0.00256420304977696</v>
      </c>
      <c r="AD30" s="34" t="n">
        <v>0.00120946906178741</v>
      </c>
      <c r="AE30" s="34" t="n">
        <v>0.000773800764472082</v>
      </c>
      <c r="AF30" s="34" t="n">
        <v>0.000706218602043415</v>
      </c>
      <c r="AG30" s="34" t="n">
        <v>0.000815384359734286</v>
      </c>
      <c r="AH30" s="34" t="n">
        <v>0.000616498917747409</v>
      </c>
      <c r="AI30" s="34" t="n">
        <v>0.00117624771456872</v>
      </c>
      <c r="AJ30" s="34" t="n">
        <v>0.00112414584157912</v>
      </c>
      <c r="AK30" s="34" t="n">
        <v>0.000646103292576187</v>
      </c>
      <c r="AL30" s="34" t="n">
        <v>0.000712639646104996</v>
      </c>
      <c r="AM30" s="34" t="n">
        <v>0.000570308685450915</v>
      </c>
      <c r="AN30" s="34" t="n">
        <v>0.000973114472282383</v>
      </c>
      <c r="AO30" s="34" t="n">
        <v>0.000650693189468437</v>
      </c>
      <c r="AP30" s="34" t="n">
        <v>0.000236600179203392</v>
      </c>
      <c r="AQ30" s="34" t="n">
        <v>0.000331604073558305</v>
      </c>
      <c r="AR30" s="34" t="n">
        <v>0.000715454617304427</v>
      </c>
      <c r="AS30" s="34" t="n">
        <v>0.000299557574656225</v>
      </c>
      <c r="AT30" s="34" t="n">
        <v>0.000631709717997465</v>
      </c>
      <c r="AU30" s="34" t="n">
        <v>0.000329030687888529</v>
      </c>
      <c r="AV30" s="34" t="n">
        <v>0.000313684926999768</v>
      </c>
      <c r="AW30" s="34" t="n">
        <v>0.000292138108859044</v>
      </c>
      <c r="AX30" s="34" t="n">
        <v>0.000262838435663102</v>
      </c>
      <c r="AY30" s="34" t="n">
        <v>0.000719643345997546</v>
      </c>
      <c r="AZ30" s="34" t="n">
        <v>0.000944217270900688</v>
      </c>
      <c r="BA30" s="34" t="n">
        <v>0.000976962161929635</v>
      </c>
      <c r="BB30" s="34" t="n">
        <v>0.000680316184784096</v>
      </c>
      <c r="BC30" s="34" t="n">
        <v>0.000924163124051921</v>
      </c>
      <c r="BD30" s="34" t="n">
        <v>0.000254875025429529</v>
      </c>
      <c r="BE30" s="34" t="n">
        <v>0.000164866790731491</v>
      </c>
      <c r="BF30" s="34" t="n">
        <v>5.5222205948986E-005</v>
      </c>
      <c r="BG30" s="34" t="n">
        <v>0.000270954537434627</v>
      </c>
      <c r="BH30" s="34" t="n">
        <v>0.00074845206142809</v>
      </c>
      <c r="BI30" s="34" t="n">
        <v>0.0006519062287539</v>
      </c>
      <c r="BJ30" s="34" t="n">
        <v>0.000328113135557794</v>
      </c>
      <c r="BK30" s="34" t="n">
        <v>0.000362063409622607</v>
      </c>
      <c r="BL30" s="34" t="n">
        <v>0.000131625888449311</v>
      </c>
      <c r="BM30" s="34" t="n">
        <v>0.000551188724354061</v>
      </c>
      <c r="BN30" s="34" t="n">
        <v>0.00151765743493746</v>
      </c>
      <c r="BO30" s="34" t="n">
        <v>0.0015782318372512</v>
      </c>
      <c r="BP30" s="34" t="n">
        <v>0.0177637176650818</v>
      </c>
      <c r="BQ30" s="34" t="n">
        <v>0.0352602449739413</v>
      </c>
      <c r="BR30" s="34" t="n">
        <v>0.000506151436626378</v>
      </c>
      <c r="BS30" s="34" t="n">
        <v>0.00304706510761878</v>
      </c>
      <c r="BT30" s="34" t="n">
        <v>0</v>
      </c>
    </row>
    <row r="31" customFormat="false" ht="11.25" hidden="false" customHeight="true" outlineLevel="0" collapsed="false">
      <c r="B31" s="19" t="s">
        <v>113</v>
      </c>
      <c r="C31" s="20" t="s">
        <v>114</v>
      </c>
      <c r="D31" s="19" t="n">
        <v>25</v>
      </c>
      <c r="E31" s="33" t="n">
        <v>0.00709191500051276</v>
      </c>
      <c r="F31" s="33" t="n">
        <v>0.00737427883755677</v>
      </c>
      <c r="G31" s="33" t="n">
        <v>0.00381424302842358</v>
      </c>
      <c r="H31" s="33" t="n">
        <v>0.0169447956029894</v>
      </c>
      <c r="I31" s="33" t="n">
        <v>0.00593475232443207</v>
      </c>
      <c r="J31" s="33" t="n">
        <v>0.0113018698360983</v>
      </c>
      <c r="K31" s="33" t="n">
        <v>0.0135359805860202</v>
      </c>
      <c r="L31" s="33" t="n">
        <v>0.0243830309594964</v>
      </c>
      <c r="M31" s="33" t="n">
        <v>0.010980371018281</v>
      </c>
      <c r="N31" s="33" t="n">
        <v>0.0393288837917468</v>
      </c>
      <c r="O31" s="33" t="n">
        <v>0.0497674166927899</v>
      </c>
      <c r="P31" s="33" t="n">
        <v>0.00783580915049687</v>
      </c>
      <c r="Q31" s="33" t="n">
        <v>0.0160712747219647</v>
      </c>
      <c r="R31" s="33" t="n">
        <v>0.0118668869577757</v>
      </c>
      <c r="S31" s="33" t="n">
        <v>0.0334665571956102</v>
      </c>
      <c r="T31" s="33" t="n">
        <v>0.0133359630389299</v>
      </c>
      <c r="U31" s="33" t="n">
        <v>0.0227472550175594</v>
      </c>
      <c r="V31" s="33" t="n">
        <v>0.0562700770429453</v>
      </c>
      <c r="W31" s="33" t="n">
        <v>0.00466885067973477</v>
      </c>
      <c r="X31" s="33" t="n">
        <v>0.0107027144542627</v>
      </c>
      <c r="Y31" s="33" t="n">
        <v>0.0183224217477395</v>
      </c>
      <c r="Z31" s="33" t="n">
        <v>0.0236708288971062</v>
      </c>
      <c r="AA31" s="33" t="n">
        <v>0.0520305456596743</v>
      </c>
      <c r="AB31" s="33" t="n">
        <v>0.0165985884128903</v>
      </c>
      <c r="AC31" s="33" t="n">
        <v>1.14761274549569</v>
      </c>
      <c r="AD31" s="33" t="n">
        <v>0.0332805135182824</v>
      </c>
      <c r="AE31" s="33" t="n">
        <v>0.0159058102500516</v>
      </c>
      <c r="AF31" s="33" t="n">
        <v>0.0101498917616166</v>
      </c>
      <c r="AG31" s="33" t="n">
        <v>0.0164387654278963</v>
      </c>
      <c r="AH31" s="33" t="n">
        <v>0.0275332427495202</v>
      </c>
      <c r="AI31" s="33" t="n">
        <v>0.0407970326134685</v>
      </c>
      <c r="AJ31" s="33" t="n">
        <v>0.030454465076693</v>
      </c>
      <c r="AK31" s="33" t="n">
        <v>0.0645687041995581</v>
      </c>
      <c r="AL31" s="33" t="n">
        <v>0.0532458481483945</v>
      </c>
      <c r="AM31" s="33" t="n">
        <v>0.0312794217405303</v>
      </c>
      <c r="AN31" s="33" t="n">
        <v>0.03947715243567</v>
      </c>
      <c r="AO31" s="33" t="n">
        <v>0.0270372163591558</v>
      </c>
      <c r="AP31" s="33" t="n">
        <v>0.00432087023944323</v>
      </c>
      <c r="AQ31" s="33" t="n">
        <v>0.0116865458451362</v>
      </c>
      <c r="AR31" s="33" t="n">
        <v>0.0279813540646118</v>
      </c>
      <c r="AS31" s="33" t="n">
        <v>0.0172013863143356</v>
      </c>
      <c r="AT31" s="33" t="n">
        <v>0.010750946261253</v>
      </c>
      <c r="AU31" s="33" t="n">
        <v>0.0246552814482176</v>
      </c>
      <c r="AV31" s="33" t="n">
        <v>0.00556634974886072</v>
      </c>
      <c r="AW31" s="33" t="n">
        <v>0.029580553057604</v>
      </c>
      <c r="AX31" s="33" t="n">
        <v>0.00568843813247533</v>
      </c>
      <c r="AY31" s="33" t="n">
        <v>0.00570282290912575</v>
      </c>
      <c r="AZ31" s="33" t="n">
        <v>0.0122675828583811</v>
      </c>
      <c r="BA31" s="33" t="n">
        <v>0.0145908434743331</v>
      </c>
      <c r="BB31" s="33" t="n">
        <v>0.00757868487803431</v>
      </c>
      <c r="BC31" s="33" t="n">
        <v>0.00885395814151353</v>
      </c>
      <c r="BD31" s="33" t="n">
        <v>0.00370153279250116</v>
      </c>
      <c r="BE31" s="33" t="n">
        <v>0.00240598429763401</v>
      </c>
      <c r="BF31" s="33" t="n">
        <v>0.000832193564396709</v>
      </c>
      <c r="BG31" s="33" t="n">
        <v>0.00588004733232078</v>
      </c>
      <c r="BH31" s="33" t="n">
        <v>0.0039277130553211</v>
      </c>
      <c r="BI31" s="33" t="n">
        <v>0.00724772496592675</v>
      </c>
      <c r="BJ31" s="33" t="n">
        <v>0.0118519158726785</v>
      </c>
      <c r="BK31" s="33" t="n">
        <v>0.00653668410582218</v>
      </c>
      <c r="BL31" s="33" t="n">
        <v>0.00176657386959072</v>
      </c>
      <c r="BM31" s="33" t="n">
        <v>0.00270996275223183</v>
      </c>
      <c r="BN31" s="33" t="n">
        <v>0.00311005584487852</v>
      </c>
      <c r="BO31" s="33" t="n">
        <v>0.00347595228802495</v>
      </c>
      <c r="BP31" s="33" t="n">
        <v>0.00770836471273481</v>
      </c>
      <c r="BQ31" s="33" t="n">
        <v>0.00733957865457433</v>
      </c>
      <c r="BR31" s="33" t="n">
        <v>0.0043322328907227</v>
      </c>
      <c r="BS31" s="33" t="n">
        <v>0.00684854555364426</v>
      </c>
      <c r="BT31" s="33" t="n">
        <v>0</v>
      </c>
    </row>
    <row r="32" customFormat="false" ht="11.25" hidden="false" customHeight="true" outlineLevel="0" collapsed="false">
      <c r="B32" s="24" t="s">
        <v>115</v>
      </c>
      <c r="C32" s="25" t="s">
        <v>116</v>
      </c>
      <c r="D32" s="24" t="n">
        <v>26</v>
      </c>
      <c r="E32" s="34" t="n">
        <v>0.0135771804700726</v>
      </c>
      <c r="F32" s="34" t="n">
        <v>0.0203751962741246</v>
      </c>
      <c r="G32" s="34" t="n">
        <v>0.0033340422783898</v>
      </c>
      <c r="H32" s="34" t="n">
        <v>0.00674011878955269</v>
      </c>
      <c r="I32" s="34" t="n">
        <v>0.00408551208611368</v>
      </c>
      <c r="J32" s="34" t="n">
        <v>0.00294130634977249</v>
      </c>
      <c r="K32" s="34" t="n">
        <v>0.00519234663386649</v>
      </c>
      <c r="L32" s="34" t="n">
        <v>0.0108525454694152</v>
      </c>
      <c r="M32" s="34" t="n">
        <v>0.0102503285333381</v>
      </c>
      <c r="N32" s="34" t="n">
        <v>0.0122119192669055</v>
      </c>
      <c r="O32" s="34" t="n">
        <v>0.0253821074691128</v>
      </c>
      <c r="P32" s="34" t="n">
        <v>0.00540905967391994</v>
      </c>
      <c r="Q32" s="34" t="n">
        <v>0.00469056746225666</v>
      </c>
      <c r="R32" s="34" t="n">
        <v>0.00274406650773279</v>
      </c>
      <c r="S32" s="34" t="n">
        <v>0.00371398462931162</v>
      </c>
      <c r="T32" s="34" t="n">
        <v>0.00301387123915926</v>
      </c>
      <c r="U32" s="34" t="n">
        <v>0.00713705842467936</v>
      </c>
      <c r="V32" s="34" t="n">
        <v>0.00447041004496872</v>
      </c>
      <c r="W32" s="34" t="n">
        <v>0.00287343483254863</v>
      </c>
      <c r="X32" s="34" t="n">
        <v>0.00808545084859587</v>
      </c>
      <c r="Y32" s="34" t="n">
        <v>0.007833811764452</v>
      </c>
      <c r="Z32" s="34" t="n">
        <v>0.00801569314004127</v>
      </c>
      <c r="AA32" s="34" t="n">
        <v>0.011905565279618</v>
      </c>
      <c r="AB32" s="34" t="n">
        <v>0.00364359737698743</v>
      </c>
      <c r="AC32" s="34" t="n">
        <v>0.00937155467040456</v>
      </c>
      <c r="AD32" s="34" t="n">
        <v>1.11249568646556</v>
      </c>
      <c r="AE32" s="34" t="n">
        <v>0.00764543841753118</v>
      </c>
      <c r="AF32" s="34" t="n">
        <v>0.00726157486526227</v>
      </c>
      <c r="AG32" s="34" t="n">
        <v>0.00511513292326122</v>
      </c>
      <c r="AH32" s="34" t="n">
        <v>0.00215456741643258</v>
      </c>
      <c r="AI32" s="34" t="n">
        <v>0.00799486220135819</v>
      </c>
      <c r="AJ32" s="34" t="n">
        <v>0.0062581927945406</v>
      </c>
      <c r="AK32" s="34" t="n">
        <v>0.0143081375173239</v>
      </c>
      <c r="AL32" s="34" t="n">
        <v>0.00458003550911083</v>
      </c>
      <c r="AM32" s="34" t="n">
        <v>0.00710061859251946</v>
      </c>
      <c r="AN32" s="34" t="n">
        <v>0.00915887513926168</v>
      </c>
      <c r="AO32" s="34" t="n">
        <v>0.00586877222817094</v>
      </c>
      <c r="AP32" s="34" t="n">
        <v>0.00925228837121441</v>
      </c>
      <c r="AQ32" s="34" t="n">
        <v>0.0245232246512812</v>
      </c>
      <c r="AR32" s="34" t="n">
        <v>0.104691475398072</v>
      </c>
      <c r="AS32" s="34" t="n">
        <v>0.00352290339795645</v>
      </c>
      <c r="AT32" s="34" t="n">
        <v>0.00205123970392503</v>
      </c>
      <c r="AU32" s="34" t="n">
        <v>0.00197299756960045</v>
      </c>
      <c r="AV32" s="34" t="n">
        <v>0.00183568080239432</v>
      </c>
      <c r="AW32" s="34" t="n">
        <v>0.00165438028403352</v>
      </c>
      <c r="AX32" s="34" t="n">
        <v>0.00273434666616652</v>
      </c>
      <c r="AY32" s="34" t="n">
        <v>0.0116638476499824</v>
      </c>
      <c r="AZ32" s="34" t="n">
        <v>0.00782791855870737</v>
      </c>
      <c r="BA32" s="34" t="n">
        <v>0.00343472991517563</v>
      </c>
      <c r="BB32" s="34" t="n">
        <v>0.00299981066465497</v>
      </c>
      <c r="BC32" s="34" t="n">
        <v>0.00540345131809425</v>
      </c>
      <c r="BD32" s="34" t="n">
        <v>0.00186274897159676</v>
      </c>
      <c r="BE32" s="34" t="n">
        <v>0.00124449342674912</v>
      </c>
      <c r="BF32" s="34" t="n">
        <v>0.00497597073278785</v>
      </c>
      <c r="BG32" s="34" t="n">
        <v>0.00137047962429951</v>
      </c>
      <c r="BH32" s="34" t="n">
        <v>0.00213929107408042</v>
      </c>
      <c r="BI32" s="34" t="n">
        <v>0.00206565731319685</v>
      </c>
      <c r="BJ32" s="34" t="n">
        <v>0.00198912985398053</v>
      </c>
      <c r="BK32" s="34" t="n">
        <v>0.00338889478767248</v>
      </c>
      <c r="BL32" s="34" t="n">
        <v>0.000625199222573345</v>
      </c>
      <c r="BM32" s="34" t="n">
        <v>0.00371355970397108</v>
      </c>
      <c r="BN32" s="34" t="n">
        <v>0.00209479711045292</v>
      </c>
      <c r="BO32" s="34" t="n">
        <v>0.00203647443241296</v>
      </c>
      <c r="BP32" s="34" t="n">
        <v>0.0044427871111373</v>
      </c>
      <c r="BQ32" s="34" t="n">
        <v>0.00235662606780362</v>
      </c>
      <c r="BR32" s="34" t="n">
        <v>0.00246473675058697</v>
      </c>
      <c r="BS32" s="34" t="n">
        <v>0.00409023367668184</v>
      </c>
      <c r="BT32" s="34" t="n">
        <v>0</v>
      </c>
    </row>
    <row r="33" customFormat="false" ht="11.25" hidden="false" customHeight="true" outlineLevel="0" collapsed="false">
      <c r="B33" s="19" t="s">
        <v>117</v>
      </c>
      <c r="C33" s="20" t="s">
        <v>118</v>
      </c>
      <c r="D33" s="19" t="n">
        <v>27</v>
      </c>
      <c r="E33" s="33" t="n">
        <v>0.00396574794765994</v>
      </c>
      <c r="F33" s="33" t="n">
        <v>0.00697902444160667</v>
      </c>
      <c r="G33" s="33" t="n">
        <v>0.00242777741184037</v>
      </c>
      <c r="H33" s="33" t="n">
        <v>0.0151991598685408</v>
      </c>
      <c r="I33" s="33" t="n">
        <v>0.0251176082138583</v>
      </c>
      <c r="J33" s="33" t="n">
        <v>0.010849180001076</v>
      </c>
      <c r="K33" s="33" t="n">
        <v>0.0266950654036322</v>
      </c>
      <c r="L33" s="33" t="n">
        <v>0.0118200632051299</v>
      </c>
      <c r="M33" s="33" t="n">
        <v>0.0054804782436534</v>
      </c>
      <c r="N33" s="33" t="n">
        <v>0.00919009955344547</v>
      </c>
      <c r="O33" s="33" t="n">
        <v>0.0180715572891069</v>
      </c>
      <c r="P33" s="33" t="n">
        <v>0.00455749420884702</v>
      </c>
      <c r="Q33" s="33" t="n">
        <v>0.0060949690347973</v>
      </c>
      <c r="R33" s="33" t="n">
        <v>0.00463384684314788</v>
      </c>
      <c r="S33" s="33" t="n">
        <v>0.00675259699400652</v>
      </c>
      <c r="T33" s="33" t="n">
        <v>0.00820924145266515</v>
      </c>
      <c r="U33" s="33" t="n">
        <v>0.0116460252430748</v>
      </c>
      <c r="V33" s="33" t="n">
        <v>0.00833036627963424</v>
      </c>
      <c r="W33" s="33" t="n">
        <v>0.0116838843760892</v>
      </c>
      <c r="X33" s="33" t="n">
        <v>0.0060863754669028</v>
      </c>
      <c r="Y33" s="33" t="n">
        <v>0.00753884012804682</v>
      </c>
      <c r="Z33" s="33" t="n">
        <v>0.0119512435576677</v>
      </c>
      <c r="AA33" s="33" t="n">
        <v>0.0119718018991681</v>
      </c>
      <c r="AB33" s="33" t="n">
        <v>0.00626727635767423</v>
      </c>
      <c r="AC33" s="33" t="n">
        <v>0.0189308430432769</v>
      </c>
      <c r="AD33" s="33" t="n">
        <v>0.0184633177409943</v>
      </c>
      <c r="AE33" s="33" t="n">
        <v>1.16594627635438</v>
      </c>
      <c r="AF33" s="33" t="n">
        <v>0.0511869641509986</v>
      </c>
      <c r="AG33" s="33" t="n">
        <v>0.265808591199305</v>
      </c>
      <c r="AH33" s="33" t="n">
        <v>0.0105167668256815</v>
      </c>
      <c r="AI33" s="33" t="n">
        <v>0.0817943824520234</v>
      </c>
      <c r="AJ33" s="33" t="n">
        <v>0.126048940567264</v>
      </c>
      <c r="AK33" s="33" t="n">
        <v>0.0933364389434423</v>
      </c>
      <c r="AL33" s="33" t="n">
        <v>0.143298064313955</v>
      </c>
      <c r="AM33" s="33" t="n">
        <v>0.0603135525806184</v>
      </c>
      <c r="AN33" s="33" t="n">
        <v>0.0361871828943248</v>
      </c>
      <c r="AO33" s="33" t="n">
        <v>0.0534437210493217</v>
      </c>
      <c r="AP33" s="33" t="n">
        <v>0.00933047828758463</v>
      </c>
      <c r="AQ33" s="33" t="n">
        <v>0.0137948996031187</v>
      </c>
      <c r="AR33" s="33" t="n">
        <v>0.0563648123229269</v>
      </c>
      <c r="AS33" s="33" t="n">
        <v>0.0168270679853014</v>
      </c>
      <c r="AT33" s="33" t="n">
        <v>0.00554043627614594</v>
      </c>
      <c r="AU33" s="33" t="n">
        <v>0.0113862655775038</v>
      </c>
      <c r="AV33" s="33" t="n">
        <v>0.00801732288195238</v>
      </c>
      <c r="AW33" s="33" t="n">
        <v>0.00451490893745807</v>
      </c>
      <c r="AX33" s="33" t="n">
        <v>0.00493466466858616</v>
      </c>
      <c r="AY33" s="33" t="n">
        <v>0.00549725724659621</v>
      </c>
      <c r="AZ33" s="33" t="n">
        <v>0.00675762742735512</v>
      </c>
      <c r="BA33" s="33" t="n">
        <v>0.00708825601475596</v>
      </c>
      <c r="BB33" s="33" t="n">
        <v>0.00480971289098935</v>
      </c>
      <c r="BC33" s="33" t="n">
        <v>0.00683762788898335</v>
      </c>
      <c r="BD33" s="33" t="n">
        <v>0.00268056995596864</v>
      </c>
      <c r="BE33" s="33" t="n">
        <v>0.00155245399881772</v>
      </c>
      <c r="BF33" s="33" t="n">
        <v>0.000842106187474251</v>
      </c>
      <c r="BG33" s="33" t="n">
        <v>0.00241707158702788</v>
      </c>
      <c r="BH33" s="33" t="n">
        <v>0.0038284429260852</v>
      </c>
      <c r="BI33" s="33" t="n">
        <v>0.00350527702257109</v>
      </c>
      <c r="BJ33" s="33" t="n">
        <v>0.0111653923879353</v>
      </c>
      <c r="BK33" s="33" t="n">
        <v>0.00404720426578054</v>
      </c>
      <c r="BL33" s="33" t="n">
        <v>0.00209959463096997</v>
      </c>
      <c r="BM33" s="33" t="n">
        <v>0.00334524986519944</v>
      </c>
      <c r="BN33" s="33" t="n">
        <v>0.00198832671268925</v>
      </c>
      <c r="BO33" s="33" t="n">
        <v>0.00260875824811403</v>
      </c>
      <c r="BP33" s="33" t="n">
        <v>0.00400424284336574</v>
      </c>
      <c r="BQ33" s="33" t="n">
        <v>0.00335385361062628</v>
      </c>
      <c r="BR33" s="33" t="n">
        <v>0.00398612821659264</v>
      </c>
      <c r="BS33" s="33" t="n">
        <v>0.0038422663513423</v>
      </c>
      <c r="BT33" s="33" t="n">
        <v>0</v>
      </c>
    </row>
    <row r="34" customFormat="false" ht="11.25" hidden="false" customHeight="true" outlineLevel="0" collapsed="false">
      <c r="B34" s="24" t="s">
        <v>119</v>
      </c>
      <c r="C34" s="25" t="s">
        <v>120</v>
      </c>
      <c r="D34" s="24" t="n">
        <v>28</v>
      </c>
      <c r="E34" s="34" t="n">
        <v>0.00261825700215611</v>
      </c>
      <c r="F34" s="34" t="n">
        <v>0.00210633487371899</v>
      </c>
      <c r="G34" s="34" t="n">
        <v>0.000993091944933694</v>
      </c>
      <c r="H34" s="34" t="n">
        <v>0.00491281733127477</v>
      </c>
      <c r="I34" s="34" t="n">
        <v>0.00347521072971849</v>
      </c>
      <c r="J34" s="34" t="n">
        <v>0.00350508132446561</v>
      </c>
      <c r="K34" s="34" t="n">
        <v>0.0138879445332345</v>
      </c>
      <c r="L34" s="34" t="n">
        <v>0.00511906047141655</v>
      </c>
      <c r="M34" s="34" t="n">
        <v>0.00294828925105831</v>
      </c>
      <c r="N34" s="34" t="n">
        <v>0.00558429089374428</v>
      </c>
      <c r="O34" s="34" t="n">
        <v>0.00396370748688002</v>
      </c>
      <c r="P34" s="34" t="n">
        <v>0.00238674192778035</v>
      </c>
      <c r="Q34" s="34" t="n">
        <v>0.00367102231802544</v>
      </c>
      <c r="R34" s="34" t="n">
        <v>0.00269201156874698</v>
      </c>
      <c r="S34" s="34" t="n">
        <v>0.00351609547203717</v>
      </c>
      <c r="T34" s="34" t="n">
        <v>0.00300516998550586</v>
      </c>
      <c r="U34" s="34" t="n">
        <v>0.00944835367189931</v>
      </c>
      <c r="V34" s="34" t="n">
        <v>0.0187189648804513</v>
      </c>
      <c r="W34" s="34" t="n">
        <v>0.00204218049293682</v>
      </c>
      <c r="X34" s="34" t="n">
        <v>0.00326560154384377</v>
      </c>
      <c r="Y34" s="34" t="n">
        <v>0.00953710081112463</v>
      </c>
      <c r="Z34" s="34" t="n">
        <v>0.01049675842122</v>
      </c>
      <c r="AA34" s="34" t="n">
        <v>0.00526335093504178</v>
      </c>
      <c r="AB34" s="34" t="n">
        <v>0.00321659636740851</v>
      </c>
      <c r="AC34" s="34" t="n">
        <v>0.00552876308945702</v>
      </c>
      <c r="AD34" s="34" t="n">
        <v>0.00594141199804366</v>
      </c>
      <c r="AE34" s="34" t="n">
        <v>0.0210578754768456</v>
      </c>
      <c r="AF34" s="34" t="n">
        <v>1.15177248062037</v>
      </c>
      <c r="AG34" s="34" t="n">
        <v>0.0265120008116749</v>
      </c>
      <c r="AH34" s="34" t="n">
        <v>0.00780671512018635</v>
      </c>
      <c r="AI34" s="34" t="n">
        <v>0.12193271242932</v>
      </c>
      <c r="AJ34" s="34" t="n">
        <v>0.0297579873932047</v>
      </c>
      <c r="AK34" s="34" t="n">
        <v>0.0244371935004648</v>
      </c>
      <c r="AL34" s="34" t="n">
        <v>0.0760620805246117</v>
      </c>
      <c r="AM34" s="34" t="n">
        <v>0.0318241531613179</v>
      </c>
      <c r="AN34" s="34" t="n">
        <v>0.0338618508807175</v>
      </c>
      <c r="AO34" s="34" t="n">
        <v>0.0400400648656148</v>
      </c>
      <c r="AP34" s="34" t="n">
        <v>0.00454279420592557</v>
      </c>
      <c r="AQ34" s="34" t="n">
        <v>0.00696677701603063</v>
      </c>
      <c r="AR34" s="34" t="n">
        <v>0.0131529698297177</v>
      </c>
      <c r="AS34" s="34" t="n">
        <v>0.0123112244481029</v>
      </c>
      <c r="AT34" s="34" t="n">
        <v>0.00233814362652813</v>
      </c>
      <c r="AU34" s="34" t="n">
        <v>0.00536443712832804</v>
      </c>
      <c r="AV34" s="34" t="n">
        <v>0.00423891117432594</v>
      </c>
      <c r="AW34" s="34" t="n">
        <v>0.00181702531089441</v>
      </c>
      <c r="AX34" s="34" t="n">
        <v>0.00268555647282562</v>
      </c>
      <c r="AY34" s="34" t="n">
        <v>0.00227124469527078</v>
      </c>
      <c r="AZ34" s="34" t="n">
        <v>0.00204007468338481</v>
      </c>
      <c r="BA34" s="34" t="n">
        <v>0.0051840497212497</v>
      </c>
      <c r="BB34" s="34" t="n">
        <v>0.00266489115796555</v>
      </c>
      <c r="BC34" s="34" t="n">
        <v>0.00332938511466717</v>
      </c>
      <c r="BD34" s="34" t="n">
        <v>0.0014648884773755</v>
      </c>
      <c r="BE34" s="34" t="n">
        <v>0.000951123543439615</v>
      </c>
      <c r="BF34" s="34" t="n">
        <v>0.000510178671235568</v>
      </c>
      <c r="BG34" s="34" t="n">
        <v>0.00174424769901586</v>
      </c>
      <c r="BH34" s="34" t="n">
        <v>0.00182049740933694</v>
      </c>
      <c r="BI34" s="34" t="n">
        <v>0.00261015743459431</v>
      </c>
      <c r="BJ34" s="34" t="n">
        <v>0.00329145153272027</v>
      </c>
      <c r="BK34" s="34" t="n">
        <v>0.00212631612406269</v>
      </c>
      <c r="BL34" s="34" t="n">
        <v>0.000945168504274796</v>
      </c>
      <c r="BM34" s="34" t="n">
        <v>0.0012266263461524</v>
      </c>
      <c r="BN34" s="34" t="n">
        <v>0.000971510743409894</v>
      </c>
      <c r="BO34" s="34" t="n">
        <v>0.00156742502745474</v>
      </c>
      <c r="BP34" s="34" t="n">
        <v>0.00204733812509332</v>
      </c>
      <c r="BQ34" s="34" t="n">
        <v>0.00291770679036145</v>
      </c>
      <c r="BR34" s="34" t="n">
        <v>0.00305862728708659</v>
      </c>
      <c r="BS34" s="34" t="n">
        <v>0.0024402906848006</v>
      </c>
      <c r="BT34" s="34" t="n">
        <v>0</v>
      </c>
    </row>
    <row r="35" customFormat="false" ht="11.25" hidden="false" customHeight="true" outlineLevel="0" collapsed="false">
      <c r="B35" s="19" t="s">
        <v>121</v>
      </c>
      <c r="C35" s="20" t="s">
        <v>122</v>
      </c>
      <c r="D35" s="19" t="n">
        <v>29</v>
      </c>
      <c r="E35" s="33" t="n">
        <v>0.00481624361463853</v>
      </c>
      <c r="F35" s="33" t="n">
        <v>0.00803886620796018</v>
      </c>
      <c r="G35" s="33" t="n">
        <v>0.00304414677442441</v>
      </c>
      <c r="H35" s="33" t="n">
        <v>0.0108171733255377</v>
      </c>
      <c r="I35" s="33" t="n">
        <v>0.0137192244222727</v>
      </c>
      <c r="J35" s="33" t="n">
        <v>0.0140154320321522</v>
      </c>
      <c r="K35" s="33" t="n">
        <v>0.0266117879672999</v>
      </c>
      <c r="L35" s="33" t="n">
        <v>0.0175392084876193</v>
      </c>
      <c r="M35" s="33" t="n">
        <v>0.00664151513392838</v>
      </c>
      <c r="N35" s="33" t="n">
        <v>0.0147442306471553</v>
      </c>
      <c r="O35" s="33" t="n">
        <v>0.0543578389222936</v>
      </c>
      <c r="P35" s="33" t="n">
        <v>0.00558964761907263</v>
      </c>
      <c r="Q35" s="33" t="n">
        <v>0.00766053675780262</v>
      </c>
      <c r="R35" s="33" t="n">
        <v>0.00575283232631349</v>
      </c>
      <c r="S35" s="33" t="n">
        <v>0.00791755545907885</v>
      </c>
      <c r="T35" s="33" t="n">
        <v>0.0178342461493978</v>
      </c>
      <c r="U35" s="33" t="n">
        <v>0.0101540426391346</v>
      </c>
      <c r="V35" s="33" t="n">
        <v>0.00931367763046664</v>
      </c>
      <c r="W35" s="33" t="n">
        <v>0.00772427417806432</v>
      </c>
      <c r="X35" s="33" t="n">
        <v>0.00767900882023741</v>
      </c>
      <c r="Y35" s="33" t="n">
        <v>0.0091738865609074</v>
      </c>
      <c r="Z35" s="33" t="n">
        <v>0.0227178551808581</v>
      </c>
      <c r="AA35" s="33" t="n">
        <v>0.0286122506497004</v>
      </c>
      <c r="AB35" s="33" t="n">
        <v>0.00738868363972407</v>
      </c>
      <c r="AC35" s="33" t="n">
        <v>0.00921249144216054</v>
      </c>
      <c r="AD35" s="33" t="n">
        <v>0.00977981412217711</v>
      </c>
      <c r="AE35" s="33" t="n">
        <v>0.033759858225403</v>
      </c>
      <c r="AF35" s="33" t="n">
        <v>0.0187566267260211</v>
      </c>
      <c r="AG35" s="33" t="n">
        <v>1.08175309745847</v>
      </c>
      <c r="AH35" s="33" t="n">
        <v>0.0176968066374802</v>
      </c>
      <c r="AI35" s="33" t="n">
        <v>0.0414791517656981</v>
      </c>
      <c r="AJ35" s="33" t="n">
        <v>0.0600301154845552</v>
      </c>
      <c r="AK35" s="33" t="n">
        <v>0.0376232557657249</v>
      </c>
      <c r="AL35" s="33" t="n">
        <v>0.0409138798789337</v>
      </c>
      <c r="AM35" s="33" t="n">
        <v>0.0664502147727569</v>
      </c>
      <c r="AN35" s="33" t="n">
        <v>0.0239942677619789</v>
      </c>
      <c r="AO35" s="33" t="n">
        <v>0.0596806896357135</v>
      </c>
      <c r="AP35" s="33" t="n">
        <v>0.0142750753231392</v>
      </c>
      <c r="AQ35" s="33" t="n">
        <v>0.0200991474940629</v>
      </c>
      <c r="AR35" s="33" t="n">
        <v>0.0474768022023991</v>
      </c>
      <c r="AS35" s="33" t="n">
        <v>0.00862221334255863</v>
      </c>
      <c r="AT35" s="33" t="n">
        <v>0.00458942417213124</v>
      </c>
      <c r="AU35" s="33" t="n">
        <v>0.00594918510744424</v>
      </c>
      <c r="AV35" s="33" t="n">
        <v>0.00724248544964825</v>
      </c>
      <c r="AW35" s="33" t="n">
        <v>0.00384041370056326</v>
      </c>
      <c r="AX35" s="33" t="n">
        <v>0.00450278395357711</v>
      </c>
      <c r="AY35" s="33" t="n">
        <v>0.0106533166746246</v>
      </c>
      <c r="AZ35" s="33" t="n">
        <v>0.0177327110927425</v>
      </c>
      <c r="BA35" s="33" t="n">
        <v>0.0069883536868294</v>
      </c>
      <c r="BB35" s="33" t="n">
        <v>0.00487429142050085</v>
      </c>
      <c r="BC35" s="33" t="n">
        <v>0.00623223480163329</v>
      </c>
      <c r="BD35" s="33" t="n">
        <v>0.00258859289598323</v>
      </c>
      <c r="BE35" s="33" t="n">
        <v>0.00157853668192644</v>
      </c>
      <c r="BF35" s="33" t="n">
        <v>0.0013884766855306</v>
      </c>
      <c r="BG35" s="33" t="n">
        <v>0.00231212009032806</v>
      </c>
      <c r="BH35" s="33" t="n">
        <v>0.00313556743156835</v>
      </c>
      <c r="BI35" s="33" t="n">
        <v>0.00358182243564532</v>
      </c>
      <c r="BJ35" s="33" t="n">
        <v>0.00423968285648751</v>
      </c>
      <c r="BK35" s="33" t="n">
        <v>0.00474109422340311</v>
      </c>
      <c r="BL35" s="33" t="n">
        <v>0.00375606527846695</v>
      </c>
      <c r="BM35" s="33" t="n">
        <v>0.00419371086277008</v>
      </c>
      <c r="BN35" s="33" t="n">
        <v>0.00210054734947082</v>
      </c>
      <c r="BO35" s="33" t="n">
        <v>0.00251297324705174</v>
      </c>
      <c r="BP35" s="33" t="n">
        <v>0.00437536232930613</v>
      </c>
      <c r="BQ35" s="33" t="n">
        <v>0.00361130625828921</v>
      </c>
      <c r="BR35" s="33" t="n">
        <v>0.00394917254133698</v>
      </c>
      <c r="BS35" s="33" t="n">
        <v>0.00514529651721225</v>
      </c>
      <c r="BT35" s="33" t="n">
        <v>0</v>
      </c>
    </row>
    <row r="36" customFormat="false" ht="11.25" hidden="false" customHeight="true" outlineLevel="0" collapsed="false">
      <c r="B36" s="24" t="s">
        <v>123</v>
      </c>
      <c r="C36" s="25" t="s">
        <v>124</v>
      </c>
      <c r="D36" s="24" t="n">
        <v>30</v>
      </c>
      <c r="E36" s="34" t="n">
        <v>0.000750614464745381</v>
      </c>
      <c r="F36" s="34" t="n">
        <v>0.000801498593699671</v>
      </c>
      <c r="G36" s="34" t="n">
        <v>0.000453700670949914</v>
      </c>
      <c r="H36" s="34" t="n">
        <v>0.0024057865278977</v>
      </c>
      <c r="I36" s="34" t="n">
        <v>0.00301760665193169</v>
      </c>
      <c r="J36" s="34" t="n">
        <v>0.00168639217640166</v>
      </c>
      <c r="K36" s="34" t="n">
        <v>0.00320337115632371</v>
      </c>
      <c r="L36" s="34" t="n">
        <v>0.0031546010537015</v>
      </c>
      <c r="M36" s="34" t="n">
        <v>0.00185075921641851</v>
      </c>
      <c r="N36" s="34" t="n">
        <v>0.00269059673833261</v>
      </c>
      <c r="O36" s="34" t="n">
        <v>0.002272957754081</v>
      </c>
      <c r="P36" s="34" t="n">
        <v>0.0023464007116562</v>
      </c>
      <c r="Q36" s="34" t="n">
        <v>0.00236015744652861</v>
      </c>
      <c r="R36" s="34" t="n">
        <v>0.00215586794448228</v>
      </c>
      <c r="S36" s="34" t="n">
        <v>0.00303577110928421</v>
      </c>
      <c r="T36" s="34" t="n">
        <v>0.00177139795728449</v>
      </c>
      <c r="U36" s="34" t="n">
        <v>0.00382522648383235</v>
      </c>
      <c r="V36" s="34" t="n">
        <v>0.0125622985250299</v>
      </c>
      <c r="W36" s="34" t="n">
        <v>0.00172768829976234</v>
      </c>
      <c r="X36" s="34" t="n">
        <v>0.00218950240620086</v>
      </c>
      <c r="Y36" s="34" t="n">
        <v>0.00209997847094811</v>
      </c>
      <c r="Z36" s="34" t="n">
        <v>0.00334239011658477</v>
      </c>
      <c r="AA36" s="34" t="n">
        <v>0.00225014996208459</v>
      </c>
      <c r="AB36" s="34" t="n">
        <v>0.00347156735021149</v>
      </c>
      <c r="AC36" s="34" t="n">
        <v>0.00278671612865376</v>
      </c>
      <c r="AD36" s="34" t="n">
        <v>0.0028798724379745</v>
      </c>
      <c r="AE36" s="34" t="n">
        <v>0.00387576125849771</v>
      </c>
      <c r="AF36" s="34" t="n">
        <v>0.00330993134822856</v>
      </c>
      <c r="AG36" s="34" t="n">
        <v>0.00275931003209981</v>
      </c>
      <c r="AH36" s="34" t="n">
        <v>1.18883061628233</v>
      </c>
      <c r="AI36" s="34" t="n">
        <v>0.00853805623172592</v>
      </c>
      <c r="AJ36" s="34" t="n">
        <v>0.00789178305266878</v>
      </c>
      <c r="AK36" s="34" t="n">
        <v>0.00440994824935704</v>
      </c>
      <c r="AL36" s="34" t="n">
        <v>0.00352826896136458</v>
      </c>
      <c r="AM36" s="34" t="n">
        <v>0.00380429813612165</v>
      </c>
      <c r="AN36" s="34" t="n">
        <v>0.00288476920886312</v>
      </c>
      <c r="AO36" s="34" t="n">
        <v>0.010086686926445</v>
      </c>
      <c r="AP36" s="34" t="n">
        <v>0.00262867598927407</v>
      </c>
      <c r="AQ36" s="34" t="n">
        <v>0.00199254317223413</v>
      </c>
      <c r="AR36" s="34" t="n">
        <v>0.00265364243931819</v>
      </c>
      <c r="AS36" s="34" t="n">
        <v>0.00157955273295277</v>
      </c>
      <c r="AT36" s="34" t="n">
        <v>0.00217720736723524</v>
      </c>
      <c r="AU36" s="34" t="n">
        <v>0.00150452899785434</v>
      </c>
      <c r="AV36" s="34" t="n">
        <v>0.00296664499732331</v>
      </c>
      <c r="AW36" s="34" t="n">
        <v>0.00244867289691623</v>
      </c>
      <c r="AX36" s="34" t="n">
        <v>0.00395311930631054</v>
      </c>
      <c r="AY36" s="34" t="n">
        <v>0.00147114200240929</v>
      </c>
      <c r="AZ36" s="34" t="n">
        <v>0.00102829322266987</v>
      </c>
      <c r="BA36" s="34" t="n">
        <v>0.00527719850017138</v>
      </c>
      <c r="BB36" s="34" t="n">
        <v>0.0147369157794641</v>
      </c>
      <c r="BC36" s="34" t="n">
        <v>0.00651792197097537</v>
      </c>
      <c r="BD36" s="34" t="n">
        <v>0.0221666566450451</v>
      </c>
      <c r="BE36" s="34" t="n">
        <v>0.00298328699091963</v>
      </c>
      <c r="BF36" s="34" t="n">
        <v>0.000276574502016154</v>
      </c>
      <c r="BG36" s="34" t="n">
        <v>0.00425951910538593</v>
      </c>
      <c r="BH36" s="34" t="n">
        <v>0.0180534678456118</v>
      </c>
      <c r="BI36" s="34" t="n">
        <v>0.00870698291175193</v>
      </c>
      <c r="BJ36" s="34" t="n">
        <v>0.00306706966528464</v>
      </c>
      <c r="BK36" s="34" t="n">
        <v>0.00845275710615286</v>
      </c>
      <c r="BL36" s="34" t="n">
        <v>0.00472405346231693</v>
      </c>
      <c r="BM36" s="34" t="n">
        <v>0.00206480837672355</v>
      </c>
      <c r="BN36" s="34" t="n">
        <v>0.00509815972372725</v>
      </c>
      <c r="BO36" s="34" t="n">
        <v>0.00325846910589457</v>
      </c>
      <c r="BP36" s="34" t="n">
        <v>0.00387188595549741</v>
      </c>
      <c r="BQ36" s="34" t="n">
        <v>0.00302516557175255</v>
      </c>
      <c r="BR36" s="34" t="n">
        <v>0.00401631664954859</v>
      </c>
      <c r="BS36" s="34" t="n">
        <v>0.00720482194920398</v>
      </c>
      <c r="BT36" s="34" t="n">
        <v>0</v>
      </c>
    </row>
    <row r="37" customFormat="false" ht="11.25" hidden="false" customHeight="true" outlineLevel="0" collapsed="false">
      <c r="B37" s="19" t="s">
        <v>125</v>
      </c>
      <c r="C37" s="20" t="s">
        <v>126</v>
      </c>
      <c r="D37" s="19" t="n">
        <v>31</v>
      </c>
      <c r="E37" s="33" t="n">
        <v>0.0020789428209968</v>
      </c>
      <c r="F37" s="33" t="n">
        <v>0.00286816299199293</v>
      </c>
      <c r="G37" s="33" t="n">
        <v>0.00121063987882205</v>
      </c>
      <c r="H37" s="33" t="n">
        <v>0.00569951958872328</v>
      </c>
      <c r="I37" s="33" t="n">
        <v>0.00433175168192236</v>
      </c>
      <c r="J37" s="33" t="n">
        <v>0.0041978665490221</v>
      </c>
      <c r="K37" s="33" t="n">
        <v>0.00804133104921846</v>
      </c>
      <c r="L37" s="33" t="n">
        <v>0.00478962711492425</v>
      </c>
      <c r="M37" s="33" t="n">
        <v>0.00339567155473351</v>
      </c>
      <c r="N37" s="33" t="n">
        <v>0.00434848069589879</v>
      </c>
      <c r="O37" s="33" t="n">
        <v>0.00374918567719879</v>
      </c>
      <c r="P37" s="33" t="n">
        <v>0.00296013784538791</v>
      </c>
      <c r="Q37" s="33" t="n">
        <v>0.00532259094996469</v>
      </c>
      <c r="R37" s="33" t="n">
        <v>0.00315375627148865</v>
      </c>
      <c r="S37" s="33" t="n">
        <v>0.00407235247992887</v>
      </c>
      <c r="T37" s="33" t="n">
        <v>0.00409919252834249</v>
      </c>
      <c r="U37" s="33" t="n">
        <v>0.00666885035172828</v>
      </c>
      <c r="V37" s="33" t="n">
        <v>0.00601517671937814</v>
      </c>
      <c r="W37" s="33" t="n">
        <v>0.00250995277467303</v>
      </c>
      <c r="X37" s="33" t="n">
        <v>0.00355681204387813</v>
      </c>
      <c r="Y37" s="33" t="n">
        <v>0.00473710314465004</v>
      </c>
      <c r="Z37" s="33" t="n">
        <v>0.00491290901526119</v>
      </c>
      <c r="AA37" s="33" t="n">
        <v>0.003683032974617</v>
      </c>
      <c r="AB37" s="33" t="n">
        <v>0.00390085602056696</v>
      </c>
      <c r="AC37" s="33" t="n">
        <v>0.00535065217942331</v>
      </c>
      <c r="AD37" s="33" t="n">
        <v>0.00669100292145908</v>
      </c>
      <c r="AE37" s="33" t="n">
        <v>0.00798036305804316</v>
      </c>
      <c r="AF37" s="33" t="n">
        <v>0.0104085385353109</v>
      </c>
      <c r="AG37" s="33" t="n">
        <v>0.00570939699796545</v>
      </c>
      <c r="AH37" s="33" t="n">
        <v>0.0284042672036199</v>
      </c>
      <c r="AI37" s="33" t="n">
        <v>1.10572781991529</v>
      </c>
      <c r="AJ37" s="33" t="n">
        <v>0.0295170882956124</v>
      </c>
      <c r="AK37" s="33" t="n">
        <v>0.0122842346758957</v>
      </c>
      <c r="AL37" s="33" t="n">
        <v>0.016687126058872</v>
      </c>
      <c r="AM37" s="33" t="n">
        <v>0.0127394385547378</v>
      </c>
      <c r="AN37" s="33" t="n">
        <v>0.00677280941123813</v>
      </c>
      <c r="AO37" s="33" t="n">
        <v>0.039404234593646</v>
      </c>
      <c r="AP37" s="33" t="n">
        <v>0.0277576980285939</v>
      </c>
      <c r="AQ37" s="33" t="n">
        <v>0.00865872211238538</v>
      </c>
      <c r="AR37" s="33" t="n">
        <v>0.0201899714986654</v>
      </c>
      <c r="AS37" s="33" t="n">
        <v>0.00577475964305222</v>
      </c>
      <c r="AT37" s="33" t="n">
        <v>0.00345380717350517</v>
      </c>
      <c r="AU37" s="33" t="n">
        <v>0.00641503712636903</v>
      </c>
      <c r="AV37" s="33" t="n">
        <v>0.00597109720595634</v>
      </c>
      <c r="AW37" s="33" t="n">
        <v>0.00224007380710215</v>
      </c>
      <c r="AX37" s="33" t="n">
        <v>0.00387041507196274</v>
      </c>
      <c r="AY37" s="33" t="n">
        <v>0.00437342531573341</v>
      </c>
      <c r="AZ37" s="33" t="n">
        <v>0.00191294147706998</v>
      </c>
      <c r="BA37" s="33" t="n">
        <v>0.0051724219094341</v>
      </c>
      <c r="BB37" s="33" t="n">
        <v>0.00539352914473063</v>
      </c>
      <c r="BC37" s="33" t="n">
        <v>0.00966428781405839</v>
      </c>
      <c r="BD37" s="33" t="n">
        <v>0.00238220212147652</v>
      </c>
      <c r="BE37" s="33" t="n">
        <v>0.0014806421383159</v>
      </c>
      <c r="BF37" s="33" t="n">
        <v>0.0011595225222551</v>
      </c>
      <c r="BG37" s="33" t="n">
        <v>0.00514929958795809</v>
      </c>
      <c r="BH37" s="33" t="n">
        <v>0.00354398789847641</v>
      </c>
      <c r="BI37" s="33" t="n">
        <v>0.00363116708730983</v>
      </c>
      <c r="BJ37" s="33" t="n">
        <v>0.00327206897410266</v>
      </c>
      <c r="BK37" s="33" t="n">
        <v>0.00540744958259552</v>
      </c>
      <c r="BL37" s="33" t="n">
        <v>0.00123540810603304</v>
      </c>
      <c r="BM37" s="33" t="n">
        <v>0.00165189662745066</v>
      </c>
      <c r="BN37" s="33" t="n">
        <v>0.0014291395111359</v>
      </c>
      <c r="BO37" s="33" t="n">
        <v>0.00214814895104501</v>
      </c>
      <c r="BP37" s="33" t="n">
        <v>0.00225355414349645</v>
      </c>
      <c r="BQ37" s="33" t="n">
        <v>0.00209066360787752</v>
      </c>
      <c r="BR37" s="33" t="n">
        <v>0.00446803681932873</v>
      </c>
      <c r="BS37" s="33" t="n">
        <v>0.00856033724423769</v>
      </c>
      <c r="BT37" s="33" t="n">
        <v>0</v>
      </c>
    </row>
    <row r="38" customFormat="false" ht="11.25" hidden="false" customHeight="true" outlineLevel="0" collapsed="false">
      <c r="B38" s="24" t="s">
        <v>127</v>
      </c>
      <c r="C38" s="25" t="s">
        <v>128</v>
      </c>
      <c r="D38" s="24" t="n">
        <v>32</v>
      </c>
      <c r="E38" s="34" t="n">
        <v>0.00220503290869784</v>
      </c>
      <c r="F38" s="34" t="n">
        <v>0.00240351190103622</v>
      </c>
      <c r="G38" s="34" t="n">
        <v>0.00188205916459704</v>
      </c>
      <c r="H38" s="34" t="n">
        <v>0.0178191583197671</v>
      </c>
      <c r="I38" s="34" t="n">
        <v>0.0285327026290188</v>
      </c>
      <c r="J38" s="34" t="n">
        <v>0.0423767848906059</v>
      </c>
      <c r="K38" s="34" t="n">
        <v>0.0680737547084003</v>
      </c>
      <c r="L38" s="34" t="n">
        <v>0.00586914559521793</v>
      </c>
      <c r="M38" s="34" t="n">
        <v>0.00472781478415456</v>
      </c>
      <c r="N38" s="34" t="n">
        <v>0.00520452948102643</v>
      </c>
      <c r="O38" s="34" t="n">
        <v>0.00605557521241228</v>
      </c>
      <c r="P38" s="34" t="n">
        <v>0.00321386910233551</v>
      </c>
      <c r="Q38" s="34" t="n">
        <v>0.00482126896110106</v>
      </c>
      <c r="R38" s="34" t="n">
        <v>0.00400472334658172</v>
      </c>
      <c r="S38" s="34" t="n">
        <v>0.00501929457190688</v>
      </c>
      <c r="T38" s="34" t="n">
        <v>0.00770442349724541</v>
      </c>
      <c r="U38" s="34" t="n">
        <v>0.0103824676302217</v>
      </c>
      <c r="V38" s="34" t="n">
        <v>0.0122713377234108</v>
      </c>
      <c r="W38" s="34" t="n">
        <v>0.012487160616329</v>
      </c>
      <c r="X38" s="34" t="n">
        <v>0.00572036023477768</v>
      </c>
      <c r="Y38" s="34" t="n">
        <v>0.00633719887725827</v>
      </c>
      <c r="Z38" s="34" t="n">
        <v>0.00713476754277723</v>
      </c>
      <c r="AA38" s="34" t="n">
        <v>0.00541271105858294</v>
      </c>
      <c r="AB38" s="34" t="n">
        <v>0.00525446925065198</v>
      </c>
      <c r="AC38" s="34" t="n">
        <v>0.00731510563307213</v>
      </c>
      <c r="AD38" s="34" t="n">
        <v>0.00959961567195232</v>
      </c>
      <c r="AE38" s="34" t="n">
        <v>0.0224414231854363</v>
      </c>
      <c r="AF38" s="34" t="n">
        <v>0.0222123336607073</v>
      </c>
      <c r="AG38" s="34" t="n">
        <v>0.0121442048805371</v>
      </c>
      <c r="AH38" s="34" t="n">
        <v>0.00667389592162157</v>
      </c>
      <c r="AI38" s="34" t="n">
        <v>0.0197857317330587</v>
      </c>
      <c r="AJ38" s="34" t="n">
        <v>1.14987607324916</v>
      </c>
      <c r="AK38" s="34" t="n">
        <v>0.0185111319003086</v>
      </c>
      <c r="AL38" s="34" t="n">
        <v>0.0116868046951397</v>
      </c>
      <c r="AM38" s="34" t="n">
        <v>0.0216501353747726</v>
      </c>
      <c r="AN38" s="34" t="n">
        <v>0.00658311440177613</v>
      </c>
      <c r="AO38" s="34" t="n">
        <v>0.147150153262548</v>
      </c>
      <c r="AP38" s="34" t="n">
        <v>0.00515952341777605</v>
      </c>
      <c r="AQ38" s="34" t="n">
        <v>0.00703603647133128</v>
      </c>
      <c r="AR38" s="34" t="n">
        <v>0.0128413113033579</v>
      </c>
      <c r="AS38" s="34" t="n">
        <v>0.00628124322112811</v>
      </c>
      <c r="AT38" s="34" t="n">
        <v>0.00355343679478496</v>
      </c>
      <c r="AU38" s="34" t="n">
        <v>0.00563987186570285</v>
      </c>
      <c r="AV38" s="34" t="n">
        <v>0.0223696802772601</v>
      </c>
      <c r="AW38" s="34" t="n">
        <v>0.00559656206326101</v>
      </c>
      <c r="AX38" s="34" t="n">
        <v>0.00755076651933886</v>
      </c>
      <c r="AY38" s="34" t="n">
        <v>0.00240592885113622</v>
      </c>
      <c r="AZ38" s="34" t="n">
        <v>0.00246038091398078</v>
      </c>
      <c r="BA38" s="34" t="n">
        <v>0.00904072861021443</v>
      </c>
      <c r="BB38" s="34" t="n">
        <v>0.00383073474698521</v>
      </c>
      <c r="BC38" s="34" t="n">
        <v>0.00527535761756121</v>
      </c>
      <c r="BD38" s="34" t="n">
        <v>0.00261763170173993</v>
      </c>
      <c r="BE38" s="34" t="n">
        <v>0.00128223193955075</v>
      </c>
      <c r="BF38" s="34" t="n">
        <v>0.000353438865280095</v>
      </c>
      <c r="BG38" s="34" t="n">
        <v>0.00208791631451112</v>
      </c>
      <c r="BH38" s="34" t="n">
        <v>0.00267166607214893</v>
      </c>
      <c r="BI38" s="34" t="n">
        <v>0.00319040183210457</v>
      </c>
      <c r="BJ38" s="34" t="n">
        <v>0.00498798888988858</v>
      </c>
      <c r="BK38" s="34" t="n">
        <v>0.00723767109180092</v>
      </c>
      <c r="BL38" s="34" t="n">
        <v>0.00183590105515656</v>
      </c>
      <c r="BM38" s="34" t="n">
        <v>0.00165819438168624</v>
      </c>
      <c r="BN38" s="34" t="n">
        <v>0.00117197531993713</v>
      </c>
      <c r="BO38" s="34" t="n">
        <v>0.00156760883526799</v>
      </c>
      <c r="BP38" s="34" t="n">
        <v>0.00319241533733383</v>
      </c>
      <c r="BQ38" s="34" t="n">
        <v>0.00205320758513147</v>
      </c>
      <c r="BR38" s="34" t="n">
        <v>0.00325065732475979</v>
      </c>
      <c r="BS38" s="34" t="n">
        <v>0.00270108412101107</v>
      </c>
      <c r="BT38" s="34" t="n">
        <v>0</v>
      </c>
    </row>
    <row r="39" customFormat="false" ht="11.25" hidden="false" customHeight="true" outlineLevel="0" collapsed="false">
      <c r="B39" s="19" t="s">
        <v>129</v>
      </c>
      <c r="C39" s="20" t="s">
        <v>130</v>
      </c>
      <c r="D39" s="19" t="n">
        <v>33</v>
      </c>
      <c r="E39" s="33" t="n">
        <v>0.000270249461741804</v>
      </c>
      <c r="F39" s="33" t="n">
        <v>0.000229111183177485</v>
      </c>
      <c r="G39" s="33" t="n">
        <v>0.000202958219681976</v>
      </c>
      <c r="H39" s="33" t="n">
        <v>0.000662373284086577</v>
      </c>
      <c r="I39" s="33" t="n">
        <v>0.000382013617093577</v>
      </c>
      <c r="J39" s="33" t="n">
        <v>0.000795299922799945</v>
      </c>
      <c r="K39" s="33" t="n">
        <v>0.00084608568654566</v>
      </c>
      <c r="L39" s="33" t="n">
        <v>0.00063865303046389</v>
      </c>
      <c r="M39" s="33" t="n">
        <v>0.00153687461833091</v>
      </c>
      <c r="N39" s="33" t="n">
        <v>0.000689024541986169</v>
      </c>
      <c r="O39" s="33" t="n">
        <v>0.000544213528966367</v>
      </c>
      <c r="P39" s="33" t="n">
        <v>0.000371549061898642</v>
      </c>
      <c r="Q39" s="33" t="n">
        <v>0.000593153813771009</v>
      </c>
      <c r="R39" s="33" t="n">
        <v>0.000343400830361797</v>
      </c>
      <c r="S39" s="33" t="n">
        <v>0.000552022697832052</v>
      </c>
      <c r="T39" s="33" t="n">
        <v>0.000416427951708058</v>
      </c>
      <c r="U39" s="33" t="n">
        <v>0.000669340470944834</v>
      </c>
      <c r="V39" s="33" t="n">
        <v>0.000412481325984414</v>
      </c>
      <c r="W39" s="33" t="n">
        <v>0.000294881103571155</v>
      </c>
      <c r="X39" s="33" t="n">
        <v>0.000483554395154214</v>
      </c>
      <c r="Y39" s="33" t="n">
        <v>0.0005042288206679</v>
      </c>
      <c r="Z39" s="33" t="n">
        <v>0.00101496676778656</v>
      </c>
      <c r="AA39" s="33" t="n">
        <v>0.000640692548827052</v>
      </c>
      <c r="AB39" s="33" t="n">
        <v>0.000826093953528239</v>
      </c>
      <c r="AC39" s="33" t="n">
        <v>0.000634656048159703</v>
      </c>
      <c r="AD39" s="33" t="n">
        <v>0.000677140500225814</v>
      </c>
      <c r="AE39" s="33" t="n">
        <v>0.000802662713055033</v>
      </c>
      <c r="AF39" s="33" t="n">
        <v>0.000649236600431391</v>
      </c>
      <c r="AG39" s="33" t="n">
        <v>0.000564300335965138</v>
      </c>
      <c r="AH39" s="33" t="n">
        <v>0.000955140626477055</v>
      </c>
      <c r="AI39" s="33" t="n">
        <v>0.00193314712205083</v>
      </c>
      <c r="AJ39" s="33" t="n">
        <v>0.00221129426326741</v>
      </c>
      <c r="AK39" s="33" t="n">
        <v>1.03565812413326</v>
      </c>
      <c r="AL39" s="33" t="n">
        <v>0.00220898727978056</v>
      </c>
      <c r="AM39" s="33" t="n">
        <v>0.00209918646110178</v>
      </c>
      <c r="AN39" s="33" t="n">
        <v>0.000444966635912067</v>
      </c>
      <c r="AO39" s="33" t="n">
        <v>0.00157575653972338</v>
      </c>
      <c r="AP39" s="33" t="n">
        <v>0.000675664768030186</v>
      </c>
      <c r="AQ39" s="33" t="n">
        <v>0.000720551823845246</v>
      </c>
      <c r="AR39" s="33" t="n">
        <v>0.000587899940901234</v>
      </c>
      <c r="AS39" s="33" t="n">
        <v>0.00362927265395651</v>
      </c>
      <c r="AT39" s="33" t="n">
        <v>0.000499231892365126</v>
      </c>
      <c r="AU39" s="33" t="n">
        <v>0.00380744854871973</v>
      </c>
      <c r="AV39" s="33" t="n">
        <v>0.000452188497175386</v>
      </c>
      <c r="AW39" s="33" t="n">
        <v>0.00024533362379731</v>
      </c>
      <c r="AX39" s="33" t="n">
        <v>0.000583077031112889</v>
      </c>
      <c r="AY39" s="33" t="n">
        <v>0.000219159590403715</v>
      </c>
      <c r="AZ39" s="33" t="n">
        <v>0.000234997250487183</v>
      </c>
      <c r="BA39" s="33" t="n">
        <v>0.000539759449724534</v>
      </c>
      <c r="BB39" s="33" t="n">
        <v>0.000414279040590063</v>
      </c>
      <c r="BC39" s="33" t="n">
        <v>0.000477991487028974</v>
      </c>
      <c r="BD39" s="33" t="n">
        <v>0.0002038011936629</v>
      </c>
      <c r="BE39" s="33" t="n">
        <v>0.000113703580033835</v>
      </c>
      <c r="BF39" s="33" t="n">
        <v>3.62433281074292E-005</v>
      </c>
      <c r="BG39" s="33" t="n">
        <v>0.000192227756969998</v>
      </c>
      <c r="BH39" s="33" t="n">
        <v>0.00136364139692896</v>
      </c>
      <c r="BI39" s="33" t="n">
        <v>0.000273138967869902</v>
      </c>
      <c r="BJ39" s="33" t="n">
        <v>0.00103627494626175</v>
      </c>
      <c r="BK39" s="33" t="n">
        <v>0.000222295794253417</v>
      </c>
      <c r="BL39" s="33" t="n">
        <v>0.000251827617400529</v>
      </c>
      <c r="BM39" s="33" t="n">
        <v>0.000250431714512586</v>
      </c>
      <c r="BN39" s="33" t="n">
        <v>0.000151200963720766</v>
      </c>
      <c r="BO39" s="33" t="n">
        <v>0.000318299624184332</v>
      </c>
      <c r="BP39" s="33" t="n">
        <v>0.000371870717692039</v>
      </c>
      <c r="BQ39" s="33" t="n">
        <v>0.000279418041930799</v>
      </c>
      <c r="BR39" s="33" t="n">
        <v>0.000258848212360316</v>
      </c>
      <c r="BS39" s="33" t="n">
        <v>0.000298662720125209</v>
      </c>
      <c r="BT39" s="33" t="n">
        <v>0</v>
      </c>
    </row>
    <row r="40" customFormat="false" ht="11.25" hidden="false" customHeight="true" outlineLevel="0" collapsed="false">
      <c r="B40" s="24" t="s">
        <v>131</v>
      </c>
      <c r="C40" s="25" t="s">
        <v>132</v>
      </c>
      <c r="D40" s="24" t="n">
        <v>34</v>
      </c>
      <c r="E40" s="34" t="n">
        <v>0.00266887354599517</v>
      </c>
      <c r="F40" s="34" t="n">
        <v>0.00222695508454536</v>
      </c>
      <c r="G40" s="34" t="n">
        <v>0.00224127448670067</v>
      </c>
      <c r="H40" s="34" t="n">
        <v>0.00636240998150747</v>
      </c>
      <c r="I40" s="34" t="n">
        <v>0.00420768386039977</v>
      </c>
      <c r="J40" s="34" t="n">
        <v>0.00721191161421974</v>
      </c>
      <c r="K40" s="34" t="n">
        <v>0.00919515749725861</v>
      </c>
      <c r="L40" s="34" t="n">
        <v>0.00708797084649395</v>
      </c>
      <c r="M40" s="34" t="n">
        <v>0.00582606223872897</v>
      </c>
      <c r="N40" s="34" t="n">
        <v>0.00767423751551261</v>
      </c>
      <c r="O40" s="34" t="n">
        <v>0.00663529429447574</v>
      </c>
      <c r="P40" s="34" t="n">
        <v>0.00357935144577466</v>
      </c>
      <c r="Q40" s="34" t="n">
        <v>0.00495919580954631</v>
      </c>
      <c r="R40" s="34" t="n">
        <v>0.00316310685508917</v>
      </c>
      <c r="S40" s="34" t="n">
        <v>0.00581135428527082</v>
      </c>
      <c r="T40" s="34" t="n">
        <v>0.00449089411468355</v>
      </c>
      <c r="U40" s="34" t="n">
        <v>0.00679212407320442</v>
      </c>
      <c r="V40" s="34" t="n">
        <v>0.00479563730995563</v>
      </c>
      <c r="W40" s="34" t="n">
        <v>0.00300975156400158</v>
      </c>
      <c r="X40" s="34" t="n">
        <v>0.00482175519545965</v>
      </c>
      <c r="Y40" s="34" t="n">
        <v>0.00520861284695417</v>
      </c>
      <c r="Z40" s="34" t="n">
        <v>0.00659579129894965</v>
      </c>
      <c r="AA40" s="34" t="n">
        <v>0.00600004905518663</v>
      </c>
      <c r="AB40" s="34" t="n">
        <v>0.00650292458321368</v>
      </c>
      <c r="AC40" s="34" t="n">
        <v>0.00742275291519591</v>
      </c>
      <c r="AD40" s="34" t="n">
        <v>0.00651095139633564</v>
      </c>
      <c r="AE40" s="34" t="n">
        <v>0.00847864015433164</v>
      </c>
      <c r="AF40" s="34" t="n">
        <v>0.00711674442445743</v>
      </c>
      <c r="AG40" s="34" t="n">
        <v>0.00732703899371257</v>
      </c>
      <c r="AH40" s="34" t="n">
        <v>0.00740167381931301</v>
      </c>
      <c r="AI40" s="34" t="n">
        <v>0.0100475770433912</v>
      </c>
      <c r="AJ40" s="34" t="n">
        <v>0.0167582692856795</v>
      </c>
      <c r="AK40" s="34" t="n">
        <v>0.252856983143062</v>
      </c>
      <c r="AL40" s="34" t="n">
        <v>1.12892590539215</v>
      </c>
      <c r="AM40" s="34" t="n">
        <v>0.00827434082603685</v>
      </c>
      <c r="AN40" s="34" t="n">
        <v>0.00476496939737347</v>
      </c>
      <c r="AO40" s="34" t="n">
        <v>0.0115405237060988</v>
      </c>
      <c r="AP40" s="34" t="n">
        <v>0.00290821085515777</v>
      </c>
      <c r="AQ40" s="34" t="n">
        <v>0.00495274355399445</v>
      </c>
      <c r="AR40" s="34" t="n">
        <v>0.00434722369881556</v>
      </c>
      <c r="AS40" s="34" t="n">
        <v>0.105346030895997</v>
      </c>
      <c r="AT40" s="34" t="n">
        <v>0.00496254989210271</v>
      </c>
      <c r="AU40" s="34" t="n">
        <v>0.0516224691489469</v>
      </c>
      <c r="AV40" s="34" t="n">
        <v>0.00446360531330443</v>
      </c>
      <c r="AW40" s="34" t="n">
        <v>0.00302470650037636</v>
      </c>
      <c r="AX40" s="34" t="n">
        <v>0.00537739471530455</v>
      </c>
      <c r="AY40" s="34" t="n">
        <v>0.00175372927699611</v>
      </c>
      <c r="AZ40" s="34" t="n">
        <v>0.00253726055656965</v>
      </c>
      <c r="BA40" s="34" t="n">
        <v>0.00553713093313437</v>
      </c>
      <c r="BB40" s="34" t="n">
        <v>0.00371329794098972</v>
      </c>
      <c r="BC40" s="34" t="n">
        <v>0.00369381100789033</v>
      </c>
      <c r="BD40" s="34" t="n">
        <v>0.00141245649073876</v>
      </c>
      <c r="BE40" s="34" t="n">
        <v>0.00101007243787166</v>
      </c>
      <c r="BF40" s="34" t="n">
        <v>0.000233299445473835</v>
      </c>
      <c r="BG40" s="34" t="n">
        <v>0.00143653663836597</v>
      </c>
      <c r="BH40" s="34" t="n">
        <v>0.00357897471087817</v>
      </c>
      <c r="BI40" s="34" t="n">
        <v>0.00250254760809845</v>
      </c>
      <c r="BJ40" s="34" t="n">
        <v>0.0112441487664743</v>
      </c>
      <c r="BK40" s="34" t="n">
        <v>0.0016556201405313</v>
      </c>
      <c r="BL40" s="34" t="n">
        <v>0.00188187984762869</v>
      </c>
      <c r="BM40" s="34" t="n">
        <v>0.00334422172968525</v>
      </c>
      <c r="BN40" s="34" t="n">
        <v>0.0026686577712377</v>
      </c>
      <c r="BO40" s="34" t="n">
        <v>0.00183718895608784</v>
      </c>
      <c r="BP40" s="34" t="n">
        <v>0.00406370521519988</v>
      </c>
      <c r="BQ40" s="34" t="n">
        <v>0.00211639866697798</v>
      </c>
      <c r="BR40" s="34" t="n">
        <v>0.00206359293208344</v>
      </c>
      <c r="BS40" s="34" t="n">
        <v>0.00241663105369927</v>
      </c>
      <c r="BT40" s="34" t="n">
        <v>0</v>
      </c>
    </row>
    <row r="41" customFormat="false" ht="11.25" hidden="false" customHeight="true" outlineLevel="0" collapsed="false">
      <c r="B41" s="19" t="s">
        <v>133</v>
      </c>
      <c r="C41" s="20" t="s">
        <v>134</v>
      </c>
      <c r="D41" s="19" t="n">
        <v>35</v>
      </c>
      <c r="E41" s="33" t="n">
        <v>0.000322228353144518</v>
      </c>
      <c r="F41" s="33" t="n">
        <v>0.000285591897035125</v>
      </c>
      <c r="G41" s="33" t="n">
        <v>0.000301841615349665</v>
      </c>
      <c r="H41" s="33" t="n">
        <v>0.00149295830018189</v>
      </c>
      <c r="I41" s="33" t="n">
        <v>0.000866336659725561</v>
      </c>
      <c r="J41" s="33" t="n">
        <v>0.00100044608565938</v>
      </c>
      <c r="K41" s="33" t="n">
        <v>0.00203253487958613</v>
      </c>
      <c r="L41" s="33" t="n">
        <v>0.000977005187652859</v>
      </c>
      <c r="M41" s="33" t="n">
        <v>0.000862820632443269</v>
      </c>
      <c r="N41" s="33" t="n">
        <v>0.000932177799636161</v>
      </c>
      <c r="O41" s="33" t="n">
        <v>0.000821489751614112</v>
      </c>
      <c r="P41" s="33" t="n">
        <v>0.000544934291679063</v>
      </c>
      <c r="Q41" s="33" t="n">
        <v>0.000791286704753178</v>
      </c>
      <c r="R41" s="33" t="n">
        <v>0.000672532914779072</v>
      </c>
      <c r="S41" s="33" t="n">
        <v>0.000901117948187614</v>
      </c>
      <c r="T41" s="33" t="n">
        <v>0.000903296577122573</v>
      </c>
      <c r="U41" s="33" t="n">
        <v>0.00166111993647673</v>
      </c>
      <c r="V41" s="33" t="n">
        <v>0.0018571681991377</v>
      </c>
      <c r="W41" s="33" t="n">
        <v>0.000564126440892389</v>
      </c>
      <c r="X41" s="33" t="n">
        <v>0.000949419557768215</v>
      </c>
      <c r="Y41" s="33" t="n">
        <v>0.000884600048281295</v>
      </c>
      <c r="Z41" s="33" t="n">
        <v>0.00110892567301176</v>
      </c>
      <c r="AA41" s="33" t="n">
        <v>0.000850054157200209</v>
      </c>
      <c r="AB41" s="33" t="n">
        <v>0.00106355829773209</v>
      </c>
      <c r="AC41" s="33" t="n">
        <v>0.000957937735352647</v>
      </c>
      <c r="AD41" s="33" t="n">
        <v>0.00138717717324251</v>
      </c>
      <c r="AE41" s="33" t="n">
        <v>0.00258301291201139</v>
      </c>
      <c r="AF41" s="33" t="n">
        <v>0.00175047580590973</v>
      </c>
      <c r="AG41" s="33" t="n">
        <v>0.00130144819323005</v>
      </c>
      <c r="AH41" s="33" t="n">
        <v>0.000558747714877335</v>
      </c>
      <c r="AI41" s="33" t="n">
        <v>0.00115085018598747</v>
      </c>
      <c r="AJ41" s="33" t="n">
        <v>0.00200028498237192</v>
      </c>
      <c r="AK41" s="33" t="n">
        <v>0.00123209776505072</v>
      </c>
      <c r="AL41" s="33" t="n">
        <v>0.00120909595967135</v>
      </c>
      <c r="AM41" s="33" t="n">
        <v>1.24362606384791</v>
      </c>
      <c r="AN41" s="33" t="n">
        <v>0.00106700832706791</v>
      </c>
      <c r="AO41" s="33" t="n">
        <v>0.0238078375744083</v>
      </c>
      <c r="AP41" s="33" t="n">
        <v>0.000461826127821775</v>
      </c>
      <c r="AQ41" s="33" t="n">
        <v>0.000684895129637596</v>
      </c>
      <c r="AR41" s="33" t="n">
        <v>0.000641527396194457</v>
      </c>
      <c r="AS41" s="33" t="n">
        <v>0.00137043447948239</v>
      </c>
      <c r="AT41" s="33" t="n">
        <v>0.000590506991354353</v>
      </c>
      <c r="AU41" s="33" t="n">
        <v>0.00422104955438026</v>
      </c>
      <c r="AV41" s="33" t="n">
        <v>0.00198312591436768</v>
      </c>
      <c r="AW41" s="33" t="n">
        <v>0.000773727957491367</v>
      </c>
      <c r="AX41" s="33" t="n">
        <v>0.00108793617397444</v>
      </c>
      <c r="AY41" s="33" t="n">
        <v>0.000268404937691829</v>
      </c>
      <c r="AZ41" s="33" t="n">
        <v>0.000347100018324654</v>
      </c>
      <c r="BA41" s="33" t="n">
        <v>0.00151473671551657</v>
      </c>
      <c r="BB41" s="33" t="n">
        <v>0.000588429723778382</v>
      </c>
      <c r="BC41" s="33" t="n">
        <v>0.000681458950806017</v>
      </c>
      <c r="BD41" s="33" t="n">
        <v>0.000353408558614048</v>
      </c>
      <c r="BE41" s="33" t="n">
        <v>0.000178138105321541</v>
      </c>
      <c r="BF41" s="33" t="n">
        <v>4.03694628037721E-005</v>
      </c>
      <c r="BG41" s="33" t="n">
        <v>0.00031909285578676</v>
      </c>
      <c r="BH41" s="33" t="n">
        <v>0.000650313068396843</v>
      </c>
      <c r="BI41" s="33" t="n">
        <v>0.000497259416282355</v>
      </c>
      <c r="BJ41" s="33" t="n">
        <v>0.000856327132156571</v>
      </c>
      <c r="BK41" s="33" t="n">
        <v>0.000346654305423206</v>
      </c>
      <c r="BL41" s="33" t="n">
        <v>0.000272433678060212</v>
      </c>
      <c r="BM41" s="33" t="n">
        <v>0.00050375297955365</v>
      </c>
      <c r="BN41" s="33" t="n">
        <v>0.000151763526815817</v>
      </c>
      <c r="BO41" s="33" t="n">
        <v>0.000311827525088185</v>
      </c>
      <c r="BP41" s="33" t="n">
        <v>0.000354161983887706</v>
      </c>
      <c r="BQ41" s="33" t="n">
        <v>0.000369433215252232</v>
      </c>
      <c r="BR41" s="33" t="n">
        <v>0.000531532487229582</v>
      </c>
      <c r="BS41" s="33" t="n">
        <v>0.000792965519238036</v>
      </c>
      <c r="BT41" s="33" t="n">
        <v>0</v>
      </c>
    </row>
    <row r="42" customFormat="false" ht="11.25" hidden="false" customHeight="true" outlineLevel="0" collapsed="false">
      <c r="B42" s="24" t="s">
        <v>135</v>
      </c>
      <c r="C42" s="25" t="s">
        <v>136</v>
      </c>
      <c r="D42" s="24" t="n">
        <v>36</v>
      </c>
      <c r="E42" s="34" t="n">
        <v>0.000554593698026336</v>
      </c>
      <c r="F42" s="34" t="n">
        <v>0.000569576938439474</v>
      </c>
      <c r="G42" s="34" t="n">
        <v>0.000493268833311065</v>
      </c>
      <c r="H42" s="34" t="n">
        <v>0.00127311281730231</v>
      </c>
      <c r="I42" s="34" t="n">
        <v>0.00124186399930524</v>
      </c>
      <c r="J42" s="34" t="n">
        <v>0.00109330626900953</v>
      </c>
      <c r="K42" s="34" t="n">
        <v>0.00166238517698407</v>
      </c>
      <c r="L42" s="34" t="n">
        <v>0.00164338808514656</v>
      </c>
      <c r="M42" s="34" t="n">
        <v>0.00100109599887776</v>
      </c>
      <c r="N42" s="34" t="n">
        <v>0.00171126325131381</v>
      </c>
      <c r="O42" s="34" t="n">
        <v>0.00188075446979692</v>
      </c>
      <c r="P42" s="34" t="n">
        <v>0.00102014708016331</v>
      </c>
      <c r="Q42" s="34" t="n">
        <v>0.0022728388921499</v>
      </c>
      <c r="R42" s="34" t="n">
        <v>0.0160402000068829</v>
      </c>
      <c r="S42" s="34" t="n">
        <v>0.00713295285578204</v>
      </c>
      <c r="T42" s="34" t="n">
        <v>0.00182387381236364</v>
      </c>
      <c r="U42" s="34" t="n">
        <v>0.00198486715233351</v>
      </c>
      <c r="V42" s="34" t="n">
        <v>0.00188311657828468</v>
      </c>
      <c r="W42" s="34" t="n">
        <v>0.000770552271871396</v>
      </c>
      <c r="X42" s="34" t="n">
        <v>0.00103457722544831</v>
      </c>
      <c r="Y42" s="34" t="n">
        <v>0.00166356321938618</v>
      </c>
      <c r="Z42" s="34" t="n">
        <v>0.00226867707118036</v>
      </c>
      <c r="AA42" s="34" t="n">
        <v>0.00186031402432579</v>
      </c>
      <c r="AB42" s="34" t="n">
        <v>0.00198836718951243</v>
      </c>
      <c r="AC42" s="34" t="n">
        <v>0.00327471579218405</v>
      </c>
      <c r="AD42" s="34" t="n">
        <v>0.00261882041369983</v>
      </c>
      <c r="AE42" s="34" t="n">
        <v>0.00172056298275432</v>
      </c>
      <c r="AF42" s="34" t="n">
        <v>0.0013875471110703</v>
      </c>
      <c r="AG42" s="34" t="n">
        <v>0.0017383846381375</v>
      </c>
      <c r="AH42" s="34" t="n">
        <v>0.00148081237732442</v>
      </c>
      <c r="AI42" s="34" t="n">
        <v>0.00202501348158405</v>
      </c>
      <c r="AJ42" s="34" t="n">
        <v>0.00537604356582623</v>
      </c>
      <c r="AK42" s="34" t="n">
        <v>0.00385302793939911</v>
      </c>
      <c r="AL42" s="34" t="n">
        <v>0.00649482584596517</v>
      </c>
      <c r="AM42" s="34" t="n">
        <v>0.00310064311047005</v>
      </c>
      <c r="AN42" s="34" t="n">
        <v>1.03177107937216</v>
      </c>
      <c r="AO42" s="34" t="n">
        <v>0.00334502269634436</v>
      </c>
      <c r="AP42" s="34" t="n">
        <v>0.000775021636164517</v>
      </c>
      <c r="AQ42" s="34" t="n">
        <v>0.00137535218894063</v>
      </c>
      <c r="AR42" s="34" t="n">
        <v>0.00238645658946751</v>
      </c>
      <c r="AS42" s="34" t="n">
        <v>0.00133016408048751</v>
      </c>
      <c r="AT42" s="34" t="n">
        <v>0.0011002025281472</v>
      </c>
      <c r="AU42" s="34" t="n">
        <v>0.00115052010357055</v>
      </c>
      <c r="AV42" s="34" t="n">
        <v>0.0058920216301978</v>
      </c>
      <c r="AW42" s="34" t="n">
        <v>0.00114526661625214</v>
      </c>
      <c r="AX42" s="34" t="n">
        <v>0.0019528685808845</v>
      </c>
      <c r="AY42" s="34" t="n">
        <v>0.000866420443524559</v>
      </c>
      <c r="AZ42" s="34" t="n">
        <v>0.000710164154939243</v>
      </c>
      <c r="BA42" s="34" t="n">
        <v>0.00170853114785474</v>
      </c>
      <c r="BB42" s="34" t="n">
        <v>0.00248974543015759</v>
      </c>
      <c r="BC42" s="34" t="n">
        <v>0.00142184813021018</v>
      </c>
      <c r="BD42" s="34" t="n">
        <v>0.00104375983415706</v>
      </c>
      <c r="BE42" s="34" t="n">
        <v>0.000764993006437536</v>
      </c>
      <c r="BF42" s="34" t="n">
        <v>0.000264976397713005</v>
      </c>
      <c r="BG42" s="34" t="n">
        <v>0.0014527284987395</v>
      </c>
      <c r="BH42" s="34" t="n">
        <v>0.004435950521309</v>
      </c>
      <c r="BI42" s="34" t="n">
        <v>0.00335706748746409</v>
      </c>
      <c r="BJ42" s="34" t="n">
        <v>0.00907230153192301</v>
      </c>
      <c r="BK42" s="34" t="n">
        <v>0.00124463477321561</v>
      </c>
      <c r="BL42" s="34" t="n">
        <v>0.000776138995287154</v>
      </c>
      <c r="BM42" s="34" t="n">
        <v>0.00106919621770513</v>
      </c>
      <c r="BN42" s="34" t="n">
        <v>0.00344984229769229</v>
      </c>
      <c r="BO42" s="34" t="n">
        <v>0.000778969015543074</v>
      </c>
      <c r="BP42" s="34" t="n">
        <v>0.0117185990139092</v>
      </c>
      <c r="BQ42" s="34" t="n">
        <v>0.0389799145312016</v>
      </c>
      <c r="BR42" s="34" t="n">
        <v>0.00411014357230116</v>
      </c>
      <c r="BS42" s="34" t="n">
        <v>0.00123357401151741</v>
      </c>
      <c r="BT42" s="34" t="n">
        <v>0</v>
      </c>
    </row>
    <row r="43" customFormat="false" ht="11.25" hidden="false" customHeight="true" outlineLevel="0" collapsed="false">
      <c r="B43" s="19" t="s">
        <v>137</v>
      </c>
      <c r="C43" s="20" t="s">
        <v>138</v>
      </c>
      <c r="D43" s="19" t="n">
        <v>37</v>
      </c>
      <c r="E43" s="33" t="n">
        <v>0.00489128304751994</v>
      </c>
      <c r="F43" s="33" t="n">
        <v>0.00456397378329255</v>
      </c>
      <c r="G43" s="33" t="n">
        <v>0.00561557632524279</v>
      </c>
      <c r="H43" s="33" t="n">
        <v>0.041934117668375</v>
      </c>
      <c r="I43" s="33" t="n">
        <v>0.0204243618737935</v>
      </c>
      <c r="J43" s="33" t="n">
        <v>0.0193066528830099</v>
      </c>
      <c r="K43" s="33" t="n">
        <v>0.0529418869169165</v>
      </c>
      <c r="L43" s="33" t="n">
        <v>0.0131464501237084</v>
      </c>
      <c r="M43" s="33" t="n">
        <v>0.0162649026941637</v>
      </c>
      <c r="N43" s="33" t="n">
        <v>0.011106991111414</v>
      </c>
      <c r="O43" s="33" t="n">
        <v>0.0124750964616225</v>
      </c>
      <c r="P43" s="33" t="n">
        <v>0.00792266946295788</v>
      </c>
      <c r="Q43" s="33" t="n">
        <v>0.0138165680961452</v>
      </c>
      <c r="R43" s="33" t="n">
        <v>0.013268306806295</v>
      </c>
      <c r="S43" s="33" t="n">
        <v>0.0125525770951946</v>
      </c>
      <c r="T43" s="33" t="n">
        <v>0.0205606962085224</v>
      </c>
      <c r="U43" s="33" t="n">
        <v>0.0413755899870794</v>
      </c>
      <c r="V43" s="33" t="n">
        <v>0.0606192321699742</v>
      </c>
      <c r="W43" s="33" t="n">
        <v>0.0124015064820241</v>
      </c>
      <c r="X43" s="33" t="n">
        <v>0.0212613806912964</v>
      </c>
      <c r="Y43" s="33" t="n">
        <v>0.0177091993330501</v>
      </c>
      <c r="Z43" s="33" t="n">
        <v>0.0203464867223111</v>
      </c>
      <c r="AA43" s="33" t="n">
        <v>0.013178091144182</v>
      </c>
      <c r="AB43" s="33" t="n">
        <v>0.0162335996546982</v>
      </c>
      <c r="AC43" s="33" t="n">
        <v>0.014811149581748</v>
      </c>
      <c r="AD43" s="33" t="n">
        <v>0.0360391338723982</v>
      </c>
      <c r="AE43" s="33" t="n">
        <v>0.0752595929493111</v>
      </c>
      <c r="AF43" s="33" t="n">
        <v>0.0512177101851786</v>
      </c>
      <c r="AG43" s="33" t="n">
        <v>0.0275244409850158</v>
      </c>
      <c r="AH43" s="33" t="n">
        <v>0.00726266565745165</v>
      </c>
      <c r="AI43" s="33" t="n">
        <v>0.0221406637241938</v>
      </c>
      <c r="AJ43" s="33" t="n">
        <v>0.0267846734066203</v>
      </c>
      <c r="AK43" s="33" t="n">
        <v>0.013896373815055</v>
      </c>
      <c r="AL43" s="33" t="n">
        <v>0.0227791799131602</v>
      </c>
      <c r="AM43" s="33" t="n">
        <v>0.0189345115767081</v>
      </c>
      <c r="AN43" s="33" t="n">
        <v>0.0175255350978261</v>
      </c>
      <c r="AO43" s="33" t="n">
        <v>1.02076786942518</v>
      </c>
      <c r="AP43" s="33" t="n">
        <v>0.0108071995561434</v>
      </c>
      <c r="AQ43" s="33" t="n">
        <v>0.0191828705522304</v>
      </c>
      <c r="AR43" s="33" t="n">
        <v>0.0136978314111236</v>
      </c>
      <c r="AS43" s="33" t="n">
        <v>0.0083342427518886</v>
      </c>
      <c r="AT43" s="33" t="n">
        <v>0.00857771392531102</v>
      </c>
      <c r="AU43" s="33" t="n">
        <v>0.00847604707879053</v>
      </c>
      <c r="AV43" s="33" t="n">
        <v>0.0644965970176062</v>
      </c>
      <c r="AW43" s="33" t="n">
        <v>0.0207116578250594</v>
      </c>
      <c r="AX43" s="33" t="n">
        <v>0.0279078351018258</v>
      </c>
      <c r="AY43" s="33" t="n">
        <v>0.00434063691635839</v>
      </c>
      <c r="AZ43" s="33" t="n">
        <v>0.00536504436901133</v>
      </c>
      <c r="BA43" s="33" t="n">
        <v>0.0395534654485458</v>
      </c>
      <c r="BB43" s="33" t="n">
        <v>0.0103101705382985</v>
      </c>
      <c r="BC43" s="33" t="n">
        <v>0.011528918503705</v>
      </c>
      <c r="BD43" s="33" t="n">
        <v>0.00840341182691574</v>
      </c>
      <c r="BE43" s="33" t="n">
        <v>0.00350981971692905</v>
      </c>
      <c r="BF43" s="33" t="n">
        <v>0.000835490001214398</v>
      </c>
      <c r="BG43" s="33" t="n">
        <v>0.0072589596984025</v>
      </c>
      <c r="BH43" s="33" t="n">
        <v>0.00575710183956252</v>
      </c>
      <c r="BI43" s="33" t="n">
        <v>0.0106569011745869</v>
      </c>
      <c r="BJ43" s="33" t="n">
        <v>0.0227507997374081</v>
      </c>
      <c r="BK43" s="33" t="n">
        <v>0.0078722985514577</v>
      </c>
      <c r="BL43" s="33" t="n">
        <v>0.00742707485733488</v>
      </c>
      <c r="BM43" s="33" t="n">
        <v>0.0034506810527164</v>
      </c>
      <c r="BN43" s="33" t="n">
        <v>0.00251053276179165</v>
      </c>
      <c r="BO43" s="33" t="n">
        <v>0.00378593181650871</v>
      </c>
      <c r="BP43" s="33" t="n">
        <v>0.00772256200419018</v>
      </c>
      <c r="BQ43" s="33" t="n">
        <v>0.00662044942790157</v>
      </c>
      <c r="BR43" s="33" t="n">
        <v>0.0131120888032189</v>
      </c>
      <c r="BS43" s="33" t="n">
        <v>0.00786049628002207</v>
      </c>
      <c r="BT43" s="33" t="n">
        <v>0</v>
      </c>
    </row>
    <row r="44" customFormat="false" ht="11.25" hidden="false" customHeight="true" outlineLevel="0" collapsed="false">
      <c r="B44" s="24" t="s">
        <v>139</v>
      </c>
      <c r="C44" s="25" t="s">
        <v>140</v>
      </c>
      <c r="D44" s="24" t="n">
        <v>38</v>
      </c>
      <c r="E44" s="34" t="n">
        <v>0.0452302905812886</v>
      </c>
      <c r="F44" s="34" t="n">
        <v>0.0558212097248322</v>
      </c>
      <c r="G44" s="34" t="n">
        <v>0.0191071481750668</v>
      </c>
      <c r="H44" s="34" t="n">
        <v>0.0550556090562262</v>
      </c>
      <c r="I44" s="34" t="n">
        <v>0.00983077224720971</v>
      </c>
      <c r="J44" s="34" t="n">
        <v>0.0227950423506972</v>
      </c>
      <c r="K44" s="34" t="n">
        <v>0.0460948000490389</v>
      </c>
      <c r="L44" s="34" t="n">
        <v>0.0524751813820923</v>
      </c>
      <c r="M44" s="34" t="n">
        <v>0.0317438672496745</v>
      </c>
      <c r="N44" s="34" t="n">
        <v>0.047900455448817</v>
      </c>
      <c r="O44" s="34" t="n">
        <v>0.0285857544825408</v>
      </c>
      <c r="P44" s="34" t="n">
        <v>0.0322315071357529</v>
      </c>
      <c r="Q44" s="34" t="n">
        <v>0.075576441189569</v>
      </c>
      <c r="R44" s="34" t="n">
        <v>0.0292765852741263</v>
      </c>
      <c r="S44" s="34" t="n">
        <v>0.0391163454139217</v>
      </c>
      <c r="T44" s="34" t="n">
        <v>0.0485560591461582</v>
      </c>
      <c r="U44" s="34" t="n">
        <v>0.0700299535141893</v>
      </c>
      <c r="V44" s="34" t="n">
        <v>0.0259867046885101</v>
      </c>
      <c r="W44" s="34" t="n">
        <v>0.00949639933950859</v>
      </c>
      <c r="X44" s="34" t="n">
        <v>0.0370872640596187</v>
      </c>
      <c r="Y44" s="34" t="n">
        <v>0.067452158899182</v>
      </c>
      <c r="Z44" s="34" t="n">
        <v>0.0447314905926145</v>
      </c>
      <c r="AA44" s="34" t="n">
        <v>0.028949114141136</v>
      </c>
      <c r="AB44" s="34" t="n">
        <v>0.0271909500140261</v>
      </c>
      <c r="AC44" s="34" t="n">
        <v>0.055860351772632</v>
      </c>
      <c r="AD44" s="34" t="n">
        <v>0.0769196174237267</v>
      </c>
      <c r="AE44" s="34" t="n">
        <v>0.0737122834811859</v>
      </c>
      <c r="AF44" s="34" t="n">
        <v>0.0911261846235237</v>
      </c>
      <c r="AG44" s="34" t="n">
        <v>0.0443728990559167</v>
      </c>
      <c r="AH44" s="34" t="n">
        <v>0.0167876195629751</v>
      </c>
      <c r="AI44" s="34" t="n">
        <v>0.0419188966155037</v>
      </c>
      <c r="AJ44" s="34" t="n">
        <v>0.034939297561655</v>
      </c>
      <c r="AK44" s="34" t="n">
        <v>0.0257123051335174</v>
      </c>
      <c r="AL44" s="34" t="n">
        <v>0.042894296531036</v>
      </c>
      <c r="AM44" s="34" t="n">
        <v>0.0256215399437068</v>
      </c>
      <c r="AN44" s="34" t="n">
        <v>0.0282449036943514</v>
      </c>
      <c r="AO44" s="34" t="n">
        <v>0.019002558785598</v>
      </c>
      <c r="AP44" s="34" t="n">
        <v>1.33216489145892</v>
      </c>
      <c r="AQ44" s="34" t="n">
        <v>0.0852162633264256</v>
      </c>
      <c r="AR44" s="34" t="n">
        <v>0.018973065051075</v>
      </c>
      <c r="AS44" s="34" t="n">
        <v>0.020025770664585</v>
      </c>
      <c r="AT44" s="34" t="n">
        <v>0.0333663633665748</v>
      </c>
      <c r="AU44" s="34" t="n">
        <v>0.0149300033480104</v>
      </c>
      <c r="AV44" s="34" t="n">
        <v>0.0137142987800854</v>
      </c>
      <c r="AW44" s="34" t="n">
        <v>0.0101882032738306</v>
      </c>
      <c r="AX44" s="34" t="n">
        <v>0.0195544615008976</v>
      </c>
      <c r="AY44" s="34" t="n">
        <v>0.0719841467833006</v>
      </c>
      <c r="AZ44" s="34" t="n">
        <v>0.0207575057602189</v>
      </c>
      <c r="BA44" s="34" t="n">
        <v>0.0337848270503843</v>
      </c>
      <c r="BB44" s="34" t="n">
        <v>0.0314400991719449</v>
      </c>
      <c r="BC44" s="34" t="n">
        <v>0.0385308114162198</v>
      </c>
      <c r="BD44" s="34" t="n">
        <v>0.0121779354353473</v>
      </c>
      <c r="BE44" s="34" t="n">
        <v>0.0117748781117917</v>
      </c>
      <c r="BF44" s="34" t="n">
        <v>0.00252016627851111</v>
      </c>
      <c r="BG44" s="34" t="n">
        <v>0.0136216044129312</v>
      </c>
      <c r="BH44" s="34" t="n">
        <v>0.0107757398793296</v>
      </c>
      <c r="BI44" s="34" t="n">
        <v>0.0201762289752433</v>
      </c>
      <c r="BJ44" s="34" t="n">
        <v>0.0111191671340204</v>
      </c>
      <c r="BK44" s="34" t="n">
        <v>0.0407825747585668</v>
      </c>
      <c r="BL44" s="34" t="n">
        <v>0.00679765128829249</v>
      </c>
      <c r="BM44" s="34" t="n">
        <v>0.014743770787957</v>
      </c>
      <c r="BN44" s="34" t="n">
        <v>0.0144153774376122</v>
      </c>
      <c r="BO44" s="34" t="n">
        <v>0.0355302566628191</v>
      </c>
      <c r="BP44" s="34" t="n">
        <v>0.0181548375678942</v>
      </c>
      <c r="BQ44" s="34" t="n">
        <v>0.0199239401522245</v>
      </c>
      <c r="BR44" s="34" t="n">
        <v>0.0325894180634636</v>
      </c>
      <c r="BS44" s="34" t="n">
        <v>0.0393729838693628</v>
      </c>
      <c r="BT44" s="34" t="n">
        <v>0</v>
      </c>
    </row>
    <row r="45" customFormat="false" ht="11.25" hidden="false" customHeight="true" outlineLevel="0" collapsed="false">
      <c r="B45" s="19" t="s">
        <v>141</v>
      </c>
      <c r="C45" s="20" t="s">
        <v>142</v>
      </c>
      <c r="D45" s="19" t="n">
        <v>39</v>
      </c>
      <c r="E45" s="33" t="n">
        <v>0.00188689371377858</v>
      </c>
      <c r="F45" s="33" t="n">
        <v>0.00172243932561566</v>
      </c>
      <c r="G45" s="33" t="n">
        <v>0.000810629294741473</v>
      </c>
      <c r="H45" s="33" t="n">
        <v>0.00497092361340113</v>
      </c>
      <c r="I45" s="33" t="n">
        <v>0.00261951147991956</v>
      </c>
      <c r="J45" s="33" t="n">
        <v>0.00345293663168253</v>
      </c>
      <c r="K45" s="33" t="n">
        <v>0.00678944713936612</v>
      </c>
      <c r="L45" s="33" t="n">
        <v>0.00572311978614774</v>
      </c>
      <c r="M45" s="33" t="n">
        <v>0.00396743661704022</v>
      </c>
      <c r="N45" s="33" t="n">
        <v>0.00598124242386138</v>
      </c>
      <c r="O45" s="33" t="n">
        <v>0.00825656387237657</v>
      </c>
      <c r="P45" s="33" t="n">
        <v>0.00345785394333103</v>
      </c>
      <c r="Q45" s="33" t="n">
        <v>0.00572074562855745</v>
      </c>
      <c r="R45" s="33" t="n">
        <v>0.00347876762626216</v>
      </c>
      <c r="S45" s="33" t="n">
        <v>0.00541044583084598</v>
      </c>
      <c r="T45" s="33" t="n">
        <v>0.00775552344735256</v>
      </c>
      <c r="U45" s="33" t="n">
        <v>0.00977573569242906</v>
      </c>
      <c r="V45" s="33" t="n">
        <v>0.00415651862215838</v>
      </c>
      <c r="W45" s="33" t="n">
        <v>0.00280087775549108</v>
      </c>
      <c r="X45" s="33" t="n">
        <v>0.00404707381841051</v>
      </c>
      <c r="Y45" s="33" t="n">
        <v>0.00735127826551607</v>
      </c>
      <c r="Z45" s="33" t="n">
        <v>0.00941394934911289</v>
      </c>
      <c r="AA45" s="33" t="n">
        <v>0.0070614721881317</v>
      </c>
      <c r="AB45" s="33" t="n">
        <v>0.00548464944435935</v>
      </c>
      <c r="AC45" s="33" t="n">
        <v>0.0100794117068717</v>
      </c>
      <c r="AD45" s="33" t="n">
        <v>0.0121498725646435</v>
      </c>
      <c r="AE45" s="33" t="n">
        <v>0.0449046346461966</v>
      </c>
      <c r="AF45" s="33" t="n">
        <v>0.0444293354801612</v>
      </c>
      <c r="AG45" s="33" t="n">
        <v>0.0146062768325255</v>
      </c>
      <c r="AH45" s="33" t="n">
        <v>0.00372985076258323</v>
      </c>
      <c r="AI45" s="33" t="n">
        <v>0.0114572359308985</v>
      </c>
      <c r="AJ45" s="33" t="n">
        <v>0.0101060291819213</v>
      </c>
      <c r="AK45" s="33" t="n">
        <v>0.00773797915771792</v>
      </c>
      <c r="AL45" s="33" t="n">
        <v>0.0127662494616903</v>
      </c>
      <c r="AM45" s="33" t="n">
        <v>0.00871663840833529</v>
      </c>
      <c r="AN45" s="33" t="n">
        <v>0.00624803697485161</v>
      </c>
      <c r="AO45" s="33" t="n">
        <v>0.00542604297436297</v>
      </c>
      <c r="AP45" s="33" t="n">
        <v>0.00209823452863834</v>
      </c>
      <c r="AQ45" s="33" t="n">
        <v>1.00934043247964</v>
      </c>
      <c r="AR45" s="33" t="n">
        <v>0.00526950506330471</v>
      </c>
      <c r="AS45" s="33" t="n">
        <v>0.00508954767472893</v>
      </c>
      <c r="AT45" s="33" t="n">
        <v>0.00596725152101617</v>
      </c>
      <c r="AU45" s="33" t="n">
        <v>0.00379346365632931</v>
      </c>
      <c r="AV45" s="33" t="n">
        <v>0.00373731396021347</v>
      </c>
      <c r="AW45" s="33" t="n">
        <v>0.00292213361597823</v>
      </c>
      <c r="AX45" s="33" t="n">
        <v>0.00710849288336649</v>
      </c>
      <c r="AY45" s="33" t="n">
        <v>0.0159735604163352</v>
      </c>
      <c r="AZ45" s="33" t="n">
        <v>0.00630541023896528</v>
      </c>
      <c r="BA45" s="33" t="n">
        <v>0.00648391258953997</v>
      </c>
      <c r="BB45" s="33" t="n">
        <v>0.00543239674834877</v>
      </c>
      <c r="BC45" s="33" t="n">
        <v>0.00609407052465356</v>
      </c>
      <c r="BD45" s="33" t="n">
        <v>0.00289051416458611</v>
      </c>
      <c r="BE45" s="33" t="n">
        <v>0.00273963926855174</v>
      </c>
      <c r="BF45" s="33" t="n">
        <v>0.000837189140683725</v>
      </c>
      <c r="BG45" s="33" t="n">
        <v>0.00444250331366091</v>
      </c>
      <c r="BH45" s="33" t="n">
        <v>0.00250864000994328</v>
      </c>
      <c r="BI45" s="33" t="n">
        <v>0.00360865157788274</v>
      </c>
      <c r="BJ45" s="33" t="n">
        <v>0.00315911135771682</v>
      </c>
      <c r="BK45" s="33" t="n">
        <v>0.0207972970509413</v>
      </c>
      <c r="BL45" s="33" t="n">
        <v>0.00196203921067974</v>
      </c>
      <c r="BM45" s="33" t="n">
        <v>0.0151025061911522</v>
      </c>
      <c r="BN45" s="33" t="n">
        <v>0.00690298411900459</v>
      </c>
      <c r="BO45" s="33" t="n">
        <v>0.00433628223152624</v>
      </c>
      <c r="BP45" s="33" t="n">
        <v>0.0101805244862614</v>
      </c>
      <c r="BQ45" s="33" t="n">
        <v>0.0104832484846253</v>
      </c>
      <c r="BR45" s="33" t="n">
        <v>0.00465479275772248</v>
      </c>
      <c r="BS45" s="33" t="n">
        <v>0.0164696913678068</v>
      </c>
      <c r="BT45" s="33" t="n">
        <v>0</v>
      </c>
    </row>
    <row r="46" customFormat="false" ht="11.25" hidden="false" customHeight="true" outlineLevel="0" collapsed="false">
      <c r="B46" s="24" t="s">
        <v>143</v>
      </c>
      <c r="C46" s="25" t="s">
        <v>144</v>
      </c>
      <c r="D46" s="24" t="n">
        <v>40</v>
      </c>
      <c r="E46" s="34" t="n">
        <v>0.00208617038135558</v>
      </c>
      <c r="F46" s="34" t="n">
        <v>0.00315547057008867</v>
      </c>
      <c r="G46" s="34" t="n">
        <v>0.0013216651418045</v>
      </c>
      <c r="H46" s="34" t="n">
        <v>0.00376956144625733</v>
      </c>
      <c r="I46" s="34" t="n">
        <v>0.0212101979258093</v>
      </c>
      <c r="J46" s="34" t="n">
        <v>0.0203764197291227</v>
      </c>
      <c r="K46" s="34" t="n">
        <v>0.0277919236869741</v>
      </c>
      <c r="L46" s="34" t="n">
        <v>0.00551717108245089</v>
      </c>
      <c r="M46" s="34" t="n">
        <v>0.00397960530446492</v>
      </c>
      <c r="N46" s="34" t="n">
        <v>0.00495414038335149</v>
      </c>
      <c r="O46" s="34" t="n">
        <v>0.00435296900008474</v>
      </c>
      <c r="P46" s="34" t="n">
        <v>0.00355489522662301</v>
      </c>
      <c r="Q46" s="34" t="n">
        <v>0.00484568897177499</v>
      </c>
      <c r="R46" s="34" t="n">
        <v>0.00318145730433672</v>
      </c>
      <c r="S46" s="34" t="n">
        <v>0.00453348679568676</v>
      </c>
      <c r="T46" s="34" t="n">
        <v>0.00305784142927974</v>
      </c>
      <c r="U46" s="34" t="n">
        <v>0.00623568343459468</v>
      </c>
      <c r="V46" s="34" t="n">
        <v>0.00474915567298062</v>
      </c>
      <c r="W46" s="34" t="n">
        <v>0.00949256629632589</v>
      </c>
      <c r="X46" s="34" t="n">
        <v>0.00474397208647189</v>
      </c>
      <c r="Y46" s="34" t="n">
        <v>0.00530698138193718</v>
      </c>
      <c r="Z46" s="34" t="n">
        <v>0.00581577800298662</v>
      </c>
      <c r="AA46" s="34" t="n">
        <v>0.00400301898926656</v>
      </c>
      <c r="AB46" s="34" t="n">
        <v>0.00484249152068088</v>
      </c>
      <c r="AC46" s="34" t="n">
        <v>0.00485927493462002</v>
      </c>
      <c r="AD46" s="34" t="n">
        <v>0.00529412944507481</v>
      </c>
      <c r="AE46" s="34" t="n">
        <v>0.0128839294767461</v>
      </c>
      <c r="AF46" s="34" t="n">
        <v>0.0409936919509417</v>
      </c>
      <c r="AG46" s="34" t="n">
        <v>0.00682319456213122</v>
      </c>
      <c r="AH46" s="34" t="n">
        <v>0.0044582423921091</v>
      </c>
      <c r="AI46" s="34" t="n">
        <v>0.00885117941987619</v>
      </c>
      <c r="AJ46" s="34" t="n">
        <v>0.0070369768075343</v>
      </c>
      <c r="AK46" s="34" t="n">
        <v>0.00659443412964564</v>
      </c>
      <c r="AL46" s="34" t="n">
        <v>0.00712932693673632</v>
      </c>
      <c r="AM46" s="34" t="n">
        <v>0.0133123905291847</v>
      </c>
      <c r="AN46" s="34" t="n">
        <v>0.00438615558190387</v>
      </c>
      <c r="AO46" s="34" t="n">
        <v>0.00386763368177065</v>
      </c>
      <c r="AP46" s="34" t="n">
        <v>0.0031763301092861</v>
      </c>
      <c r="AQ46" s="34" t="n">
        <v>0.0939173592317555</v>
      </c>
      <c r="AR46" s="34" t="n">
        <v>1.11073886164769</v>
      </c>
      <c r="AS46" s="34" t="n">
        <v>0.00751305259269912</v>
      </c>
      <c r="AT46" s="34" t="n">
        <v>0.00504411938257588</v>
      </c>
      <c r="AU46" s="34" t="n">
        <v>0.00620189989319155</v>
      </c>
      <c r="AV46" s="34" t="n">
        <v>0.00683069653659555</v>
      </c>
      <c r="AW46" s="34" t="n">
        <v>0.00552927177452814</v>
      </c>
      <c r="AX46" s="34" t="n">
        <v>0.0173673435489918</v>
      </c>
      <c r="AY46" s="34" t="n">
        <v>0.0177129458457076</v>
      </c>
      <c r="AZ46" s="34" t="n">
        <v>0.00432317634648446</v>
      </c>
      <c r="BA46" s="34" t="n">
        <v>0.0062480148648117</v>
      </c>
      <c r="BB46" s="34" t="n">
        <v>0.0138692576390347</v>
      </c>
      <c r="BC46" s="34" t="n">
        <v>0.0380037384035366</v>
      </c>
      <c r="BD46" s="34" t="n">
        <v>0.0124488904621829</v>
      </c>
      <c r="BE46" s="34" t="n">
        <v>0.00675699349970688</v>
      </c>
      <c r="BF46" s="34" t="n">
        <v>0.00438281041785044</v>
      </c>
      <c r="BG46" s="34" t="n">
        <v>0.00468972286219708</v>
      </c>
      <c r="BH46" s="34" t="n">
        <v>0.0140711183736354</v>
      </c>
      <c r="BI46" s="34" t="n">
        <v>0.00765538609402599</v>
      </c>
      <c r="BJ46" s="34" t="n">
        <v>0.00853748067698285</v>
      </c>
      <c r="BK46" s="34" t="n">
        <v>0.0177272366876994</v>
      </c>
      <c r="BL46" s="34" t="n">
        <v>0.00204640824708866</v>
      </c>
      <c r="BM46" s="34" t="n">
        <v>0.0237959713399528</v>
      </c>
      <c r="BN46" s="34" t="n">
        <v>0.00717653486165984</v>
      </c>
      <c r="BO46" s="34" t="n">
        <v>0.00892612248039354</v>
      </c>
      <c r="BP46" s="34" t="n">
        <v>0.024179963993362</v>
      </c>
      <c r="BQ46" s="34" t="n">
        <v>0.00288664762150569</v>
      </c>
      <c r="BR46" s="34" t="n">
        <v>0.00691972705407457</v>
      </c>
      <c r="BS46" s="34" t="n">
        <v>0.00932109274129941</v>
      </c>
      <c r="BT46" s="34" t="n">
        <v>0</v>
      </c>
    </row>
    <row r="47" customFormat="false" ht="11.25" hidden="false" customHeight="true" outlineLevel="0" collapsed="false">
      <c r="B47" s="19" t="s">
        <v>145</v>
      </c>
      <c r="C47" s="20" t="s">
        <v>146</v>
      </c>
      <c r="D47" s="19" t="n">
        <v>41</v>
      </c>
      <c r="E47" s="33" t="n">
        <v>0.00518663479450898</v>
      </c>
      <c r="F47" s="33" t="n">
        <v>0.00420945635257004</v>
      </c>
      <c r="G47" s="33" t="n">
        <v>0.00470904938245472</v>
      </c>
      <c r="H47" s="33" t="n">
        <v>0.0152965395818544</v>
      </c>
      <c r="I47" s="33" t="n">
        <v>0.00739176399014193</v>
      </c>
      <c r="J47" s="33" t="n">
        <v>0.028381482838932</v>
      </c>
      <c r="K47" s="33" t="n">
        <v>0.0229632367909332</v>
      </c>
      <c r="L47" s="33" t="n">
        <v>0.0126769976283459</v>
      </c>
      <c r="M47" s="33" t="n">
        <v>0.00908689677801406</v>
      </c>
      <c r="N47" s="33" t="n">
        <v>0.0123229605474816</v>
      </c>
      <c r="O47" s="33" t="n">
        <v>0.00922531852810733</v>
      </c>
      <c r="P47" s="33" t="n">
        <v>0.00717770543531144</v>
      </c>
      <c r="Q47" s="33" t="n">
        <v>0.0087163859622813</v>
      </c>
      <c r="R47" s="33" t="n">
        <v>0.00586266914043447</v>
      </c>
      <c r="S47" s="33" t="n">
        <v>0.0107045221300213</v>
      </c>
      <c r="T47" s="33" t="n">
        <v>0.00692606800509906</v>
      </c>
      <c r="U47" s="33" t="n">
        <v>0.0122007558241652</v>
      </c>
      <c r="V47" s="33" t="n">
        <v>0.00606509168667214</v>
      </c>
      <c r="W47" s="33" t="n">
        <v>0.00512037735711596</v>
      </c>
      <c r="X47" s="33" t="n">
        <v>0.00868009110818647</v>
      </c>
      <c r="Y47" s="33" t="n">
        <v>0.00800269390697129</v>
      </c>
      <c r="Z47" s="33" t="n">
        <v>0.0111468315289105</v>
      </c>
      <c r="AA47" s="33" t="n">
        <v>0.00768943119559589</v>
      </c>
      <c r="AB47" s="33" t="n">
        <v>0.0122812146417654</v>
      </c>
      <c r="AC47" s="33" t="n">
        <v>0.0142327694629486</v>
      </c>
      <c r="AD47" s="33" t="n">
        <v>0.0172353887278401</v>
      </c>
      <c r="AE47" s="33" t="n">
        <v>0.015215442149463</v>
      </c>
      <c r="AF47" s="33" t="n">
        <v>0.0135714254909199</v>
      </c>
      <c r="AG47" s="33" t="n">
        <v>0.00966840984423246</v>
      </c>
      <c r="AH47" s="33" t="n">
        <v>0.0130199853031158</v>
      </c>
      <c r="AI47" s="33" t="n">
        <v>0.0108191493434775</v>
      </c>
      <c r="AJ47" s="33" t="n">
        <v>0.055175035329605</v>
      </c>
      <c r="AK47" s="33" t="n">
        <v>0.0127075919134033</v>
      </c>
      <c r="AL47" s="33" t="n">
        <v>0.00713139403761334</v>
      </c>
      <c r="AM47" s="33" t="n">
        <v>0.00679979576045384</v>
      </c>
      <c r="AN47" s="33" t="n">
        <v>0.00760951935093757</v>
      </c>
      <c r="AO47" s="33" t="n">
        <v>0.011407984468528</v>
      </c>
      <c r="AP47" s="33" t="n">
        <v>0.00627476545300215</v>
      </c>
      <c r="AQ47" s="33" t="n">
        <v>0.0284419932127251</v>
      </c>
      <c r="AR47" s="33" t="n">
        <v>0.00733275363095874</v>
      </c>
      <c r="AS47" s="33" t="n">
        <v>1.02556672302493</v>
      </c>
      <c r="AT47" s="33" t="n">
        <v>0.0136751150380189</v>
      </c>
      <c r="AU47" s="33" t="n">
        <v>0.0574050260193732</v>
      </c>
      <c r="AV47" s="33" t="n">
        <v>0.00929441638421798</v>
      </c>
      <c r="AW47" s="33" t="n">
        <v>0.00687541601228267</v>
      </c>
      <c r="AX47" s="33" t="n">
        <v>0.0146166505673895</v>
      </c>
      <c r="AY47" s="33" t="n">
        <v>0.00293548363587723</v>
      </c>
      <c r="AZ47" s="33" t="n">
        <v>0.00463326014181668</v>
      </c>
      <c r="BA47" s="33" t="n">
        <v>0.0112958242704962</v>
      </c>
      <c r="BB47" s="33" t="n">
        <v>0.0108188568547215</v>
      </c>
      <c r="BC47" s="33" t="n">
        <v>0.00931302690584873</v>
      </c>
      <c r="BD47" s="33" t="n">
        <v>0.00284406215573657</v>
      </c>
      <c r="BE47" s="33" t="n">
        <v>0.00236999331377846</v>
      </c>
      <c r="BF47" s="33" t="n">
        <v>0.000447351629967386</v>
      </c>
      <c r="BG47" s="33" t="n">
        <v>0.00240232869166648</v>
      </c>
      <c r="BH47" s="33" t="n">
        <v>0.00644140033462766</v>
      </c>
      <c r="BI47" s="33" t="n">
        <v>0.00638452153087808</v>
      </c>
      <c r="BJ47" s="33" t="n">
        <v>0.04755648840053</v>
      </c>
      <c r="BK47" s="33" t="n">
        <v>0.00392649124285948</v>
      </c>
      <c r="BL47" s="33" t="n">
        <v>0.01134058752451</v>
      </c>
      <c r="BM47" s="33" t="n">
        <v>0.00762750238110565</v>
      </c>
      <c r="BN47" s="33" t="n">
        <v>0.00405807282540924</v>
      </c>
      <c r="BO47" s="33" t="n">
        <v>0.00314503602964436</v>
      </c>
      <c r="BP47" s="33" t="n">
        <v>0.0149804567010855</v>
      </c>
      <c r="BQ47" s="33" t="n">
        <v>0.0113256453016771</v>
      </c>
      <c r="BR47" s="33" t="n">
        <v>0.00526086644508913</v>
      </c>
      <c r="BS47" s="33" t="n">
        <v>0.00415266845558287</v>
      </c>
      <c r="BT47" s="33" t="n">
        <v>0</v>
      </c>
    </row>
    <row r="48" customFormat="false" ht="11.25" hidden="false" customHeight="true" outlineLevel="0" collapsed="false">
      <c r="B48" s="24" t="s">
        <v>147</v>
      </c>
      <c r="C48" s="25" t="s">
        <v>148</v>
      </c>
      <c r="D48" s="24" t="n">
        <v>42</v>
      </c>
      <c r="E48" s="34" t="n">
        <v>0.060980179138996</v>
      </c>
      <c r="F48" s="34" t="n">
        <v>0.0794775974902232</v>
      </c>
      <c r="G48" s="34" t="n">
        <v>0.0231294114701027</v>
      </c>
      <c r="H48" s="34" t="n">
        <v>0.118760983797295</v>
      </c>
      <c r="I48" s="34" t="n">
        <v>0.0528787145713902</v>
      </c>
      <c r="J48" s="34" t="n">
        <v>0.0591381892599877</v>
      </c>
      <c r="K48" s="34" t="n">
        <v>0.135988518828451</v>
      </c>
      <c r="L48" s="34" t="n">
        <v>0.574926281797022</v>
      </c>
      <c r="M48" s="34" t="n">
        <v>0.180880925200164</v>
      </c>
      <c r="N48" s="34" t="n">
        <v>0.420525820991559</v>
      </c>
      <c r="O48" s="34" t="n">
        <v>0.145861957803596</v>
      </c>
      <c r="P48" s="34" t="n">
        <v>0.331656528340168</v>
      </c>
      <c r="Q48" s="34" t="n">
        <v>0.374860866569272</v>
      </c>
      <c r="R48" s="34" t="n">
        <v>0.300873808651568</v>
      </c>
      <c r="S48" s="34" t="n">
        <v>0.563792436009579</v>
      </c>
      <c r="T48" s="34" t="n">
        <v>0.212441695593843</v>
      </c>
      <c r="U48" s="34" t="n">
        <v>0.540832065045017</v>
      </c>
      <c r="V48" s="34" t="n">
        <v>0.18745625873921</v>
      </c>
      <c r="W48" s="34" t="n">
        <v>0.0956125948419355</v>
      </c>
      <c r="X48" s="34" t="n">
        <v>0.272773169197237</v>
      </c>
      <c r="Y48" s="34" t="n">
        <v>0.20502049383861</v>
      </c>
      <c r="Z48" s="34" t="n">
        <v>0.445593349272671</v>
      </c>
      <c r="AA48" s="34" t="n">
        <v>0.170976429049063</v>
      </c>
      <c r="AB48" s="34" t="n">
        <v>0.456542254184602</v>
      </c>
      <c r="AC48" s="34" t="n">
        <v>0.391176614827803</v>
      </c>
      <c r="AD48" s="34" t="n">
        <v>0.313069273261332</v>
      </c>
      <c r="AE48" s="34" t="n">
        <v>0.345283376305536</v>
      </c>
      <c r="AF48" s="34" t="n">
        <v>0.269446490471792</v>
      </c>
      <c r="AG48" s="34" t="n">
        <v>0.348660251839152</v>
      </c>
      <c r="AH48" s="34" t="n">
        <v>0.252410071316516</v>
      </c>
      <c r="AI48" s="34" t="n">
        <v>0.369752860362434</v>
      </c>
      <c r="AJ48" s="34" t="n">
        <v>0.4717477775085</v>
      </c>
      <c r="AK48" s="34" t="n">
        <v>0.116652761763393</v>
      </c>
      <c r="AL48" s="34" t="n">
        <v>0.131210028685644</v>
      </c>
      <c r="AM48" s="34" t="n">
        <v>0.16735193297341</v>
      </c>
      <c r="AN48" s="34" t="n">
        <v>0.244001839824744</v>
      </c>
      <c r="AO48" s="34" t="n">
        <v>0.128566338155341</v>
      </c>
      <c r="AP48" s="34" t="n">
        <v>0.0370211749918464</v>
      </c>
      <c r="AQ48" s="34" t="n">
        <v>0.0492102916732099</v>
      </c>
      <c r="AR48" s="34" t="n">
        <v>0.0960114127417724</v>
      </c>
      <c r="AS48" s="34" t="n">
        <v>0.0458871982845879</v>
      </c>
      <c r="AT48" s="34" t="n">
        <v>1.14419481969932</v>
      </c>
      <c r="AU48" s="34" t="n">
        <v>0.0508731436691307</v>
      </c>
      <c r="AV48" s="34" t="n">
        <v>0.0536163874784736</v>
      </c>
      <c r="AW48" s="34" t="n">
        <v>0.0505599275869964</v>
      </c>
      <c r="AX48" s="34" t="n">
        <v>0.0363996740692456</v>
      </c>
      <c r="AY48" s="34" t="n">
        <v>0.0566734927071095</v>
      </c>
      <c r="AZ48" s="34" t="n">
        <v>0.0879537947693651</v>
      </c>
      <c r="BA48" s="34" t="n">
        <v>0.528936538265487</v>
      </c>
      <c r="BB48" s="34" t="n">
        <v>0.356120627936389</v>
      </c>
      <c r="BC48" s="34" t="n">
        <v>0.523000295173889</v>
      </c>
      <c r="BD48" s="34" t="n">
        <v>0.0876385608680168</v>
      </c>
      <c r="BE48" s="34" t="n">
        <v>0.0388891642127625</v>
      </c>
      <c r="BF48" s="34" t="n">
        <v>0.00728738127376975</v>
      </c>
      <c r="BG48" s="34" t="n">
        <v>0.0785942357755307</v>
      </c>
      <c r="BH48" s="34" t="n">
        <v>0.0453661102226801</v>
      </c>
      <c r="BI48" s="34" t="n">
        <v>0.211243938064439</v>
      </c>
      <c r="BJ48" s="34" t="n">
        <v>0.0407898685061765</v>
      </c>
      <c r="BK48" s="34" t="n">
        <v>0.0732715992213351</v>
      </c>
      <c r="BL48" s="34" t="n">
        <v>0.0434313118441466</v>
      </c>
      <c r="BM48" s="34" t="n">
        <v>0.0258112236132443</v>
      </c>
      <c r="BN48" s="34" t="n">
        <v>0.0298132939438575</v>
      </c>
      <c r="BO48" s="34" t="n">
        <v>0.0498070533375511</v>
      </c>
      <c r="BP48" s="34" t="n">
        <v>0.0448820895470676</v>
      </c>
      <c r="BQ48" s="34" t="n">
        <v>0.0534842099734383</v>
      </c>
      <c r="BR48" s="34" t="n">
        <v>0.0450108179847706</v>
      </c>
      <c r="BS48" s="34" t="n">
        <v>0.0526214005799846</v>
      </c>
      <c r="BT48" s="34" t="n">
        <v>0</v>
      </c>
    </row>
    <row r="49" customFormat="false" ht="11.25" hidden="false" customHeight="true" outlineLevel="0" collapsed="false">
      <c r="B49" s="19" t="s">
        <v>149</v>
      </c>
      <c r="C49" s="20" t="s">
        <v>150</v>
      </c>
      <c r="D49" s="19" t="n">
        <v>43</v>
      </c>
      <c r="E49" s="33" t="n">
        <v>0.0458527778175374</v>
      </c>
      <c r="F49" s="33" t="n">
        <v>0.03461205320336</v>
      </c>
      <c r="G49" s="33" t="n">
        <v>0.0398429680173435</v>
      </c>
      <c r="H49" s="33" t="n">
        <v>0.0854896768961701</v>
      </c>
      <c r="I49" s="33" t="n">
        <v>0.0525355932462649</v>
      </c>
      <c r="J49" s="33" t="n">
        <v>0.0647096876799938</v>
      </c>
      <c r="K49" s="33" t="n">
        <v>0.0869006461050947</v>
      </c>
      <c r="L49" s="33" t="n">
        <v>0.123068381166831</v>
      </c>
      <c r="M49" s="33" t="n">
        <v>0.104006743210804</v>
      </c>
      <c r="N49" s="33" t="n">
        <v>0.136932320129198</v>
      </c>
      <c r="O49" s="33" t="n">
        <v>0.100043043703987</v>
      </c>
      <c r="P49" s="33" t="n">
        <v>0.0606516273437885</v>
      </c>
      <c r="Q49" s="33" t="n">
        <v>0.0819684426535448</v>
      </c>
      <c r="R49" s="33" t="n">
        <v>0.050847670699519</v>
      </c>
      <c r="S49" s="33" t="n">
        <v>0.0935851522856509</v>
      </c>
      <c r="T49" s="33" t="n">
        <v>0.0745594304445983</v>
      </c>
      <c r="U49" s="33" t="n">
        <v>0.111181820648288</v>
      </c>
      <c r="V49" s="33" t="n">
        <v>0.050893342408183</v>
      </c>
      <c r="W49" s="33" t="n">
        <v>0.0454541109945699</v>
      </c>
      <c r="X49" s="33" t="n">
        <v>0.0833669441554514</v>
      </c>
      <c r="Y49" s="33" t="n">
        <v>0.0921737964522321</v>
      </c>
      <c r="Z49" s="33" t="n">
        <v>0.104445102573549</v>
      </c>
      <c r="AA49" s="33" t="n">
        <v>0.0951730447679875</v>
      </c>
      <c r="AB49" s="33" t="n">
        <v>0.112024404884943</v>
      </c>
      <c r="AC49" s="33" t="n">
        <v>0.0900438738636583</v>
      </c>
      <c r="AD49" s="33" t="n">
        <v>0.0861221918861917</v>
      </c>
      <c r="AE49" s="33" t="n">
        <v>0.108909186887212</v>
      </c>
      <c r="AF49" s="33" t="n">
        <v>0.0611602135367564</v>
      </c>
      <c r="AG49" s="33" t="n">
        <v>0.0817213023093698</v>
      </c>
      <c r="AH49" s="33" t="n">
        <v>0.0551375294159764</v>
      </c>
      <c r="AI49" s="33" t="n">
        <v>0.0753280876849555</v>
      </c>
      <c r="AJ49" s="33" t="n">
        <v>0.0751753769450931</v>
      </c>
      <c r="AK49" s="33" t="n">
        <v>0.0721534611623033</v>
      </c>
      <c r="AL49" s="33" t="n">
        <v>0.0595804700145248</v>
      </c>
      <c r="AM49" s="33" t="n">
        <v>0.0562162663587656</v>
      </c>
      <c r="AN49" s="33" t="n">
        <v>0.0623214547756912</v>
      </c>
      <c r="AO49" s="33" t="n">
        <v>0.02809109956161</v>
      </c>
      <c r="AP49" s="33" t="n">
        <v>0.0315071403278095</v>
      </c>
      <c r="AQ49" s="33" t="n">
        <v>0.0228818256601505</v>
      </c>
      <c r="AR49" s="33" t="n">
        <v>0.0315660992326554</v>
      </c>
      <c r="AS49" s="33" t="n">
        <v>0.0281480135102791</v>
      </c>
      <c r="AT49" s="33" t="n">
        <v>0.0754980104065672</v>
      </c>
      <c r="AU49" s="33" t="n">
        <v>1.18053788422587</v>
      </c>
      <c r="AV49" s="33" t="n">
        <v>0.0504992843598373</v>
      </c>
      <c r="AW49" s="33" t="n">
        <v>0.0278527122651863</v>
      </c>
      <c r="AX49" s="33" t="n">
        <v>0.0787690321958833</v>
      </c>
      <c r="AY49" s="33" t="n">
        <v>0.0195717644242738</v>
      </c>
      <c r="AZ49" s="33" t="n">
        <v>0.0354195393880211</v>
      </c>
      <c r="BA49" s="33" t="n">
        <v>0.0848284638153186</v>
      </c>
      <c r="BB49" s="33" t="n">
        <v>0.0479632046051292</v>
      </c>
      <c r="BC49" s="33" t="n">
        <v>0.0481142343172021</v>
      </c>
      <c r="BD49" s="33" t="n">
        <v>0.0162892333719341</v>
      </c>
      <c r="BE49" s="33" t="n">
        <v>0.0131364416962215</v>
      </c>
      <c r="BF49" s="33" t="n">
        <v>0.00223946657697668</v>
      </c>
      <c r="BG49" s="33" t="n">
        <v>0.0188353160396729</v>
      </c>
      <c r="BH49" s="33" t="n">
        <v>0.0275854757447821</v>
      </c>
      <c r="BI49" s="33" t="n">
        <v>0.0326171731335193</v>
      </c>
      <c r="BJ49" s="33" t="n">
        <v>0.0281127807120128</v>
      </c>
      <c r="BK49" s="33" t="n">
        <v>0.0152919448442551</v>
      </c>
      <c r="BL49" s="33" t="n">
        <v>0.0108117689492313</v>
      </c>
      <c r="BM49" s="33" t="n">
        <v>0.0117215174112163</v>
      </c>
      <c r="BN49" s="33" t="n">
        <v>0.0130183585547579</v>
      </c>
      <c r="BO49" s="33" t="n">
        <v>0.0252108577457874</v>
      </c>
      <c r="BP49" s="33" t="n">
        <v>0.0187227249429508</v>
      </c>
      <c r="BQ49" s="33" t="n">
        <v>0.0130416377130713</v>
      </c>
      <c r="BR49" s="33" t="n">
        <v>0.0178708947123518</v>
      </c>
      <c r="BS49" s="33" t="n">
        <v>0.0356724417008852</v>
      </c>
      <c r="BT49" s="33" t="n">
        <v>0</v>
      </c>
    </row>
    <row r="50" customFormat="false" ht="11.25" hidden="false" customHeight="true" outlineLevel="0" collapsed="false">
      <c r="B50" s="24" t="s">
        <v>151</v>
      </c>
      <c r="C50" s="25" t="s">
        <v>152</v>
      </c>
      <c r="D50" s="24" t="n">
        <v>44</v>
      </c>
      <c r="E50" s="34" t="n">
        <v>0.00146509052958439</v>
      </c>
      <c r="F50" s="34" t="n">
        <v>0.00113887729605844</v>
      </c>
      <c r="G50" s="34" t="n">
        <v>0.000563637820756162</v>
      </c>
      <c r="H50" s="34" t="n">
        <v>0.00138905659554874</v>
      </c>
      <c r="I50" s="34" t="n">
        <v>0.0226961748062097</v>
      </c>
      <c r="J50" s="34" t="n">
        <v>0.00085818497739755</v>
      </c>
      <c r="K50" s="34" t="n">
        <v>0.00225856633291196</v>
      </c>
      <c r="L50" s="34" t="n">
        <v>0.0058856810078513</v>
      </c>
      <c r="M50" s="34" t="n">
        <v>0.0028537192755644</v>
      </c>
      <c r="N50" s="34" t="n">
        <v>0.00356949290330449</v>
      </c>
      <c r="O50" s="34" t="n">
        <v>0.00122602147538585</v>
      </c>
      <c r="P50" s="34" t="n">
        <v>0.00177193971073389</v>
      </c>
      <c r="Q50" s="34" t="n">
        <v>0.00223613096263144</v>
      </c>
      <c r="R50" s="34" t="n">
        <v>0.00124272539553303</v>
      </c>
      <c r="S50" s="34" t="n">
        <v>0.00216644731618776</v>
      </c>
      <c r="T50" s="34" t="n">
        <v>0.00449311800837573</v>
      </c>
      <c r="U50" s="34" t="n">
        <v>0.0139133389528622</v>
      </c>
      <c r="V50" s="34" t="n">
        <v>0.0024643876589183</v>
      </c>
      <c r="W50" s="34" t="n">
        <v>0.00945654834296724</v>
      </c>
      <c r="X50" s="34" t="n">
        <v>0.00187041581248789</v>
      </c>
      <c r="Y50" s="34" t="n">
        <v>0.00753241388244758</v>
      </c>
      <c r="Z50" s="34" t="n">
        <v>0.00284267880899365</v>
      </c>
      <c r="AA50" s="34" t="n">
        <v>0.00304653334227443</v>
      </c>
      <c r="AB50" s="34" t="n">
        <v>0.00156993066569387</v>
      </c>
      <c r="AC50" s="34" t="n">
        <v>0.00284248140312258</v>
      </c>
      <c r="AD50" s="34" t="n">
        <v>0.00291404976229827</v>
      </c>
      <c r="AE50" s="34" t="n">
        <v>0.00414663616562914</v>
      </c>
      <c r="AF50" s="34" t="n">
        <v>0.0019741812739542</v>
      </c>
      <c r="AG50" s="34" t="n">
        <v>0.00213098996031262</v>
      </c>
      <c r="AH50" s="34" t="n">
        <v>0.00199486323108977</v>
      </c>
      <c r="AI50" s="34" t="n">
        <v>0.00222680424031821</v>
      </c>
      <c r="AJ50" s="34" t="n">
        <v>0.00313180512463715</v>
      </c>
      <c r="AK50" s="34" t="n">
        <v>0.00211209046312272</v>
      </c>
      <c r="AL50" s="34" t="n">
        <v>0.002064874303212</v>
      </c>
      <c r="AM50" s="34" t="n">
        <v>0.00436346424394314</v>
      </c>
      <c r="AN50" s="34" t="n">
        <v>0.00153532928701002</v>
      </c>
      <c r="AO50" s="34" t="n">
        <v>0.00111999638479775</v>
      </c>
      <c r="AP50" s="34" t="n">
        <v>0.00167068556343628</v>
      </c>
      <c r="AQ50" s="34" t="n">
        <v>0.000790297203769782</v>
      </c>
      <c r="AR50" s="34" t="n">
        <v>0.00101591809414154</v>
      </c>
      <c r="AS50" s="34" t="n">
        <v>0.000638305792817747</v>
      </c>
      <c r="AT50" s="34" t="n">
        <v>0.00161446462952933</v>
      </c>
      <c r="AU50" s="34" t="n">
        <v>0.00417117572635673</v>
      </c>
      <c r="AV50" s="34" t="n">
        <v>1.05802732452044</v>
      </c>
      <c r="AW50" s="34" t="n">
        <v>0.00154751701669878</v>
      </c>
      <c r="AX50" s="34" t="n">
        <v>0.00110416948126957</v>
      </c>
      <c r="AY50" s="34" t="n">
        <v>0.0007186695388196</v>
      </c>
      <c r="AZ50" s="34" t="n">
        <v>0.000980733188681804</v>
      </c>
      <c r="BA50" s="34" t="n">
        <v>0.00205763689902342</v>
      </c>
      <c r="BB50" s="34" t="n">
        <v>0.00101746109986117</v>
      </c>
      <c r="BC50" s="34" t="n">
        <v>0.001127383599158</v>
      </c>
      <c r="BD50" s="34" t="n">
        <v>0.000507478617288244</v>
      </c>
      <c r="BE50" s="34" t="n">
        <v>0.000333738120744815</v>
      </c>
      <c r="BF50" s="34" t="n">
        <v>7.45262220459259E-005</v>
      </c>
      <c r="BG50" s="34" t="n">
        <v>0.000483035240717237</v>
      </c>
      <c r="BH50" s="34" t="n">
        <v>0.000529020286648498</v>
      </c>
      <c r="BI50" s="34" t="n">
        <v>0.000817779245178302</v>
      </c>
      <c r="BJ50" s="34" t="n">
        <v>0.000652955063378562</v>
      </c>
      <c r="BK50" s="34" t="n">
        <v>0.00146705167807481</v>
      </c>
      <c r="BL50" s="34" t="n">
        <v>0.00031993792543332</v>
      </c>
      <c r="BM50" s="34" t="n">
        <v>0.000307933282573089</v>
      </c>
      <c r="BN50" s="34" t="n">
        <v>0.000311992420909219</v>
      </c>
      <c r="BO50" s="34" t="n">
        <v>0.000517828568292968</v>
      </c>
      <c r="BP50" s="34" t="n">
        <v>0.000412703748243971</v>
      </c>
      <c r="BQ50" s="34" t="n">
        <v>0.000438014070686291</v>
      </c>
      <c r="BR50" s="34" t="n">
        <v>0.000585601431030647</v>
      </c>
      <c r="BS50" s="34" t="n">
        <v>0.000674926416730365</v>
      </c>
      <c r="BT50" s="34" t="n">
        <v>0</v>
      </c>
    </row>
    <row r="51" customFormat="false" ht="11.25" hidden="false" customHeight="true" outlineLevel="0" collapsed="false">
      <c r="B51" s="19" t="s">
        <v>153</v>
      </c>
      <c r="C51" s="20" t="s">
        <v>154</v>
      </c>
      <c r="D51" s="19" t="n">
        <v>45</v>
      </c>
      <c r="E51" s="33" t="n">
        <v>0.0013697284270493</v>
      </c>
      <c r="F51" s="33" t="n">
        <v>0.00123649447579275</v>
      </c>
      <c r="G51" s="33" t="n">
        <v>0.000750215153218399</v>
      </c>
      <c r="H51" s="33" t="n">
        <v>0.00260268889529006</v>
      </c>
      <c r="I51" s="33" t="n">
        <v>0.00880622931124432</v>
      </c>
      <c r="J51" s="33" t="n">
        <v>0.00159942747227804</v>
      </c>
      <c r="K51" s="33" t="n">
        <v>0.00426601353074699</v>
      </c>
      <c r="L51" s="33" t="n">
        <v>0.00464652693378123</v>
      </c>
      <c r="M51" s="33" t="n">
        <v>0.00247163240432801</v>
      </c>
      <c r="N51" s="33" t="n">
        <v>0.0040888817269556</v>
      </c>
      <c r="O51" s="33" t="n">
        <v>0.00300797519261667</v>
      </c>
      <c r="P51" s="33" t="n">
        <v>0.00428096913797968</v>
      </c>
      <c r="Q51" s="33" t="n">
        <v>0.00367538283906452</v>
      </c>
      <c r="R51" s="33" t="n">
        <v>0.00264870511798735</v>
      </c>
      <c r="S51" s="33" t="n">
        <v>0.00482467853471727</v>
      </c>
      <c r="T51" s="33" t="n">
        <v>0.00308035666961881</v>
      </c>
      <c r="U51" s="33" t="n">
        <v>0.00512821955706647</v>
      </c>
      <c r="V51" s="33" t="n">
        <v>0.00334754291568071</v>
      </c>
      <c r="W51" s="33" t="n">
        <v>0.00428691742053998</v>
      </c>
      <c r="X51" s="33" t="n">
        <v>0.00269611905032626</v>
      </c>
      <c r="Y51" s="33" t="n">
        <v>0.00447435365992565</v>
      </c>
      <c r="Z51" s="33" t="n">
        <v>0.00706112741749112</v>
      </c>
      <c r="AA51" s="33" t="n">
        <v>0.00288582050856672</v>
      </c>
      <c r="AB51" s="33" t="n">
        <v>0.00519457620153317</v>
      </c>
      <c r="AC51" s="33" t="n">
        <v>0.00364302967783316</v>
      </c>
      <c r="AD51" s="33" t="n">
        <v>0.00396430968296242</v>
      </c>
      <c r="AE51" s="33" t="n">
        <v>0.00394572385571425</v>
      </c>
      <c r="AF51" s="33" t="n">
        <v>0.00324671330938529</v>
      </c>
      <c r="AG51" s="33" t="n">
        <v>0.00321903185363219</v>
      </c>
      <c r="AH51" s="33" t="n">
        <v>0.00610329996471062</v>
      </c>
      <c r="AI51" s="33" t="n">
        <v>0.00505778739623821</v>
      </c>
      <c r="AJ51" s="33" t="n">
        <v>0.00472544889003756</v>
      </c>
      <c r="AK51" s="33" t="n">
        <v>0.00350298227840693</v>
      </c>
      <c r="AL51" s="33" t="n">
        <v>0.00309271882033625</v>
      </c>
      <c r="AM51" s="33" t="n">
        <v>0.00270939273581912</v>
      </c>
      <c r="AN51" s="33" t="n">
        <v>0.00260637103316302</v>
      </c>
      <c r="AO51" s="33" t="n">
        <v>0.00229834270476175</v>
      </c>
      <c r="AP51" s="33" t="n">
        <v>0.00346846054500766</v>
      </c>
      <c r="AQ51" s="33" t="n">
        <v>0.00210592844050586</v>
      </c>
      <c r="AR51" s="33" t="n">
        <v>0.00366158232001029</v>
      </c>
      <c r="AS51" s="33" t="n">
        <v>0.00252428855788959</v>
      </c>
      <c r="AT51" s="33" t="n">
        <v>0.00443888931017775</v>
      </c>
      <c r="AU51" s="33" t="n">
        <v>0.00278389252161961</v>
      </c>
      <c r="AV51" s="33" t="n">
        <v>0.00865747414793079</v>
      </c>
      <c r="AW51" s="33" t="n">
        <v>1.00261574112974</v>
      </c>
      <c r="AX51" s="33" t="n">
        <v>0.00874777840839758</v>
      </c>
      <c r="AY51" s="33" t="n">
        <v>0.00382393157621609</v>
      </c>
      <c r="AZ51" s="33" t="n">
        <v>0.00148983127372405</v>
      </c>
      <c r="BA51" s="33" t="n">
        <v>0.00459326322031512</v>
      </c>
      <c r="BB51" s="33" t="n">
        <v>0.00729126061551787</v>
      </c>
      <c r="BC51" s="33" t="n">
        <v>0.00596605693247196</v>
      </c>
      <c r="BD51" s="33" t="n">
        <v>0.00609441784485448</v>
      </c>
      <c r="BE51" s="33" t="n">
        <v>0.00594709613181708</v>
      </c>
      <c r="BF51" s="33" t="n">
        <v>0.000418314585915719</v>
      </c>
      <c r="BG51" s="33" t="n">
        <v>0.00556506673544423</v>
      </c>
      <c r="BH51" s="33" t="n">
        <v>0.00545966986778716</v>
      </c>
      <c r="BI51" s="33" t="n">
        <v>0.00895609967743926</v>
      </c>
      <c r="BJ51" s="33" t="n">
        <v>0.00300971332043193</v>
      </c>
      <c r="BK51" s="33" t="n">
        <v>0.00312321761129216</v>
      </c>
      <c r="BL51" s="33" t="n">
        <v>0.00150791928129628</v>
      </c>
      <c r="BM51" s="33" t="n">
        <v>0.00264689278350109</v>
      </c>
      <c r="BN51" s="33" t="n">
        <v>0.00169865858965188</v>
      </c>
      <c r="BO51" s="33" t="n">
        <v>0.0186360335332491</v>
      </c>
      <c r="BP51" s="33" t="n">
        <v>0.00325518646516511</v>
      </c>
      <c r="BQ51" s="33" t="n">
        <v>0.00156055698979117</v>
      </c>
      <c r="BR51" s="33" t="n">
        <v>0.00352435211643462</v>
      </c>
      <c r="BS51" s="33" t="n">
        <v>0.0602854885877096</v>
      </c>
      <c r="BT51" s="33" t="n">
        <v>0</v>
      </c>
    </row>
    <row r="52" customFormat="false" ht="11.25" hidden="false" customHeight="true" outlineLevel="0" collapsed="false">
      <c r="B52" s="24" t="s">
        <v>155</v>
      </c>
      <c r="C52" s="25" t="s">
        <v>156</v>
      </c>
      <c r="D52" s="24" t="n">
        <v>46</v>
      </c>
      <c r="E52" s="34" t="n">
        <v>0.00853468201245578</v>
      </c>
      <c r="F52" s="34" t="n">
        <v>0.00633148911430888</v>
      </c>
      <c r="G52" s="34" t="n">
        <v>0.00717436488308216</v>
      </c>
      <c r="H52" s="34" t="n">
        <v>0.0100755130442832</v>
      </c>
      <c r="I52" s="34" t="n">
        <v>0.0283431785192785</v>
      </c>
      <c r="J52" s="34" t="n">
        <v>0.0298840542443195</v>
      </c>
      <c r="K52" s="34" t="n">
        <v>0.0457546828413404</v>
      </c>
      <c r="L52" s="34" t="n">
        <v>0.0275816359744716</v>
      </c>
      <c r="M52" s="34" t="n">
        <v>0.0398574436138891</v>
      </c>
      <c r="N52" s="34" t="n">
        <v>0.0278811343057227</v>
      </c>
      <c r="O52" s="34" t="n">
        <v>0.0325923913433729</v>
      </c>
      <c r="P52" s="34" t="n">
        <v>0.012755341321407</v>
      </c>
      <c r="Q52" s="34" t="n">
        <v>0.0165960263733184</v>
      </c>
      <c r="R52" s="34" t="n">
        <v>0.0106640860820449</v>
      </c>
      <c r="S52" s="34" t="n">
        <v>0.0191554682149189</v>
      </c>
      <c r="T52" s="34" t="n">
        <v>0.015902114460834</v>
      </c>
      <c r="U52" s="34" t="n">
        <v>0.033869525622617</v>
      </c>
      <c r="V52" s="34" t="n">
        <v>0.0182881807214885</v>
      </c>
      <c r="W52" s="34" t="n">
        <v>0.0171836508178034</v>
      </c>
      <c r="X52" s="34" t="n">
        <v>0.0277482600582383</v>
      </c>
      <c r="Y52" s="34" t="n">
        <v>0.0197435045691771</v>
      </c>
      <c r="Z52" s="34" t="n">
        <v>0.0275533117218271</v>
      </c>
      <c r="AA52" s="34" t="n">
        <v>0.0200950108669055</v>
      </c>
      <c r="AB52" s="34" t="n">
        <v>0.0216578274794808</v>
      </c>
      <c r="AC52" s="34" t="n">
        <v>0.0159574762205087</v>
      </c>
      <c r="AD52" s="34" t="n">
        <v>0.0151950448304275</v>
      </c>
      <c r="AE52" s="34" t="n">
        <v>0.0391867942081409</v>
      </c>
      <c r="AF52" s="34" t="n">
        <v>0.0188691796684543</v>
      </c>
      <c r="AG52" s="34" t="n">
        <v>0.0236350333316986</v>
      </c>
      <c r="AH52" s="34" t="n">
        <v>0.0186793904698635</v>
      </c>
      <c r="AI52" s="34" t="n">
        <v>0.0250192505776943</v>
      </c>
      <c r="AJ52" s="34" t="n">
        <v>0.0185948903267396</v>
      </c>
      <c r="AK52" s="34" t="n">
        <v>0.0278533615108571</v>
      </c>
      <c r="AL52" s="34" t="n">
        <v>0.0180086911559914</v>
      </c>
      <c r="AM52" s="34" t="n">
        <v>0.0184522097624524</v>
      </c>
      <c r="AN52" s="34" t="n">
        <v>0.0134253382972844</v>
      </c>
      <c r="AO52" s="34" t="n">
        <v>0.00946549773404213</v>
      </c>
      <c r="AP52" s="34" t="n">
        <v>0.00803863309898918</v>
      </c>
      <c r="AQ52" s="34" t="n">
        <v>0.00484878589812824</v>
      </c>
      <c r="AR52" s="34" t="n">
        <v>0.00790759963180258</v>
      </c>
      <c r="AS52" s="34" t="n">
        <v>0.00984969519420323</v>
      </c>
      <c r="AT52" s="34" t="n">
        <v>0.0181087097579879</v>
      </c>
      <c r="AU52" s="34" t="n">
        <v>0.0317682519962712</v>
      </c>
      <c r="AV52" s="34" t="n">
        <v>0.190569168600936</v>
      </c>
      <c r="AW52" s="34" t="n">
        <v>0.0960713760290996</v>
      </c>
      <c r="AX52" s="34" t="n">
        <v>1.04050388672207</v>
      </c>
      <c r="AY52" s="34" t="n">
        <v>0.00749624686754619</v>
      </c>
      <c r="AZ52" s="34" t="n">
        <v>0.00951021265838568</v>
      </c>
      <c r="BA52" s="34" t="n">
        <v>0.0183349922273823</v>
      </c>
      <c r="BB52" s="34" t="n">
        <v>0.0122219888666308</v>
      </c>
      <c r="BC52" s="34" t="n">
        <v>0.0161448662538354</v>
      </c>
      <c r="BD52" s="34" t="n">
        <v>0.00542982036466841</v>
      </c>
      <c r="BE52" s="34" t="n">
        <v>0.0139875066436753</v>
      </c>
      <c r="BF52" s="34" t="n">
        <v>0.00135224786236245</v>
      </c>
      <c r="BG52" s="34" t="n">
        <v>0.00728208824633153</v>
      </c>
      <c r="BH52" s="34" t="n">
        <v>0.0075615657155274</v>
      </c>
      <c r="BI52" s="34" t="n">
        <v>0.0111379146863085</v>
      </c>
      <c r="BJ52" s="34" t="n">
        <v>0.00970535510442669</v>
      </c>
      <c r="BK52" s="34" t="n">
        <v>0.00821705978113052</v>
      </c>
      <c r="BL52" s="34" t="n">
        <v>0.00448860177372894</v>
      </c>
      <c r="BM52" s="34" t="n">
        <v>0.00858511936514531</v>
      </c>
      <c r="BN52" s="34" t="n">
        <v>0.00333446765078252</v>
      </c>
      <c r="BO52" s="34" t="n">
        <v>0.0103080070910079</v>
      </c>
      <c r="BP52" s="34" t="n">
        <v>0.00583016850846317</v>
      </c>
      <c r="BQ52" s="34" t="n">
        <v>0.00531415993363809</v>
      </c>
      <c r="BR52" s="34" t="n">
        <v>0.00578462446973033</v>
      </c>
      <c r="BS52" s="34" t="n">
        <v>0.0212464265832117</v>
      </c>
      <c r="BT52" s="34" t="n">
        <v>0</v>
      </c>
    </row>
    <row r="53" customFormat="false" ht="11.25" hidden="false" customHeight="true" outlineLevel="0" collapsed="false">
      <c r="B53" s="19" t="s">
        <v>157</v>
      </c>
      <c r="C53" s="20" t="s">
        <v>158</v>
      </c>
      <c r="D53" s="19" t="n">
        <v>47</v>
      </c>
      <c r="E53" s="33" t="n">
        <v>0.000626708294949762</v>
      </c>
      <c r="F53" s="33" t="n">
        <v>0.00066220542647601</v>
      </c>
      <c r="G53" s="33" t="n">
        <v>0.00037832558505506</v>
      </c>
      <c r="H53" s="33" t="n">
        <v>0.00142509096281772</v>
      </c>
      <c r="I53" s="33" t="n">
        <v>0.0015638639924466</v>
      </c>
      <c r="J53" s="33" t="n">
        <v>0.00130954718807559</v>
      </c>
      <c r="K53" s="33" t="n">
        <v>0.00198937812621224</v>
      </c>
      <c r="L53" s="33" t="n">
        <v>0.00312943821953192</v>
      </c>
      <c r="M53" s="33" t="n">
        <v>0.00158022791829956</v>
      </c>
      <c r="N53" s="33" t="n">
        <v>0.00270517057950331</v>
      </c>
      <c r="O53" s="33" t="n">
        <v>0.00176450834646792</v>
      </c>
      <c r="P53" s="33" t="n">
        <v>0.0029366033245986</v>
      </c>
      <c r="Q53" s="33" t="n">
        <v>0.00224476999764725</v>
      </c>
      <c r="R53" s="33" t="n">
        <v>0.00162703083876415</v>
      </c>
      <c r="S53" s="33" t="n">
        <v>0.00284636548397061</v>
      </c>
      <c r="T53" s="33" t="n">
        <v>0.00130957773680305</v>
      </c>
      <c r="U53" s="33" t="n">
        <v>0.00312159687010044</v>
      </c>
      <c r="V53" s="33" t="n">
        <v>0.00166190313103362</v>
      </c>
      <c r="W53" s="33" t="n">
        <v>0.00107317891694929</v>
      </c>
      <c r="X53" s="33" t="n">
        <v>0.00167886084458095</v>
      </c>
      <c r="Y53" s="33" t="n">
        <v>0.00196757568451125</v>
      </c>
      <c r="Z53" s="33" t="n">
        <v>0.00364563490156789</v>
      </c>
      <c r="AA53" s="33" t="n">
        <v>0.00200075157402532</v>
      </c>
      <c r="AB53" s="33" t="n">
        <v>0.00416987663848381</v>
      </c>
      <c r="AC53" s="33" t="n">
        <v>0.00264043111635638</v>
      </c>
      <c r="AD53" s="33" t="n">
        <v>0.00225187907013743</v>
      </c>
      <c r="AE53" s="33" t="n">
        <v>0.00301237892710085</v>
      </c>
      <c r="AF53" s="33" t="n">
        <v>0.00205843495025418</v>
      </c>
      <c r="AG53" s="33" t="n">
        <v>0.00286587936047795</v>
      </c>
      <c r="AH53" s="33" t="n">
        <v>0.00262932630086338</v>
      </c>
      <c r="AI53" s="33" t="n">
        <v>0.00307509518324828</v>
      </c>
      <c r="AJ53" s="33" t="n">
        <v>0.00399149967675239</v>
      </c>
      <c r="AK53" s="33" t="n">
        <v>0.00183210967720832</v>
      </c>
      <c r="AL53" s="33" t="n">
        <v>0.00188136138467118</v>
      </c>
      <c r="AM53" s="33" t="n">
        <v>0.00211326781171144</v>
      </c>
      <c r="AN53" s="33" t="n">
        <v>0.00217386050386403</v>
      </c>
      <c r="AO53" s="33" t="n">
        <v>0.0016190904049192</v>
      </c>
      <c r="AP53" s="33" t="n">
        <v>0.00127011940033424</v>
      </c>
      <c r="AQ53" s="33" t="n">
        <v>0.000935622881915882</v>
      </c>
      <c r="AR53" s="33" t="n">
        <v>0.00239304224194354</v>
      </c>
      <c r="AS53" s="33" t="n">
        <v>0.00222684437443509</v>
      </c>
      <c r="AT53" s="33" t="n">
        <v>0.00271565814112157</v>
      </c>
      <c r="AU53" s="33" t="n">
        <v>0.00129650101027187</v>
      </c>
      <c r="AV53" s="33" t="n">
        <v>0.0012927704914438</v>
      </c>
      <c r="AW53" s="33" t="n">
        <v>0.00246450412769118</v>
      </c>
      <c r="AX53" s="33" t="n">
        <v>0.00223599724851084</v>
      </c>
      <c r="AY53" s="33" t="n">
        <v>1.00081272546599</v>
      </c>
      <c r="AZ53" s="33" t="n">
        <v>0.00082106784249195</v>
      </c>
      <c r="BA53" s="33" t="n">
        <v>0.00510723787064823</v>
      </c>
      <c r="BB53" s="33" t="n">
        <v>0.00477763382940236</v>
      </c>
      <c r="BC53" s="33" t="n">
        <v>0.00362030693232879</v>
      </c>
      <c r="BD53" s="33" t="n">
        <v>0.00347867366287721</v>
      </c>
      <c r="BE53" s="33" t="n">
        <v>0.0020184574724854</v>
      </c>
      <c r="BF53" s="33" t="n">
        <v>0.00020576685629569</v>
      </c>
      <c r="BG53" s="33" t="n">
        <v>0.00175238157150687</v>
      </c>
      <c r="BH53" s="33" t="n">
        <v>0.00333277500419034</v>
      </c>
      <c r="BI53" s="33" t="n">
        <v>0.00338660029051644</v>
      </c>
      <c r="BJ53" s="33" t="n">
        <v>0.00285309366006433</v>
      </c>
      <c r="BK53" s="33" t="n">
        <v>0.00131244850520086</v>
      </c>
      <c r="BL53" s="33" t="n">
        <v>0.00126158983528013</v>
      </c>
      <c r="BM53" s="33" t="n">
        <v>0.00217714054998143</v>
      </c>
      <c r="BN53" s="33" t="n">
        <v>0.00123830770566214</v>
      </c>
      <c r="BO53" s="33" t="n">
        <v>0.00315439677414983</v>
      </c>
      <c r="BP53" s="33" t="n">
        <v>0.00190617052360131</v>
      </c>
      <c r="BQ53" s="33" t="n">
        <v>0.000951281659178134</v>
      </c>
      <c r="BR53" s="33" t="n">
        <v>0.00309126888003081</v>
      </c>
      <c r="BS53" s="33" t="n">
        <v>0.0398947575468882</v>
      </c>
      <c r="BT53" s="33" t="n">
        <v>0</v>
      </c>
    </row>
    <row r="54" customFormat="false" ht="11.25" hidden="false" customHeight="true" outlineLevel="0" collapsed="false">
      <c r="B54" s="24" t="s">
        <v>159</v>
      </c>
      <c r="C54" s="25" t="s">
        <v>160</v>
      </c>
      <c r="D54" s="24" t="n">
        <v>48</v>
      </c>
      <c r="E54" s="34" t="n">
        <v>0.000835609575716375</v>
      </c>
      <c r="F54" s="34" t="n">
        <v>0.000865473223026548</v>
      </c>
      <c r="G54" s="34" t="n">
        <v>0.000548084412049359</v>
      </c>
      <c r="H54" s="34" t="n">
        <v>0.00185527549336761</v>
      </c>
      <c r="I54" s="34" t="n">
        <v>0.00239502108750105</v>
      </c>
      <c r="J54" s="34" t="n">
        <v>0.00112762813883991</v>
      </c>
      <c r="K54" s="34" t="n">
        <v>0.00223509472474285</v>
      </c>
      <c r="L54" s="34" t="n">
        <v>0.00300920474193257</v>
      </c>
      <c r="M54" s="34" t="n">
        <v>0.00172551924048412</v>
      </c>
      <c r="N54" s="34" t="n">
        <v>0.0030482499242956</v>
      </c>
      <c r="O54" s="34" t="n">
        <v>0.00200568898467663</v>
      </c>
      <c r="P54" s="34" t="n">
        <v>0.00236280427810483</v>
      </c>
      <c r="Q54" s="34" t="n">
        <v>0.00242214245549345</v>
      </c>
      <c r="R54" s="34" t="n">
        <v>0.00178341837685572</v>
      </c>
      <c r="S54" s="34" t="n">
        <v>0.00286281602808963</v>
      </c>
      <c r="T54" s="34" t="n">
        <v>0.00151201578364407</v>
      </c>
      <c r="U54" s="34" t="n">
        <v>0.00322689162168062</v>
      </c>
      <c r="V54" s="34" t="n">
        <v>0.00210953503417419</v>
      </c>
      <c r="W54" s="34" t="n">
        <v>0.0015212834616504</v>
      </c>
      <c r="X54" s="34" t="n">
        <v>0.00198509192408019</v>
      </c>
      <c r="Y54" s="34" t="n">
        <v>0.00241841717782928</v>
      </c>
      <c r="Z54" s="34" t="n">
        <v>0.00449515866319038</v>
      </c>
      <c r="AA54" s="34" t="n">
        <v>0.0020261891915659</v>
      </c>
      <c r="AB54" s="34" t="n">
        <v>0.00610335215974332</v>
      </c>
      <c r="AC54" s="34" t="n">
        <v>0.00257518137837888</v>
      </c>
      <c r="AD54" s="34" t="n">
        <v>0.00223212771987647</v>
      </c>
      <c r="AE54" s="34" t="n">
        <v>0.00261485835158246</v>
      </c>
      <c r="AF54" s="34" t="n">
        <v>0.00295139856060083</v>
      </c>
      <c r="AG54" s="34" t="n">
        <v>0.00239963860707947</v>
      </c>
      <c r="AH54" s="34" t="n">
        <v>0.00222993902504415</v>
      </c>
      <c r="AI54" s="34" t="n">
        <v>0.00268389973387176</v>
      </c>
      <c r="AJ54" s="34" t="n">
        <v>0.00320413450091855</v>
      </c>
      <c r="AK54" s="34" t="n">
        <v>0.00315228823610704</v>
      </c>
      <c r="AL54" s="34" t="n">
        <v>0.00160371314848584</v>
      </c>
      <c r="AM54" s="34" t="n">
        <v>0.00155637652653467</v>
      </c>
      <c r="AN54" s="34" t="n">
        <v>0.00162521636694301</v>
      </c>
      <c r="AO54" s="34" t="n">
        <v>0.00183360164657694</v>
      </c>
      <c r="AP54" s="34" t="n">
        <v>0.00190906829127316</v>
      </c>
      <c r="AQ54" s="34" t="n">
        <v>0.00116746349316482</v>
      </c>
      <c r="AR54" s="34" t="n">
        <v>0.00112796430267423</v>
      </c>
      <c r="AS54" s="34" t="n">
        <v>0.00197995018973066</v>
      </c>
      <c r="AT54" s="34" t="n">
        <v>0.00224584503573713</v>
      </c>
      <c r="AU54" s="34" t="n">
        <v>0.0013085277128906</v>
      </c>
      <c r="AV54" s="34" t="n">
        <v>0.0020547152652343</v>
      </c>
      <c r="AW54" s="34" t="n">
        <v>0.0263482672589844</v>
      </c>
      <c r="AX54" s="34" t="n">
        <v>0.00214441593344476</v>
      </c>
      <c r="AY54" s="34" t="n">
        <v>0.00796195308190032</v>
      </c>
      <c r="AZ54" s="34" t="n">
        <v>1.00107263597085</v>
      </c>
      <c r="BA54" s="34" t="n">
        <v>0.00340009614153244</v>
      </c>
      <c r="BB54" s="34" t="n">
        <v>0.0114049378555187</v>
      </c>
      <c r="BC54" s="34" t="n">
        <v>0.0053167406245674</v>
      </c>
      <c r="BD54" s="34" t="n">
        <v>0.00194667864088984</v>
      </c>
      <c r="BE54" s="34" t="n">
        <v>0.00639003243070806</v>
      </c>
      <c r="BF54" s="34" t="n">
        <v>0.000427773874762096</v>
      </c>
      <c r="BG54" s="34" t="n">
        <v>0.00718694907893845</v>
      </c>
      <c r="BH54" s="34" t="n">
        <v>0.00150160743077797</v>
      </c>
      <c r="BI54" s="34" t="n">
        <v>0.00707862950471494</v>
      </c>
      <c r="BJ54" s="34" t="n">
        <v>0.00161069911473068</v>
      </c>
      <c r="BK54" s="34" t="n">
        <v>0.0060807853542283</v>
      </c>
      <c r="BL54" s="34" t="n">
        <v>0.00107781725733862</v>
      </c>
      <c r="BM54" s="34" t="n">
        <v>0.013430748144657</v>
      </c>
      <c r="BN54" s="34" t="n">
        <v>0.00687201596430666</v>
      </c>
      <c r="BO54" s="34" t="n">
        <v>0.00381759486896767</v>
      </c>
      <c r="BP54" s="34" t="n">
        <v>0.0259199837564614</v>
      </c>
      <c r="BQ54" s="34" t="n">
        <v>0.0164875067742154</v>
      </c>
      <c r="BR54" s="34" t="n">
        <v>0.00273398214067737</v>
      </c>
      <c r="BS54" s="34" t="n">
        <v>0.0598457390051963</v>
      </c>
      <c r="BT54" s="34" t="n">
        <v>0</v>
      </c>
    </row>
    <row r="55" customFormat="false" ht="11.25" hidden="false" customHeight="true" outlineLevel="0" collapsed="false">
      <c r="B55" s="19" t="s">
        <v>161</v>
      </c>
      <c r="C55" s="20" t="s">
        <v>162</v>
      </c>
      <c r="D55" s="19" t="n">
        <v>49</v>
      </c>
      <c r="E55" s="33" t="n">
        <v>0.00066166692364072</v>
      </c>
      <c r="F55" s="33" t="n">
        <v>0.000723513168480494</v>
      </c>
      <c r="G55" s="33" t="n">
        <v>0.00038055238501742</v>
      </c>
      <c r="H55" s="33" t="n">
        <v>0.00106740738019119</v>
      </c>
      <c r="I55" s="33" t="n">
        <v>0.000854060299996925</v>
      </c>
      <c r="J55" s="33" t="n">
        <v>0.000658195245685116</v>
      </c>
      <c r="K55" s="33" t="n">
        <v>0.00106441712489607</v>
      </c>
      <c r="L55" s="33" t="n">
        <v>0.00229177621966929</v>
      </c>
      <c r="M55" s="33" t="n">
        <v>0.00124289469132465</v>
      </c>
      <c r="N55" s="33" t="n">
        <v>0.00215030012319446</v>
      </c>
      <c r="O55" s="33" t="n">
        <v>0.00386970164185363</v>
      </c>
      <c r="P55" s="33" t="n">
        <v>0.00233734796082448</v>
      </c>
      <c r="Q55" s="33" t="n">
        <v>0.00163321940080233</v>
      </c>
      <c r="R55" s="33" t="n">
        <v>0.00131083791675495</v>
      </c>
      <c r="S55" s="33" t="n">
        <v>0.00256765181608976</v>
      </c>
      <c r="T55" s="33" t="n">
        <v>0.000997659941958823</v>
      </c>
      <c r="U55" s="33" t="n">
        <v>0.00241089043321608</v>
      </c>
      <c r="V55" s="33" t="n">
        <v>0.00652063901137581</v>
      </c>
      <c r="W55" s="33" t="n">
        <v>0.000744341172272345</v>
      </c>
      <c r="X55" s="33" t="n">
        <v>0.00139170861321473</v>
      </c>
      <c r="Y55" s="33" t="n">
        <v>0.00279513120202767</v>
      </c>
      <c r="Z55" s="33" t="n">
        <v>0.00240876113314878</v>
      </c>
      <c r="AA55" s="33" t="n">
        <v>0.00244516952936706</v>
      </c>
      <c r="AB55" s="33" t="n">
        <v>0.00296204529904502</v>
      </c>
      <c r="AC55" s="33" t="n">
        <v>0.00190242358501868</v>
      </c>
      <c r="AD55" s="33" t="n">
        <v>0.00150547536436661</v>
      </c>
      <c r="AE55" s="33" t="n">
        <v>0.00159027004645004</v>
      </c>
      <c r="AF55" s="33" t="n">
        <v>0.00132019498594669</v>
      </c>
      <c r="AG55" s="33" t="n">
        <v>0.00150033250349056</v>
      </c>
      <c r="AH55" s="33" t="n">
        <v>0.00196824589757619</v>
      </c>
      <c r="AI55" s="33" t="n">
        <v>0.00197355963643059</v>
      </c>
      <c r="AJ55" s="33" t="n">
        <v>0.00178140797426259</v>
      </c>
      <c r="AK55" s="33" t="n">
        <v>0.00187172431107332</v>
      </c>
      <c r="AL55" s="33" t="n">
        <v>0.00103356288343034</v>
      </c>
      <c r="AM55" s="33" t="n">
        <v>0.00120266473195303</v>
      </c>
      <c r="AN55" s="33" t="n">
        <v>0.00121929998771001</v>
      </c>
      <c r="AO55" s="33" t="n">
        <v>0.000961780253017789</v>
      </c>
      <c r="AP55" s="33" t="n">
        <v>0.00163218918656886</v>
      </c>
      <c r="AQ55" s="33" t="n">
        <v>0.000923120979696792</v>
      </c>
      <c r="AR55" s="33" t="n">
        <v>0.000809498337669552</v>
      </c>
      <c r="AS55" s="33" t="n">
        <v>0.00138871948204737</v>
      </c>
      <c r="AT55" s="33" t="n">
        <v>0.0024111969534545</v>
      </c>
      <c r="AU55" s="33" t="n">
        <v>0.000872795778554571</v>
      </c>
      <c r="AV55" s="33" t="n">
        <v>0.00104355060262136</v>
      </c>
      <c r="AW55" s="33" t="n">
        <v>0.00122718551203024</v>
      </c>
      <c r="AX55" s="33" t="n">
        <v>0.00125493469395075</v>
      </c>
      <c r="AY55" s="33" t="n">
        <v>0.00407449330839452</v>
      </c>
      <c r="AZ55" s="33" t="n">
        <v>0.00109636467276464</v>
      </c>
      <c r="BA55" s="33" t="n">
        <v>1.01192527715907</v>
      </c>
      <c r="BB55" s="33" t="n">
        <v>0.00483281788087054</v>
      </c>
      <c r="BC55" s="33" t="n">
        <v>0.00434358568779342</v>
      </c>
      <c r="BD55" s="33" t="n">
        <v>0.00217346544546217</v>
      </c>
      <c r="BE55" s="33" t="n">
        <v>0.0064145929995081</v>
      </c>
      <c r="BF55" s="33" t="n">
        <v>0.000463289213511865</v>
      </c>
      <c r="BG55" s="33" t="n">
        <v>0.00416935341025149</v>
      </c>
      <c r="BH55" s="33" t="n">
        <v>0.00291277514155518</v>
      </c>
      <c r="BI55" s="33" t="n">
        <v>0.0424311226979392</v>
      </c>
      <c r="BJ55" s="33" t="n">
        <v>0.00229148626231391</v>
      </c>
      <c r="BK55" s="33" t="n">
        <v>0.00180424934133366</v>
      </c>
      <c r="BL55" s="33" t="n">
        <v>0.000769812492483437</v>
      </c>
      <c r="BM55" s="33" t="n">
        <v>0.00254683645175296</v>
      </c>
      <c r="BN55" s="33" t="n">
        <v>0.0115070704892377</v>
      </c>
      <c r="BO55" s="33" t="n">
        <v>0.0258224913173051</v>
      </c>
      <c r="BP55" s="33" t="n">
        <v>0.00107129524971752</v>
      </c>
      <c r="BQ55" s="33" t="n">
        <v>0.00159175430213762</v>
      </c>
      <c r="BR55" s="33" t="n">
        <v>0.00309250959252137</v>
      </c>
      <c r="BS55" s="33" t="n">
        <v>0.00352391823466688</v>
      </c>
      <c r="BT55" s="33" t="n">
        <v>0</v>
      </c>
    </row>
    <row r="56" customFormat="false" ht="11.25" hidden="false" customHeight="true" outlineLevel="0" collapsed="false">
      <c r="B56" s="24" t="s">
        <v>163</v>
      </c>
      <c r="C56" s="25" t="s">
        <v>164</v>
      </c>
      <c r="D56" s="24" t="n">
        <v>50</v>
      </c>
      <c r="E56" s="34" t="n">
        <v>0.00179542007196158</v>
      </c>
      <c r="F56" s="34" t="n">
        <v>0.00349326501112436</v>
      </c>
      <c r="G56" s="34" t="n">
        <v>0.00178839845371071</v>
      </c>
      <c r="H56" s="34" t="n">
        <v>0.00410515125393258</v>
      </c>
      <c r="I56" s="34" t="n">
        <v>0.0034331427848446</v>
      </c>
      <c r="J56" s="34" t="n">
        <v>0.00215441652003947</v>
      </c>
      <c r="K56" s="34" t="n">
        <v>0.00357223760279978</v>
      </c>
      <c r="L56" s="34" t="n">
        <v>0.0111933084979964</v>
      </c>
      <c r="M56" s="34" t="n">
        <v>0.00476280065988587</v>
      </c>
      <c r="N56" s="34" t="n">
        <v>0.0109353002248037</v>
      </c>
      <c r="O56" s="34" t="n">
        <v>0.0295749546341381</v>
      </c>
      <c r="P56" s="34" t="n">
        <v>0.0140183950046045</v>
      </c>
      <c r="Q56" s="34" t="n">
        <v>0.00615783673355172</v>
      </c>
      <c r="R56" s="34" t="n">
        <v>0.00643549064379146</v>
      </c>
      <c r="S56" s="34" t="n">
        <v>0.0146487229051254</v>
      </c>
      <c r="T56" s="34" t="n">
        <v>0.00382150732191263</v>
      </c>
      <c r="U56" s="34" t="n">
        <v>0.0100938964064454</v>
      </c>
      <c r="V56" s="34" t="n">
        <v>0.0056597185542597</v>
      </c>
      <c r="W56" s="34" t="n">
        <v>0.00287120472768874</v>
      </c>
      <c r="X56" s="34" t="n">
        <v>0.00535127195990035</v>
      </c>
      <c r="Y56" s="34" t="n">
        <v>0.00436951848541517</v>
      </c>
      <c r="Z56" s="34" t="n">
        <v>0.00974488058247085</v>
      </c>
      <c r="AA56" s="34" t="n">
        <v>0.0155206721671444</v>
      </c>
      <c r="AB56" s="34" t="n">
        <v>0.0180621462000393</v>
      </c>
      <c r="AC56" s="34" t="n">
        <v>0.00749998844735429</v>
      </c>
      <c r="AD56" s="34" t="n">
        <v>0.00622720020062679</v>
      </c>
      <c r="AE56" s="34" t="n">
        <v>0.00606655870618437</v>
      </c>
      <c r="AF56" s="34" t="n">
        <v>0.00463478416619469</v>
      </c>
      <c r="AG56" s="34" t="n">
        <v>0.006563497270998</v>
      </c>
      <c r="AH56" s="34" t="n">
        <v>0.0112055888561198</v>
      </c>
      <c r="AI56" s="34" t="n">
        <v>0.00963125604856511</v>
      </c>
      <c r="AJ56" s="34" t="n">
        <v>0.0078788577997657</v>
      </c>
      <c r="AK56" s="34" t="n">
        <v>0.0126041178505975</v>
      </c>
      <c r="AL56" s="34" t="n">
        <v>0.00437507361289166</v>
      </c>
      <c r="AM56" s="34" t="n">
        <v>0.00625677761418497</v>
      </c>
      <c r="AN56" s="34" t="n">
        <v>0.00574147976115488</v>
      </c>
      <c r="AO56" s="34" t="n">
        <v>0.00332841320233366</v>
      </c>
      <c r="AP56" s="34" t="n">
        <v>0.00657717559102957</v>
      </c>
      <c r="AQ56" s="34" t="n">
        <v>0.00367944363578759</v>
      </c>
      <c r="AR56" s="34" t="n">
        <v>0.003786104479118</v>
      </c>
      <c r="AS56" s="34" t="n">
        <v>0.00891229094164148</v>
      </c>
      <c r="AT56" s="34" t="n">
        <v>0.00946356584904267</v>
      </c>
      <c r="AU56" s="34" t="n">
        <v>0.00352183870268446</v>
      </c>
      <c r="AV56" s="34" t="n">
        <v>0.00411933738953421</v>
      </c>
      <c r="AW56" s="34" t="n">
        <v>0.00558865745969051</v>
      </c>
      <c r="AX56" s="34" t="n">
        <v>0.00606975236692703</v>
      </c>
      <c r="AY56" s="34" t="n">
        <v>0.00776994843951253</v>
      </c>
      <c r="AZ56" s="34" t="n">
        <v>0.00659002802428972</v>
      </c>
      <c r="BA56" s="34" t="n">
        <v>0.024645659694299</v>
      </c>
      <c r="BB56" s="34" t="n">
        <v>1.15577345483874</v>
      </c>
      <c r="BC56" s="34" t="n">
        <v>0.0478326481665077</v>
      </c>
      <c r="BD56" s="34" t="n">
        <v>0.00822155640544168</v>
      </c>
      <c r="BE56" s="34" t="n">
        <v>0.0117362750602103</v>
      </c>
      <c r="BF56" s="34" t="n">
        <v>0.00124113334612084</v>
      </c>
      <c r="BG56" s="34" t="n">
        <v>0.0122142663421854</v>
      </c>
      <c r="BH56" s="34" t="n">
        <v>0.00452067579141731</v>
      </c>
      <c r="BI56" s="34" t="n">
        <v>0.41078573661319</v>
      </c>
      <c r="BJ56" s="34" t="n">
        <v>0.0109762483090158</v>
      </c>
      <c r="BK56" s="34" t="n">
        <v>0.00555504930450545</v>
      </c>
      <c r="BL56" s="34" t="n">
        <v>0.00378882008868895</v>
      </c>
      <c r="BM56" s="34" t="n">
        <v>0.004379827476012</v>
      </c>
      <c r="BN56" s="34" t="n">
        <v>0.00254167771441841</v>
      </c>
      <c r="BO56" s="34" t="n">
        <v>0.0128061987288199</v>
      </c>
      <c r="BP56" s="34" t="n">
        <v>0.0044811812308294</v>
      </c>
      <c r="BQ56" s="34" t="n">
        <v>0.00261341801801274</v>
      </c>
      <c r="BR56" s="34" t="n">
        <v>0.0184154658337992</v>
      </c>
      <c r="BS56" s="34" t="n">
        <v>0.00821333462547787</v>
      </c>
      <c r="BT56" s="34" t="n">
        <v>0</v>
      </c>
    </row>
    <row r="57" customFormat="false" ht="11.25" hidden="false" customHeight="true" outlineLevel="0" collapsed="false">
      <c r="B57" s="19" t="s">
        <v>165</v>
      </c>
      <c r="C57" s="20" t="s">
        <v>166</v>
      </c>
      <c r="D57" s="19" t="n">
        <v>51</v>
      </c>
      <c r="E57" s="33" t="n">
        <v>0.00394519990987706</v>
      </c>
      <c r="F57" s="33" t="n">
        <v>0.0043674496492587</v>
      </c>
      <c r="G57" s="33" t="n">
        <v>0.00240964522868548</v>
      </c>
      <c r="H57" s="33" t="n">
        <v>0.00935080118102679</v>
      </c>
      <c r="I57" s="33" t="n">
        <v>0.00944952958170544</v>
      </c>
      <c r="J57" s="33" t="n">
        <v>0.00609499523647084</v>
      </c>
      <c r="K57" s="33" t="n">
        <v>0.0103334742939752</v>
      </c>
      <c r="L57" s="33" t="n">
        <v>0.0173015111371173</v>
      </c>
      <c r="M57" s="33" t="n">
        <v>0.0126125801550372</v>
      </c>
      <c r="N57" s="33" t="n">
        <v>0.0189982938235838</v>
      </c>
      <c r="O57" s="33" t="n">
        <v>0.0191272623981423</v>
      </c>
      <c r="P57" s="33" t="n">
        <v>0.011884134870672</v>
      </c>
      <c r="Q57" s="33" t="n">
        <v>0.0176190657627635</v>
      </c>
      <c r="R57" s="33" t="n">
        <v>0.0205606842013246</v>
      </c>
      <c r="S57" s="33" t="n">
        <v>0.0189891803137825</v>
      </c>
      <c r="T57" s="33" t="n">
        <v>0.0103534160185724</v>
      </c>
      <c r="U57" s="33" t="n">
        <v>0.0200872675783919</v>
      </c>
      <c r="V57" s="33" t="n">
        <v>0.0321682219241455</v>
      </c>
      <c r="W57" s="33" t="n">
        <v>0.00752429374838443</v>
      </c>
      <c r="X57" s="33" t="n">
        <v>0.013105530957013</v>
      </c>
      <c r="Y57" s="33" t="n">
        <v>0.0112773764253363</v>
      </c>
      <c r="Z57" s="33" t="n">
        <v>0.0190161507153773</v>
      </c>
      <c r="AA57" s="33" t="n">
        <v>0.0106325841782923</v>
      </c>
      <c r="AB57" s="33" t="n">
        <v>0.0182857011041605</v>
      </c>
      <c r="AC57" s="33" t="n">
        <v>0.0155339200004078</v>
      </c>
      <c r="AD57" s="33" t="n">
        <v>0.0169147225358008</v>
      </c>
      <c r="AE57" s="33" t="n">
        <v>0.0130176863354957</v>
      </c>
      <c r="AF57" s="33" t="n">
        <v>0.0110020577103377</v>
      </c>
      <c r="AG57" s="33" t="n">
        <v>0.014446905056493</v>
      </c>
      <c r="AH57" s="33" t="n">
        <v>0.0200179477304234</v>
      </c>
      <c r="AI57" s="33" t="n">
        <v>0.0198289277744214</v>
      </c>
      <c r="AJ57" s="33" t="n">
        <v>0.0175303246285575</v>
      </c>
      <c r="AK57" s="33" t="n">
        <v>0.0233560108027705</v>
      </c>
      <c r="AL57" s="33" t="n">
        <v>0.0273302928509454</v>
      </c>
      <c r="AM57" s="33" t="n">
        <v>0.014732608356544</v>
      </c>
      <c r="AN57" s="33" t="n">
        <v>0.0157683868608469</v>
      </c>
      <c r="AO57" s="33" t="n">
        <v>0.00822184352473941</v>
      </c>
      <c r="AP57" s="33" t="n">
        <v>0.00727449273359035</v>
      </c>
      <c r="AQ57" s="33" t="n">
        <v>0.00897520610248811</v>
      </c>
      <c r="AR57" s="33" t="n">
        <v>0.00877635056228763</v>
      </c>
      <c r="AS57" s="33" t="n">
        <v>0.0168833333423892</v>
      </c>
      <c r="AT57" s="33" t="n">
        <v>0.016596397756938</v>
      </c>
      <c r="AU57" s="33" t="n">
        <v>0.0112846225258346</v>
      </c>
      <c r="AV57" s="33" t="n">
        <v>0.0105814823705076</v>
      </c>
      <c r="AW57" s="33" t="n">
        <v>0.0100336655765438</v>
      </c>
      <c r="AX57" s="33" t="n">
        <v>0.0157372453314577</v>
      </c>
      <c r="AY57" s="33" t="n">
        <v>0.0183201882052399</v>
      </c>
      <c r="AZ57" s="33" t="n">
        <v>0.00970292671036712</v>
      </c>
      <c r="BA57" s="33" t="n">
        <v>0.0264998710631936</v>
      </c>
      <c r="BB57" s="33" t="n">
        <v>0.0261050700608351</v>
      </c>
      <c r="BC57" s="33" t="n">
        <v>1.19208201263272</v>
      </c>
      <c r="BD57" s="33" t="n">
        <v>0.0212256645460186</v>
      </c>
      <c r="BE57" s="33" t="n">
        <v>0.0316883121706204</v>
      </c>
      <c r="BF57" s="33" t="n">
        <v>0.00311796993730287</v>
      </c>
      <c r="BG57" s="33" t="n">
        <v>0.0254463500261068</v>
      </c>
      <c r="BH57" s="33" t="n">
        <v>0.0135213839603176</v>
      </c>
      <c r="BI57" s="33" t="n">
        <v>0.0434764472875118</v>
      </c>
      <c r="BJ57" s="33" t="n">
        <v>0.00990352274580208</v>
      </c>
      <c r="BK57" s="33" t="n">
        <v>0.0170460604039995</v>
      </c>
      <c r="BL57" s="33" t="n">
        <v>0.0145246182286032</v>
      </c>
      <c r="BM57" s="33" t="n">
        <v>0.0131446752752311</v>
      </c>
      <c r="BN57" s="33" t="n">
        <v>0.00840207270113538</v>
      </c>
      <c r="BO57" s="33" t="n">
        <v>0.0241272115144234</v>
      </c>
      <c r="BP57" s="33" t="n">
        <v>0.00876201439200857</v>
      </c>
      <c r="BQ57" s="33" t="n">
        <v>0.0134531063552089</v>
      </c>
      <c r="BR57" s="33" t="n">
        <v>0.015317052722938</v>
      </c>
      <c r="BS57" s="33" t="n">
        <v>0.0240835887175533</v>
      </c>
      <c r="BT57" s="33" t="n">
        <v>0</v>
      </c>
    </row>
    <row r="58" customFormat="false" ht="11.25" hidden="false" customHeight="true" outlineLevel="0" collapsed="false">
      <c r="B58" s="24" t="s">
        <v>167</v>
      </c>
      <c r="C58" s="25" t="s">
        <v>168</v>
      </c>
      <c r="D58" s="24" t="n">
        <v>52</v>
      </c>
      <c r="E58" s="34" t="n">
        <v>0.00279691062042921</v>
      </c>
      <c r="F58" s="34" t="n">
        <v>0.0030876515196149</v>
      </c>
      <c r="G58" s="34" t="n">
        <v>0.00152089122199753</v>
      </c>
      <c r="H58" s="34" t="n">
        <v>0.00491136049741364</v>
      </c>
      <c r="I58" s="34" t="n">
        <v>0.00397564496679213</v>
      </c>
      <c r="J58" s="34" t="n">
        <v>0.00548268396791149</v>
      </c>
      <c r="K58" s="34" t="n">
        <v>0.00698350064843363</v>
      </c>
      <c r="L58" s="34" t="n">
        <v>0.0114348499304778</v>
      </c>
      <c r="M58" s="34" t="n">
        <v>0.00559611304820641</v>
      </c>
      <c r="N58" s="34" t="n">
        <v>0.0114340143873501</v>
      </c>
      <c r="O58" s="34" t="n">
        <v>0.00833491520406852</v>
      </c>
      <c r="P58" s="34" t="n">
        <v>0.00974703662159815</v>
      </c>
      <c r="Q58" s="34" t="n">
        <v>0.00798777458364131</v>
      </c>
      <c r="R58" s="34" t="n">
        <v>0.00620092872600225</v>
      </c>
      <c r="S58" s="34" t="n">
        <v>0.00954777551088099</v>
      </c>
      <c r="T58" s="34" t="n">
        <v>0.00489275300051553</v>
      </c>
      <c r="U58" s="34" t="n">
        <v>0.0115196351272458</v>
      </c>
      <c r="V58" s="34" t="n">
        <v>0.00550543697501471</v>
      </c>
      <c r="W58" s="34" t="n">
        <v>0.00351304740957217</v>
      </c>
      <c r="X58" s="34" t="n">
        <v>0.00623836393694834</v>
      </c>
      <c r="Y58" s="34" t="n">
        <v>0.00828691943750363</v>
      </c>
      <c r="Z58" s="34" t="n">
        <v>0.012649049308983</v>
      </c>
      <c r="AA58" s="34" t="n">
        <v>0.00710977527604893</v>
      </c>
      <c r="AB58" s="34" t="n">
        <v>0.0151120089027907</v>
      </c>
      <c r="AC58" s="34" t="n">
        <v>0.00888336999462075</v>
      </c>
      <c r="AD58" s="34" t="n">
        <v>0.00757996013369298</v>
      </c>
      <c r="AE58" s="34" t="n">
        <v>0.00931425879156373</v>
      </c>
      <c r="AF58" s="34" t="n">
        <v>0.00692169418460414</v>
      </c>
      <c r="AG58" s="34" t="n">
        <v>0.00770063664497392</v>
      </c>
      <c r="AH58" s="34" t="n">
        <v>0.00886518561417814</v>
      </c>
      <c r="AI58" s="34" t="n">
        <v>0.0122259234617695</v>
      </c>
      <c r="AJ58" s="34" t="n">
        <v>0.00946630843786657</v>
      </c>
      <c r="AK58" s="34" t="n">
        <v>0.0101611572612374</v>
      </c>
      <c r="AL58" s="34" t="n">
        <v>0.00602147386438085</v>
      </c>
      <c r="AM58" s="34" t="n">
        <v>0.00652996640307186</v>
      </c>
      <c r="AN58" s="34" t="n">
        <v>0.00634758936726379</v>
      </c>
      <c r="AO58" s="34" t="n">
        <v>0.00461307098765028</v>
      </c>
      <c r="AP58" s="34" t="n">
        <v>0.00762478991169788</v>
      </c>
      <c r="AQ58" s="34" t="n">
        <v>0.00695865664875127</v>
      </c>
      <c r="AR58" s="34" t="n">
        <v>0.00422519822497166</v>
      </c>
      <c r="AS58" s="34" t="n">
        <v>0.00630451315928809</v>
      </c>
      <c r="AT58" s="34" t="n">
        <v>0.0118231320151446</v>
      </c>
      <c r="AU58" s="34" t="n">
        <v>0.00644074827123417</v>
      </c>
      <c r="AV58" s="34" t="n">
        <v>0.00541726620798824</v>
      </c>
      <c r="AW58" s="34" t="n">
        <v>0.0271160807176222</v>
      </c>
      <c r="AX58" s="34" t="n">
        <v>0.012141656608644</v>
      </c>
      <c r="AY58" s="34" t="n">
        <v>0.00663722044901541</v>
      </c>
      <c r="AZ58" s="34" t="n">
        <v>0.00372895675282914</v>
      </c>
      <c r="BA58" s="34" t="n">
        <v>0.0345474483809831</v>
      </c>
      <c r="BB58" s="34" t="n">
        <v>0.0333602293467556</v>
      </c>
      <c r="BC58" s="34" t="n">
        <v>0.027792761428279</v>
      </c>
      <c r="BD58" s="34" t="n">
        <v>1.05559507216222</v>
      </c>
      <c r="BE58" s="34" t="n">
        <v>0.0299949899656241</v>
      </c>
      <c r="BF58" s="34" t="n">
        <v>0.00185271257945236</v>
      </c>
      <c r="BG58" s="34" t="n">
        <v>0.0155666750009632</v>
      </c>
      <c r="BH58" s="34" t="n">
        <v>0.00428322490696536</v>
      </c>
      <c r="BI58" s="34" t="n">
        <v>0.0446930335217159</v>
      </c>
      <c r="BJ58" s="34" t="n">
        <v>0.0118979870684169</v>
      </c>
      <c r="BK58" s="34" t="n">
        <v>0.00752569197587363</v>
      </c>
      <c r="BL58" s="34" t="n">
        <v>0.0060972659588442</v>
      </c>
      <c r="BM58" s="34" t="n">
        <v>0.0164342183806249</v>
      </c>
      <c r="BN58" s="34" t="n">
        <v>0.00627611786868918</v>
      </c>
      <c r="BO58" s="34" t="n">
        <v>0.00878795317886924</v>
      </c>
      <c r="BP58" s="34" t="n">
        <v>0.0139335002429683</v>
      </c>
      <c r="BQ58" s="34" t="n">
        <v>0.00297957803058851</v>
      </c>
      <c r="BR58" s="34" t="n">
        <v>0.00768347220504806</v>
      </c>
      <c r="BS58" s="34" t="n">
        <v>0.0139235758025807</v>
      </c>
      <c r="BT58" s="34" t="n">
        <v>0</v>
      </c>
    </row>
    <row r="59" customFormat="false" ht="11.25" hidden="false" customHeight="true" outlineLevel="0" collapsed="false">
      <c r="B59" s="19" t="s">
        <v>169</v>
      </c>
      <c r="C59" s="20" t="s">
        <v>170</v>
      </c>
      <c r="D59" s="19" t="n">
        <v>53</v>
      </c>
      <c r="E59" s="33" t="n">
        <v>0.0343422395725766</v>
      </c>
      <c r="F59" s="33" t="n">
        <v>0.0338203515832715</v>
      </c>
      <c r="G59" s="33" t="n">
        <v>0.0222135158482356</v>
      </c>
      <c r="H59" s="33" t="n">
        <v>0.0560347620718449</v>
      </c>
      <c r="I59" s="33" t="n">
        <v>0.0412425503825715</v>
      </c>
      <c r="J59" s="33" t="n">
        <v>0.0437457522856278</v>
      </c>
      <c r="K59" s="33" t="n">
        <v>0.0615172530513665</v>
      </c>
      <c r="L59" s="33" t="n">
        <v>0.0771224121873887</v>
      </c>
      <c r="M59" s="33" t="n">
        <v>0.0666075192283475</v>
      </c>
      <c r="N59" s="33" t="n">
        <v>0.0683427437221885</v>
      </c>
      <c r="O59" s="33" t="n">
        <v>0.0518069120898697</v>
      </c>
      <c r="P59" s="33" t="n">
        <v>0.0616384969616992</v>
      </c>
      <c r="Q59" s="33" t="n">
        <v>0.0605282265329538</v>
      </c>
      <c r="R59" s="33" t="n">
        <v>0.0459611376096212</v>
      </c>
      <c r="S59" s="33" t="n">
        <v>0.0649647865196577</v>
      </c>
      <c r="T59" s="33" t="n">
        <v>0.0462676176859385</v>
      </c>
      <c r="U59" s="33" t="n">
        <v>0.0790248601311872</v>
      </c>
      <c r="V59" s="33" t="n">
        <v>0.0463749944485855</v>
      </c>
      <c r="W59" s="33" t="n">
        <v>0.0366738106594008</v>
      </c>
      <c r="X59" s="33" t="n">
        <v>0.0669230331620882</v>
      </c>
      <c r="Y59" s="33" t="n">
        <v>0.0613467309617123</v>
      </c>
      <c r="Z59" s="33" t="n">
        <v>0.0685307831853439</v>
      </c>
      <c r="AA59" s="33" t="n">
        <v>0.0544804264087836</v>
      </c>
      <c r="AB59" s="33" t="n">
        <v>0.0546313762362791</v>
      </c>
      <c r="AC59" s="33" t="n">
        <v>0.0612726763278605</v>
      </c>
      <c r="AD59" s="33" t="n">
        <v>0.0611689379428229</v>
      </c>
      <c r="AE59" s="33" t="n">
        <v>0.0736035173464971</v>
      </c>
      <c r="AF59" s="33" t="n">
        <v>0.0645547381152302</v>
      </c>
      <c r="AG59" s="33" t="n">
        <v>0.058401323046334</v>
      </c>
      <c r="AH59" s="33" t="n">
        <v>0.04627517479759</v>
      </c>
      <c r="AI59" s="33" t="n">
        <v>0.063740225228742</v>
      </c>
      <c r="AJ59" s="33" t="n">
        <v>0.0627331710072507</v>
      </c>
      <c r="AK59" s="33" t="n">
        <v>0.0505010015778771</v>
      </c>
      <c r="AL59" s="33" t="n">
        <v>0.0466857871122473</v>
      </c>
      <c r="AM59" s="33" t="n">
        <v>0.0522384319995176</v>
      </c>
      <c r="AN59" s="33" t="n">
        <v>0.0430481052468056</v>
      </c>
      <c r="AO59" s="33" t="n">
        <v>0.0329013210415622</v>
      </c>
      <c r="AP59" s="33" t="n">
        <v>0.0486308395235762</v>
      </c>
      <c r="AQ59" s="33" t="n">
        <v>0.0356189181985759</v>
      </c>
      <c r="AR59" s="33" t="n">
        <v>0.0385182442764138</v>
      </c>
      <c r="AS59" s="33" t="n">
        <v>0.0360199034638756</v>
      </c>
      <c r="AT59" s="33" t="n">
        <v>0.0501701461128791</v>
      </c>
      <c r="AU59" s="33" t="n">
        <v>0.0512998612823589</v>
      </c>
      <c r="AV59" s="33" t="n">
        <v>0.0570070681781891</v>
      </c>
      <c r="AW59" s="33" t="n">
        <v>0.0571193678068182</v>
      </c>
      <c r="AX59" s="33" t="n">
        <v>0.0481150981957106</v>
      </c>
      <c r="AY59" s="33" t="n">
        <v>0.0434680657958964</v>
      </c>
      <c r="AZ59" s="33" t="n">
        <v>0.0342545557157544</v>
      </c>
      <c r="BA59" s="33" t="n">
        <v>0.0655207852386234</v>
      </c>
      <c r="BB59" s="33" t="n">
        <v>0.0616879366614002</v>
      </c>
      <c r="BC59" s="33" t="n">
        <v>0.0785388614803824</v>
      </c>
      <c r="BD59" s="33" t="n">
        <v>0.0333341546612987</v>
      </c>
      <c r="BE59" s="33" t="n">
        <v>1.14601629734304</v>
      </c>
      <c r="BF59" s="33" t="n">
        <v>0.0360624648738567</v>
      </c>
      <c r="BG59" s="33" t="n">
        <v>0.0397825720037789</v>
      </c>
      <c r="BH59" s="33" t="n">
        <v>0.0344093979683109</v>
      </c>
      <c r="BI59" s="33" t="n">
        <v>0.04342636371542</v>
      </c>
      <c r="BJ59" s="33" t="n">
        <v>0.046851401183236</v>
      </c>
      <c r="BK59" s="33" t="n">
        <v>0.0366790795522443</v>
      </c>
      <c r="BL59" s="33" t="n">
        <v>0.0341218801707907</v>
      </c>
      <c r="BM59" s="33" t="n">
        <v>0.0911376181598071</v>
      </c>
      <c r="BN59" s="33" t="n">
        <v>0.008712753624911</v>
      </c>
      <c r="BO59" s="33" t="n">
        <v>0.031775796761986</v>
      </c>
      <c r="BP59" s="33" t="n">
        <v>0.0140588424000694</v>
      </c>
      <c r="BQ59" s="33" t="n">
        <v>0.0419440029626225</v>
      </c>
      <c r="BR59" s="33" t="n">
        <v>0.046154139659093</v>
      </c>
      <c r="BS59" s="33" t="n">
        <v>0.0412729001132656</v>
      </c>
      <c r="BT59" s="33" t="n">
        <v>0</v>
      </c>
    </row>
    <row r="60" customFormat="false" ht="11.25" hidden="false" customHeight="true" outlineLevel="0" collapsed="false">
      <c r="B60" s="24" t="s">
        <v>171</v>
      </c>
      <c r="C60" s="25" t="s">
        <v>172</v>
      </c>
      <c r="D60" s="24" t="n">
        <v>54</v>
      </c>
      <c r="E60" s="34" t="n">
        <v>0.00360408078972623</v>
      </c>
      <c r="F60" s="34" t="n">
        <v>0.00412328197955239</v>
      </c>
      <c r="G60" s="34" t="n">
        <v>0.00196089777645865</v>
      </c>
      <c r="H60" s="34" t="n">
        <v>0.00818182665549539</v>
      </c>
      <c r="I60" s="34" t="n">
        <v>0.00650724320263091</v>
      </c>
      <c r="J60" s="34" t="n">
        <v>0.00509291126751186</v>
      </c>
      <c r="K60" s="34" t="n">
        <v>0.0094130198054233</v>
      </c>
      <c r="L60" s="34" t="n">
        <v>0.0226042805950094</v>
      </c>
      <c r="M60" s="34" t="n">
        <v>0.0113976388969613</v>
      </c>
      <c r="N60" s="34" t="n">
        <v>0.0179983305895188</v>
      </c>
      <c r="O60" s="34" t="n">
        <v>0.00975328920078149</v>
      </c>
      <c r="P60" s="34" t="n">
        <v>0.0149062575429853</v>
      </c>
      <c r="Q60" s="34" t="n">
        <v>0.0196847134137407</v>
      </c>
      <c r="R60" s="34" t="n">
        <v>0.016651094762529</v>
      </c>
      <c r="S60" s="34" t="n">
        <v>0.0222306795457459</v>
      </c>
      <c r="T60" s="34" t="n">
        <v>0.00944009996153906</v>
      </c>
      <c r="U60" s="34" t="n">
        <v>0.0218737498213727</v>
      </c>
      <c r="V60" s="34" t="n">
        <v>0.0105487594235787</v>
      </c>
      <c r="W60" s="34" t="n">
        <v>0.00643536333110258</v>
      </c>
      <c r="X60" s="34" t="n">
        <v>0.014537959217292</v>
      </c>
      <c r="Y60" s="34" t="n">
        <v>0.0108073134979351</v>
      </c>
      <c r="Z60" s="34" t="n">
        <v>0.0195599470633319</v>
      </c>
      <c r="AA60" s="34" t="n">
        <v>0.0125108315313174</v>
      </c>
      <c r="AB60" s="34" t="n">
        <v>0.0214613604889047</v>
      </c>
      <c r="AC60" s="34" t="n">
        <v>0.0181560303360933</v>
      </c>
      <c r="AD60" s="34" t="n">
        <v>0.0147252265573142</v>
      </c>
      <c r="AE60" s="34" t="n">
        <v>0.0165464466300217</v>
      </c>
      <c r="AF60" s="34" t="n">
        <v>0.0120006826817362</v>
      </c>
      <c r="AG60" s="34" t="n">
        <v>0.0153930364584604</v>
      </c>
      <c r="AH60" s="34" t="n">
        <v>0.0128102545886233</v>
      </c>
      <c r="AI60" s="34" t="n">
        <v>0.0163994212708208</v>
      </c>
      <c r="AJ60" s="34" t="n">
        <v>0.0196349496936158</v>
      </c>
      <c r="AK60" s="34" t="n">
        <v>0.00854992056150562</v>
      </c>
      <c r="AL60" s="34" t="n">
        <v>0.00919713487957845</v>
      </c>
      <c r="AM60" s="34" t="n">
        <v>0.00917262463837901</v>
      </c>
      <c r="AN60" s="34" t="n">
        <v>0.0121795198966571</v>
      </c>
      <c r="AO60" s="34" t="n">
        <v>0.00680334095251519</v>
      </c>
      <c r="AP60" s="34" t="n">
        <v>0.00722005863940576</v>
      </c>
      <c r="AQ60" s="34" t="n">
        <v>0.00830679285418358</v>
      </c>
      <c r="AR60" s="34" t="n">
        <v>0.00731713151456898</v>
      </c>
      <c r="AS60" s="34" t="n">
        <v>0.0226009793560758</v>
      </c>
      <c r="AT60" s="34" t="n">
        <v>0.0348947876696608</v>
      </c>
      <c r="AU60" s="34" t="n">
        <v>0.00875654924814509</v>
      </c>
      <c r="AV60" s="34" t="n">
        <v>0.0115502729191386</v>
      </c>
      <c r="AW60" s="34" t="n">
        <v>0.0102114557586023</v>
      </c>
      <c r="AX60" s="34" t="n">
        <v>0.0216106377474921</v>
      </c>
      <c r="AY60" s="34" t="n">
        <v>0.03737198502282</v>
      </c>
      <c r="AZ60" s="34" t="n">
        <v>0.0206113922047509</v>
      </c>
      <c r="BA60" s="34" t="n">
        <v>0.0297915291767681</v>
      </c>
      <c r="BB60" s="34" t="n">
        <v>0.0301738474841863</v>
      </c>
      <c r="BC60" s="34" t="n">
        <v>0.0336517526559825</v>
      </c>
      <c r="BD60" s="34" t="n">
        <v>0.0147894066911498</v>
      </c>
      <c r="BE60" s="34" t="n">
        <v>0.0149813939951854</v>
      </c>
      <c r="BF60" s="34" t="n">
        <v>1.0040774121051</v>
      </c>
      <c r="BG60" s="34" t="n">
        <v>0.0249527755112338</v>
      </c>
      <c r="BH60" s="34" t="n">
        <v>0.0147965095165398</v>
      </c>
      <c r="BI60" s="34" t="n">
        <v>0.0231476020934111</v>
      </c>
      <c r="BJ60" s="34" t="n">
        <v>0.0251892434862238</v>
      </c>
      <c r="BK60" s="34" t="n">
        <v>0.0162960738155158</v>
      </c>
      <c r="BL60" s="34" t="n">
        <v>0.00872526742103487</v>
      </c>
      <c r="BM60" s="34" t="n">
        <v>0.00677858721970302</v>
      </c>
      <c r="BN60" s="34" t="n">
        <v>0.00456063430372699</v>
      </c>
      <c r="BO60" s="34" t="n">
        <v>0.0375778565442162</v>
      </c>
      <c r="BP60" s="34" t="n">
        <v>0.00639224551564889</v>
      </c>
      <c r="BQ60" s="34" t="n">
        <v>0.0118605895595245</v>
      </c>
      <c r="BR60" s="34" t="n">
        <v>0.0740969579591397</v>
      </c>
      <c r="BS60" s="34" t="n">
        <v>0.0212912468570982</v>
      </c>
      <c r="BT60" s="34" t="n">
        <v>0</v>
      </c>
    </row>
    <row r="61" customFormat="false" ht="11.25" hidden="false" customHeight="true" outlineLevel="0" collapsed="false">
      <c r="B61" s="19" t="s">
        <v>173</v>
      </c>
      <c r="C61" s="20" t="s">
        <v>174</v>
      </c>
      <c r="D61" s="19" t="n">
        <v>55</v>
      </c>
      <c r="E61" s="33" t="n">
        <v>0.0154038095695403</v>
      </c>
      <c r="F61" s="33" t="n">
        <v>0.0141363153617685</v>
      </c>
      <c r="G61" s="33" t="n">
        <v>0.00715507965637873</v>
      </c>
      <c r="H61" s="33" t="n">
        <v>0.050123957037999</v>
      </c>
      <c r="I61" s="33" t="n">
        <v>0.0554761632922439</v>
      </c>
      <c r="J61" s="33" t="n">
        <v>0.0239723917546679</v>
      </c>
      <c r="K61" s="33" t="n">
        <v>0.0372759133163267</v>
      </c>
      <c r="L61" s="33" t="n">
        <v>0.050108685038211</v>
      </c>
      <c r="M61" s="33" t="n">
        <v>0.0353033123864336</v>
      </c>
      <c r="N61" s="33" t="n">
        <v>0.0578868129308426</v>
      </c>
      <c r="O61" s="33" t="n">
        <v>0.0393911389002348</v>
      </c>
      <c r="P61" s="33" t="n">
        <v>0.0690557952128535</v>
      </c>
      <c r="Q61" s="33" t="n">
        <v>0.0349160289819425</v>
      </c>
      <c r="R61" s="33" t="n">
        <v>0.0221068384013146</v>
      </c>
      <c r="S61" s="33" t="n">
        <v>0.0355098752223266</v>
      </c>
      <c r="T61" s="33" t="n">
        <v>0.0233822893052331</v>
      </c>
      <c r="U61" s="33" t="n">
        <v>0.0551892047097588</v>
      </c>
      <c r="V61" s="33" t="n">
        <v>0.0262803140168244</v>
      </c>
      <c r="W61" s="33" t="n">
        <v>0.0453599180207783</v>
      </c>
      <c r="X61" s="33" t="n">
        <v>0.0379549002300732</v>
      </c>
      <c r="Y61" s="33" t="n">
        <v>0.0561016183422561</v>
      </c>
      <c r="Z61" s="33" t="n">
        <v>0.0995153188380988</v>
      </c>
      <c r="AA61" s="33" t="n">
        <v>0.0601471809370464</v>
      </c>
      <c r="AB61" s="33" t="n">
        <v>0.101945440880514</v>
      </c>
      <c r="AC61" s="33" t="n">
        <v>0.0458508214107855</v>
      </c>
      <c r="AD61" s="33" t="n">
        <v>0.0489652260686528</v>
      </c>
      <c r="AE61" s="33" t="n">
        <v>0.040659517031403</v>
      </c>
      <c r="AF61" s="33" t="n">
        <v>0.0393866285581735</v>
      </c>
      <c r="AG61" s="33" t="n">
        <v>0.0327952016893693</v>
      </c>
      <c r="AH61" s="33" t="n">
        <v>0.0511988693489794</v>
      </c>
      <c r="AI61" s="33" t="n">
        <v>0.0685304295567102</v>
      </c>
      <c r="AJ61" s="33" t="n">
        <v>0.0407403761144262</v>
      </c>
      <c r="AK61" s="33" t="n">
        <v>0.0340106342470762</v>
      </c>
      <c r="AL61" s="33" t="n">
        <v>0.0306406494675003</v>
      </c>
      <c r="AM61" s="33" t="n">
        <v>0.0235034155158151</v>
      </c>
      <c r="AN61" s="33" t="n">
        <v>0.0254023860049409</v>
      </c>
      <c r="AO61" s="33" t="n">
        <v>0.020906217554688</v>
      </c>
      <c r="AP61" s="33" t="n">
        <v>0.0161060627192969</v>
      </c>
      <c r="AQ61" s="33" t="n">
        <v>0.0301314673438585</v>
      </c>
      <c r="AR61" s="33" t="n">
        <v>0.0240916434993309</v>
      </c>
      <c r="AS61" s="33" t="n">
        <v>0.0466374305069874</v>
      </c>
      <c r="AT61" s="33" t="n">
        <v>0.0351182269708139</v>
      </c>
      <c r="AU61" s="33" t="n">
        <v>0.0264643873837278</v>
      </c>
      <c r="AV61" s="33" t="n">
        <v>0.021562413894487</v>
      </c>
      <c r="AW61" s="33" t="n">
        <v>0.0310879285436251</v>
      </c>
      <c r="AX61" s="33" t="n">
        <v>0.0283445962186806</v>
      </c>
      <c r="AY61" s="33" t="n">
        <v>0.0189663576805784</v>
      </c>
      <c r="AZ61" s="33" t="n">
        <v>0.0168119299835601</v>
      </c>
      <c r="BA61" s="33" t="n">
        <v>0.0503098102522441</v>
      </c>
      <c r="BB61" s="33" t="n">
        <v>0.0830684530159893</v>
      </c>
      <c r="BC61" s="33" t="n">
        <v>0.0459667512855484</v>
      </c>
      <c r="BD61" s="33" t="n">
        <v>0.0303881523659355</v>
      </c>
      <c r="BE61" s="33" t="n">
        <v>0.041254210588999</v>
      </c>
      <c r="BF61" s="33" t="n">
        <v>0.00606339143754362</v>
      </c>
      <c r="BG61" s="33" t="n">
        <v>1.09336149072684</v>
      </c>
      <c r="BH61" s="33" t="n">
        <v>0.06778402806883</v>
      </c>
      <c r="BI61" s="33" t="n">
        <v>0.0409466348718733</v>
      </c>
      <c r="BJ61" s="33" t="n">
        <v>0.0305619131821457</v>
      </c>
      <c r="BK61" s="33" t="n">
        <v>0.0266379059725786</v>
      </c>
      <c r="BL61" s="33" t="n">
        <v>0.034271047457135</v>
      </c>
      <c r="BM61" s="33" t="n">
        <v>0.0120321164801524</v>
      </c>
      <c r="BN61" s="33" t="n">
        <v>0.00576939851306783</v>
      </c>
      <c r="BO61" s="33" t="n">
        <v>0.0290168097851461</v>
      </c>
      <c r="BP61" s="33" t="n">
        <v>0.011023753537928</v>
      </c>
      <c r="BQ61" s="33" t="n">
        <v>0.0186404330813863</v>
      </c>
      <c r="BR61" s="33" t="n">
        <v>0.0336709884535187</v>
      </c>
      <c r="BS61" s="33" t="n">
        <v>0.0363805879415877</v>
      </c>
      <c r="BT61" s="33" t="n">
        <v>0</v>
      </c>
    </row>
    <row r="62" customFormat="false" ht="11.25" hidden="false" customHeight="true" outlineLevel="0" collapsed="false">
      <c r="B62" s="24" t="s">
        <v>175</v>
      </c>
      <c r="C62" s="25" t="s">
        <v>176</v>
      </c>
      <c r="D62" s="24" t="n">
        <v>56</v>
      </c>
      <c r="E62" s="34" t="n">
        <v>0.0062964873280281</v>
      </c>
      <c r="F62" s="34" t="n">
        <v>0.00404373099085132</v>
      </c>
      <c r="G62" s="34" t="n">
        <v>0.00160687251655084</v>
      </c>
      <c r="H62" s="34" t="n">
        <v>0.00884764044631632</v>
      </c>
      <c r="I62" s="34" t="n">
        <v>0.0201073116312829</v>
      </c>
      <c r="J62" s="34" t="n">
        <v>0.0092162527823438</v>
      </c>
      <c r="K62" s="34" t="n">
        <v>0.017316498462244</v>
      </c>
      <c r="L62" s="34" t="n">
        <v>0.0125988263038694</v>
      </c>
      <c r="M62" s="34" t="n">
        <v>0.0140144423266609</v>
      </c>
      <c r="N62" s="34" t="n">
        <v>0.0122086091905434</v>
      </c>
      <c r="O62" s="34" t="n">
        <v>0.0093264703765443</v>
      </c>
      <c r="P62" s="34" t="n">
        <v>0.015066188079407</v>
      </c>
      <c r="Q62" s="34" t="n">
        <v>0.0108606150181829</v>
      </c>
      <c r="R62" s="34" t="n">
        <v>0.00718155445458341</v>
      </c>
      <c r="S62" s="34" t="n">
        <v>0.00980790542481161</v>
      </c>
      <c r="T62" s="34" t="n">
        <v>0.00591671388483084</v>
      </c>
      <c r="U62" s="34" t="n">
        <v>0.0158282197923591</v>
      </c>
      <c r="V62" s="34" t="n">
        <v>0.00767665122550774</v>
      </c>
      <c r="W62" s="34" t="n">
        <v>0.0104675189111141</v>
      </c>
      <c r="X62" s="34" t="n">
        <v>0.0137343512136717</v>
      </c>
      <c r="Y62" s="34" t="n">
        <v>0.0133696797747564</v>
      </c>
      <c r="Z62" s="34" t="n">
        <v>0.0193823599800439</v>
      </c>
      <c r="AA62" s="34" t="n">
        <v>0.0192765390709673</v>
      </c>
      <c r="AB62" s="34" t="n">
        <v>0.0240294973046658</v>
      </c>
      <c r="AC62" s="34" t="n">
        <v>0.0176023102304398</v>
      </c>
      <c r="AD62" s="34" t="n">
        <v>0.0142946964760723</v>
      </c>
      <c r="AE62" s="34" t="n">
        <v>0.0131553652808655</v>
      </c>
      <c r="AF62" s="34" t="n">
        <v>0.0147389805473658</v>
      </c>
      <c r="AG62" s="34" t="n">
        <v>0.0114745693220915</v>
      </c>
      <c r="AH62" s="34" t="n">
        <v>0.0140411263265704</v>
      </c>
      <c r="AI62" s="34" t="n">
        <v>0.0136807046210361</v>
      </c>
      <c r="AJ62" s="34" t="n">
        <v>0.0215823290095365</v>
      </c>
      <c r="AK62" s="34" t="n">
        <v>0.019707046438309</v>
      </c>
      <c r="AL62" s="34" t="n">
        <v>0.0156816115828513</v>
      </c>
      <c r="AM62" s="34" t="n">
        <v>0.00992488568048665</v>
      </c>
      <c r="AN62" s="34" t="n">
        <v>0.00853347543320135</v>
      </c>
      <c r="AO62" s="34" t="n">
        <v>0.00857248704940495</v>
      </c>
      <c r="AP62" s="34" t="n">
        <v>0.0201077676062118</v>
      </c>
      <c r="AQ62" s="34" t="n">
        <v>0.0144351040735617</v>
      </c>
      <c r="AR62" s="34" t="n">
        <v>0.0138417662599033</v>
      </c>
      <c r="AS62" s="34" t="n">
        <v>0.00415387629554878</v>
      </c>
      <c r="AT62" s="34" t="n">
        <v>0.00517691693463119</v>
      </c>
      <c r="AU62" s="34" t="n">
        <v>0.00730797159389644</v>
      </c>
      <c r="AV62" s="34" t="n">
        <v>0.0130533704448922</v>
      </c>
      <c r="AW62" s="34" t="n">
        <v>0.00722029626441573</v>
      </c>
      <c r="AX62" s="34" t="n">
        <v>0.0508511360886456</v>
      </c>
      <c r="AY62" s="34" t="n">
        <v>0.00364320289871995</v>
      </c>
      <c r="AZ62" s="34" t="n">
        <v>0.00343935974555973</v>
      </c>
      <c r="BA62" s="34" t="n">
        <v>0.00547639462225424</v>
      </c>
      <c r="BB62" s="34" t="n">
        <v>0.00360681481867937</v>
      </c>
      <c r="BC62" s="34" t="n">
        <v>0.00451202977042738</v>
      </c>
      <c r="BD62" s="34" t="n">
        <v>0.00536899871049075</v>
      </c>
      <c r="BE62" s="34" t="n">
        <v>0.0035601012651368</v>
      </c>
      <c r="BF62" s="34" t="n">
        <v>0.000464978137484065</v>
      </c>
      <c r="BG62" s="34" t="n">
        <v>0.00176590428639628</v>
      </c>
      <c r="BH62" s="34" t="n">
        <v>1.05201194694948</v>
      </c>
      <c r="BI62" s="34" t="n">
        <v>0.00288048149115469</v>
      </c>
      <c r="BJ62" s="34" t="n">
        <v>0.00454344649798853</v>
      </c>
      <c r="BK62" s="34" t="n">
        <v>0.00280228998479909</v>
      </c>
      <c r="BL62" s="34" t="n">
        <v>0.00105068143825688</v>
      </c>
      <c r="BM62" s="34" t="n">
        <v>0.0106518205755737</v>
      </c>
      <c r="BN62" s="34" t="n">
        <v>0.00471728116793206</v>
      </c>
      <c r="BO62" s="34" t="n">
        <v>0.00386930623223403</v>
      </c>
      <c r="BP62" s="34" t="n">
        <v>0.00871254380860298</v>
      </c>
      <c r="BQ62" s="34" t="n">
        <v>0.00249392519823622</v>
      </c>
      <c r="BR62" s="34" t="n">
        <v>0.00238600697915639</v>
      </c>
      <c r="BS62" s="34" t="n">
        <v>0.00339638283360108</v>
      </c>
      <c r="BT62" s="34" t="n">
        <v>0</v>
      </c>
    </row>
    <row r="63" customFormat="false" ht="11.25" hidden="false" customHeight="true" outlineLevel="0" collapsed="false">
      <c r="B63" s="19" t="s">
        <v>177</v>
      </c>
      <c r="C63" s="20" t="s">
        <v>178</v>
      </c>
      <c r="D63" s="19" t="n">
        <v>57</v>
      </c>
      <c r="E63" s="33" t="n">
        <v>0.00423743627762828</v>
      </c>
      <c r="F63" s="33" t="n">
        <v>0.00851948772597439</v>
      </c>
      <c r="G63" s="33" t="n">
        <v>0.0043685640957963</v>
      </c>
      <c r="H63" s="33" t="n">
        <v>0.00968202244682502</v>
      </c>
      <c r="I63" s="33" t="n">
        <v>0.00804691792670093</v>
      </c>
      <c r="J63" s="33" t="n">
        <v>0.00500552819556333</v>
      </c>
      <c r="K63" s="33" t="n">
        <v>0.00824216786271625</v>
      </c>
      <c r="L63" s="33" t="n">
        <v>0.0266817138791248</v>
      </c>
      <c r="M63" s="33" t="n">
        <v>0.0110644819060541</v>
      </c>
      <c r="N63" s="33" t="n">
        <v>0.0260945425032494</v>
      </c>
      <c r="O63" s="33" t="n">
        <v>0.0739369283867089</v>
      </c>
      <c r="P63" s="33" t="n">
        <v>0.0345294847163083</v>
      </c>
      <c r="Q63" s="33" t="n">
        <v>0.0140472485795508</v>
      </c>
      <c r="R63" s="33" t="n">
        <v>0.0146476458576493</v>
      </c>
      <c r="S63" s="33" t="n">
        <v>0.0353822880034458</v>
      </c>
      <c r="T63" s="33" t="n">
        <v>0.00878482998229484</v>
      </c>
      <c r="U63" s="33" t="n">
        <v>0.0237203672858492</v>
      </c>
      <c r="V63" s="33" t="n">
        <v>0.0120203509975369</v>
      </c>
      <c r="W63" s="33" t="n">
        <v>0.00671573270474481</v>
      </c>
      <c r="X63" s="33" t="n">
        <v>0.0124271046798388</v>
      </c>
      <c r="Y63" s="33" t="n">
        <v>0.0101240435956551</v>
      </c>
      <c r="Z63" s="33" t="n">
        <v>0.0230145615433329</v>
      </c>
      <c r="AA63" s="33" t="n">
        <v>0.0386423887755184</v>
      </c>
      <c r="AB63" s="33" t="n">
        <v>0.0442582211112587</v>
      </c>
      <c r="AC63" s="33" t="n">
        <v>0.0175926232511806</v>
      </c>
      <c r="AD63" s="33" t="n">
        <v>0.014351565551285</v>
      </c>
      <c r="AE63" s="33" t="n">
        <v>0.0141704189587771</v>
      </c>
      <c r="AF63" s="33" t="n">
        <v>0.0107459167207672</v>
      </c>
      <c r="AG63" s="33" t="n">
        <v>0.0153334056166607</v>
      </c>
      <c r="AH63" s="33" t="n">
        <v>0.0269069762917212</v>
      </c>
      <c r="AI63" s="33" t="n">
        <v>0.0227640375351511</v>
      </c>
      <c r="AJ63" s="33" t="n">
        <v>0.0183271233046018</v>
      </c>
      <c r="AK63" s="33" t="n">
        <v>0.0304093669949453</v>
      </c>
      <c r="AL63" s="33" t="n">
        <v>0.00914198421860264</v>
      </c>
      <c r="AM63" s="33" t="n">
        <v>0.0147502887393698</v>
      </c>
      <c r="AN63" s="33" t="n">
        <v>0.0132743614673436</v>
      </c>
      <c r="AO63" s="33" t="n">
        <v>0.0077725145667164</v>
      </c>
      <c r="AP63" s="33" t="n">
        <v>0.0162230124317132</v>
      </c>
      <c r="AQ63" s="33" t="n">
        <v>0.00870566714797289</v>
      </c>
      <c r="AR63" s="33" t="n">
        <v>0.00894037581340322</v>
      </c>
      <c r="AS63" s="33" t="n">
        <v>0.0214994294612925</v>
      </c>
      <c r="AT63" s="33" t="n">
        <v>0.0227910050903641</v>
      </c>
      <c r="AU63" s="33" t="n">
        <v>0.00813544713259493</v>
      </c>
      <c r="AV63" s="33" t="n">
        <v>0.00971918026773533</v>
      </c>
      <c r="AW63" s="33" t="n">
        <v>0.0134947640073562</v>
      </c>
      <c r="AX63" s="33" t="n">
        <v>0.0143317018188333</v>
      </c>
      <c r="AY63" s="33" t="n">
        <v>0.0177598979699554</v>
      </c>
      <c r="AZ63" s="33" t="n">
        <v>0.0160273186049353</v>
      </c>
      <c r="BA63" s="33" t="n">
        <v>0.0587881686193829</v>
      </c>
      <c r="BB63" s="33" t="n">
        <v>0.0664490765726669</v>
      </c>
      <c r="BC63" s="33" t="n">
        <v>0.0406873996618578</v>
      </c>
      <c r="BD63" s="33" t="n">
        <v>0.0193549620505596</v>
      </c>
      <c r="BE63" s="33" t="n">
        <v>0.0276787371662879</v>
      </c>
      <c r="BF63" s="33" t="n">
        <v>0.00293879353148666</v>
      </c>
      <c r="BG63" s="33" t="n">
        <v>0.0292939225470555</v>
      </c>
      <c r="BH63" s="33" t="n">
        <v>0.0105361373719722</v>
      </c>
      <c r="BI63" s="33" t="n">
        <v>1.04439173922632</v>
      </c>
      <c r="BJ63" s="33" t="n">
        <v>0.0272391043928607</v>
      </c>
      <c r="BK63" s="33" t="n">
        <v>0.0125853756001219</v>
      </c>
      <c r="BL63" s="33" t="n">
        <v>0.00823794377162307</v>
      </c>
      <c r="BM63" s="33" t="n">
        <v>0.0102202785731113</v>
      </c>
      <c r="BN63" s="33" t="n">
        <v>0.00584035655906381</v>
      </c>
      <c r="BO63" s="33" t="n">
        <v>0.0308711431047901</v>
      </c>
      <c r="BP63" s="33" t="n">
        <v>0.0107557041874859</v>
      </c>
      <c r="BQ63" s="33" t="n">
        <v>0.00567591085468756</v>
      </c>
      <c r="BR63" s="33" t="n">
        <v>0.0396392617749143</v>
      </c>
      <c r="BS63" s="33" t="n">
        <v>0.0191478916705203</v>
      </c>
      <c r="BT63" s="33" t="n">
        <v>0</v>
      </c>
    </row>
    <row r="64" customFormat="false" ht="11.25" hidden="false" customHeight="true" outlineLevel="0" collapsed="false">
      <c r="B64" s="24" t="s">
        <v>179</v>
      </c>
      <c r="C64" s="25" t="s">
        <v>180</v>
      </c>
      <c r="D64" s="24" t="n">
        <v>58</v>
      </c>
      <c r="E64" s="34" t="n">
        <v>0.00303591359892479</v>
      </c>
      <c r="F64" s="34" t="n">
        <v>0.00253270818933061</v>
      </c>
      <c r="G64" s="34" t="n">
        <v>0.00332001955398128</v>
      </c>
      <c r="H64" s="34" t="n">
        <v>0.0100370243811761</v>
      </c>
      <c r="I64" s="34" t="n">
        <v>0.025956024496331</v>
      </c>
      <c r="J64" s="34" t="n">
        <v>0.00959226068747117</v>
      </c>
      <c r="K64" s="34" t="n">
        <v>0.0138313927087271</v>
      </c>
      <c r="L64" s="34" t="n">
        <v>0.00707121204051471</v>
      </c>
      <c r="M64" s="34" t="n">
        <v>0.00805528659620708</v>
      </c>
      <c r="N64" s="34" t="n">
        <v>0.00794747136864562</v>
      </c>
      <c r="O64" s="34" t="n">
        <v>0.00705652715315031</v>
      </c>
      <c r="P64" s="34" t="n">
        <v>0.00566935162579816</v>
      </c>
      <c r="Q64" s="34" t="n">
        <v>0.00553937188499145</v>
      </c>
      <c r="R64" s="34" t="n">
        <v>0.0042084462346786</v>
      </c>
      <c r="S64" s="34" t="n">
        <v>0.00641572858249973</v>
      </c>
      <c r="T64" s="34" t="n">
        <v>0.00595002465731649</v>
      </c>
      <c r="U64" s="34" t="n">
        <v>0.0122939713556437</v>
      </c>
      <c r="V64" s="34" t="n">
        <v>0.00929099242136536</v>
      </c>
      <c r="W64" s="34" t="n">
        <v>0.0122112756284117</v>
      </c>
      <c r="X64" s="34" t="n">
        <v>0.00578453971055392</v>
      </c>
      <c r="Y64" s="34" t="n">
        <v>0.00709859871939575</v>
      </c>
      <c r="Z64" s="34" t="n">
        <v>0.0103226038265266</v>
      </c>
      <c r="AA64" s="34" t="n">
        <v>0.00573316626685098</v>
      </c>
      <c r="AB64" s="34" t="n">
        <v>0.00688065275621628</v>
      </c>
      <c r="AC64" s="34" t="n">
        <v>0.00799465203873915</v>
      </c>
      <c r="AD64" s="34" t="n">
        <v>0.00807974224183104</v>
      </c>
      <c r="AE64" s="34" t="n">
        <v>0.0113721042289921</v>
      </c>
      <c r="AF64" s="34" t="n">
        <v>0.00978982070673561</v>
      </c>
      <c r="AG64" s="34" t="n">
        <v>0.00866406415476142</v>
      </c>
      <c r="AH64" s="34" t="n">
        <v>0.007041820226386</v>
      </c>
      <c r="AI64" s="34" t="n">
        <v>0.00726572167240635</v>
      </c>
      <c r="AJ64" s="34" t="n">
        <v>0.0086209678788616</v>
      </c>
      <c r="AK64" s="34" t="n">
        <v>0.00801205876555149</v>
      </c>
      <c r="AL64" s="34" t="n">
        <v>0.00734683696259017</v>
      </c>
      <c r="AM64" s="34" t="n">
        <v>0.010718258406325</v>
      </c>
      <c r="AN64" s="34" t="n">
        <v>0.00553654033795518</v>
      </c>
      <c r="AO64" s="34" t="n">
        <v>0.00576045652528011</v>
      </c>
      <c r="AP64" s="34" t="n">
        <v>0.00511230755584363</v>
      </c>
      <c r="AQ64" s="34" t="n">
        <v>0.0146930275985164</v>
      </c>
      <c r="AR64" s="34" t="n">
        <v>0.00712989215746077</v>
      </c>
      <c r="AS64" s="34" t="n">
        <v>0.00480483366219775</v>
      </c>
      <c r="AT64" s="34" t="n">
        <v>0.00638742937867937</v>
      </c>
      <c r="AU64" s="34" t="n">
        <v>0.0109790817690416</v>
      </c>
      <c r="AV64" s="34" t="n">
        <v>0.0402277845389535</v>
      </c>
      <c r="AW64" s="34" t="n">
        <v>0.0459706127197926</v>
      </c>
      <c r="AX64" s="34" t="n">
        <v>0.0115213442649497</v>
      </c>
      <c r="AY64" s="34" t="n">
        <v>0.00503788242827562</v>
      </c>
      <c r="AZ64" s="34" t="n">
        <v>0.00429356670328417</v>
      </c>
      <c r="BA64" s="34" t="n">
        <v>0.0182649835189534</v>
      </c>
      <c r="BB64" s="34" t="n">
        <v>0.0158401274108564</v>
      </c>
      <c r="BC64" s="34" t="n">
        <v>0.0186602239100943</v>
      </c>
      <c r="BD64" s="34" t="n">
        <v>0.00949736484813123</v>
      </c>
      <c r="BE64" s="34" t="n">
        <v>0.00378159294091618</v>
      </c>
      <c r="BF64" s="34" t="n">
        <v>0.000591896335175961</v>
      </c>
      <c r="BG64" s="34" t="n">
        <v>0.00416386288157154</v>
      </c>
      <c r="BH64" s="34" t="n">
        <v>0.0101729248248692</v>
      </c>
      <c r="BI64" s="34" t="n">
        <v>0.00950139048784396</v>
      </c>
      <c r="BJ64" s="34" t="n">
        <v>1.01909360143705</v>
      </c>
      <c r="BK64" s="34" t="n">
        <v>0.0049484967313135</v>
      </c>
      <c r="BL64" s="34" t="n">
        <v>0.00555700594813214</v>
      </c>
      <c r="BM64" s="34" t="n">
        <v>0.00424668380426059</v>
      </c>
      <c r="BN64" s="34" t="n">
        <v>0.00373512376226456</v>
      </c>
      <c r="BO64" s="34" t="n">
        <v>0.0115016297931881</v>
      </c>
      <c r="BP64" s="34" t="n">
        <v>0.00679412469536623</v>
      </c>
      <c r="BQ64" s="34" t="n">
        <v>0.00402562687942988</v>
      </c>
      <c r="BR64" s="34" t="n">
        <v>0.00828500604234261</v>
      </c>
      <c r="BS64" s="34" t="n">
        <v>0.00589734798294089</v>
      </c>
      <c r="BT64" s="34" t="n">
        <v>0</v>
      </c>
    </row>
    <row r="65" customFormat="false" ht="11.25" hidden="false" customHeight="true" outlineLevel="0" collapsed="false">
      <c r="B65" s="19" t="s">
        <v>181</v>
      </c>
      <c r="C65" s="20" t="s">
        <v>182</v>
      </c>
      <c r="D65" s="19" t="n">
        <v>59</v>
      </c>
      <c r="E65" s="33" t="n">
        <v>0.00691756950273605</v>
      </c>
      <c r="F65" s="33" t="n">
        <v>0.00741558348713751</v>
      </c>
      <c r="G65" s="33" t="n">
        <v>0.00427443038382176</v>
      </c>
      <c r="H65" s="33" t="n">
        <v>0.0377256756037914</v>
      </c>
      <c r="I65" s="33" t="n">
        <v>0.0120438958148464</v>
      </c>
      <c r="J65" s="33" t="n">
        <v>0.012513895654136</v>
      </c>
      <c r="K65" s="33" t="n">
        <v>0.0229034565298839</v>
      </c>
      <c r="L65" s="33" t="n">
        <v>0.0294108424041257</v>
      </c>
      <c r="M65" s="33" t="n">
        <v>0.0222943342367694</v>
      </c>
      <c r="N65" s="33" t="n">
        <v>0.0269962580028415</v>
      </c>
      <c r="O65" s="33" t="n">
        <v>0.0293669082372015</v>
      </c>
      <c r="P65" s="33" t="n">
        <v>0.0262781527841354</v>
      </c>
      <c r="Q65" s="33" t="n">
        <v>0.0238236465430285</v>
      </c>
      <c r="R65" s="33" t="n">
        <v>0.0178531783793708</v>
      </c>
      <c r="S65" s="33" t="n">
        <v>0.0301687230840322</v>
      </c>
      <c r="T65" s="33" t="n">
        <v>0.0140297405257871</v>
      </c>
      <c r="U65" s="33" t="n">
        <v>0.0350199797467608</v>
      </c>
      <c r="V65" s="33" t="n">
        <v>0.0168154733105898</v>
      </c>
      <c r="W65" s="33" t="n">
        <v>0.010548595349985</v>
      </c>
      <c r="X65" s="33" t="n">
        <v>0.0258341273931362</v>
      </c>
      <c r="Y65" s="33" t="n">
        <v>0.0192202973765794</v>
      </c>
      <c r="Z65" s="33" t="n">
        <v>0.0365084898956932</v>
      </c>
      <c r="AA65" s="33" t="n">
        <v>0.0228431778301076</v>
      </c>
      <c r="AB65" s="33" t="n">
        <v>0.0381820027455049</v>
      </c>
      <c r="AC65" s="33" t="n">
        <v>0.0271013408065975</v>
      </c>
      <c r="AD65" s="33" t="n">
        <v>0.0286771408925286</v>
      </c>
      <c r="AE65" s="33" t="n">
        <v>0.0261042262955483</v>
      </c>
      <c r="AF65" s="33" t="n">
        <v>0.026916297156496</v>
      </c>
      <c r="AG65" s="33" t="n">
        <v>0.0248651252031151</v>
      </c>
      <c r="AH65" s="33" t="n">
        <v>0.0246614598342606</v>
      </c>
      <c r="AI65" s="33" t="n">
        <v>0.0307302922579622</v>
      </c>
      <c r="AJ65" s="33" t="n">
        <v>0.0353494917669702</v>
      </c>
      <c r="AK65" s="33" t="n">
        <v>0.021595515373891</v>
      </c>
      <c r="AL65" s="33" t="n">
        <v>0.0178496925702266</v>
      </c>
      <c r="AM65" s="33" t="n">
        <v>0.0170485152052733</v>
      </c>
      <c r="AN65" s="33" t="n">
        <v>0.0175202854696515</v>
      </c>
      <c r="AO65" s="33" t="n">
        <v>0.0151225031769379</v>
      </c>
      <c r="AP65" s="33" t="n">
        <v>0.0198167814626834</v>
      </c>
      <c r="AQ65" s="33" t="n">
        <v>0.013925253819691</v>
      </c>
      <c r="AR65" s="33" t="n">
        <v>0.0140587574743379</v>
      </c>
      <c r="AS65" s="33" t="n">
        <v>0.0191198750150029</v>
      </c>
      <c r="AT65" s="33" t="n">
        <v>0.0382511367392862</v>
      </c>
      <c r="AU65" s="33" t="n">
        <v>0.015617179238193</v>
      </c>
      <c r="AV65" s="33" t="n">
        <v>0.0215686156226047</v>
      </c>
      <c r="AW65" s="33" t="n">
        <v>0.0403608853452694</v>
      </c>
      <c r="AX65" s="33" t="n">
        <v>0.0348162189332298</v>
      </c>
      <c r="AY65" s="33" t="n">
        <v>0.0426904698312751</v>
      </c>
      <c r="AZ65" s="33" t="n">
        <v>0.0167378942995032</v>
      </c>
      <c r="BA65" s="33" t="n">
        <v>0.0400299312482958</v>
      </c>
      <c r="BB65" s="33" t="n">
        <v>0.0452215725869389</v>
      </c>
      <c r="BC65" s="33" t="n">
        <v>0.112533427905467</v>
      </c>
      <c r="BD65" s="33" t="n">
        <v>0.052953979265554</v>
      </c>
      <c r="BE65" s="33" t="n">
        <v>0.0501534741496323</v>
      </c>
      <c r="BF65" s="33" t="n">
        <v>0.00469194228273239</v>
      </c>
      <c r="BG65" s="33" t="n">
        <v>0.0278399493457054</v>
      </c>
      <c r="BH65" s="33" t="n">
        <v>0.0163613372615884</v>
      </c>
      <c r="BI65" s="33" t="n">
        <v>0.0319202567869403</v>
      </c>
      <c r="BJ65" s="33" t="n">
        <v>0.0212665300486064</v>
      </c>
      <c r="BK65" s="33" t="n">
        <v>1.03382315946942</v>
      </c>
      <c r="BL65" s="33" t="n">
        <v>0.0157746972194399</v>
      </c>
      <c r="BM65" s="33" t="n">
        <v>0.0339001593174813</v>
      </c>
      <c r="BN65" s="33" t="n">
        <v>0.0398510336774929</v>
      </c>
      <c r="BO65" s="33" t="n">
        <v>0.0422731351975451</v>
      </c>
      <c r="BP65" s="33" t="n">
        <v>0.0597573924408598</v>
      </c>
      <c r="BQ65" s="33" t="n">
        <v>0.024557032877498</v>
      </c>
      <c r="BR65" s="33" t="n">
        <v>0.0304483545365102</v>
      </c>
      <c r="BS65" s="33" t="n">
        <v>0.0436607070984047</v>
      </c>
      <c r="BT65" s="33" t="n">
        <v>0</v>
      </c>
    </row>
    <row r="66" customFormat="false" ht="11.25" hidden="false" customHeight="true" outlineLevel="0" collapsed="false">
      <c r="B66" s="24" t="s">
        <v>183</v>
      </c>
      <c r="C66" s="25" t="s">
        <v>184</v>
      </c>
      <c r="D66" s="24" t="n">
        <v>60</v>
      </c>
      <c r="E66" s="34" t="n">
        <v>0.00174939664009386</v>
      </c>
      <c r="F66" s="34" t="n">
        <v>0.0016958578944759</v>
      </c>
      <c r="G66" s="34" t="n">
        <v>0.001015922724988</v>
      </c>
      <c r="H66" s="34" t="n">
        <v>0.00324381017901375</v>
      </c>
      <c r="I66" s="34" t="n">
        <v>0.00278443273179896</v>
      </c>
      <c r="J66" s="34" t="n">
        <v>0.00296873197087995</v>
      </c>
      <c r="K66" s="34" t="n">
        <v>0.0046200880023153</v>
      </c>
      <c r="L66" s="34" t="n">
        <v>0.00683196155793176</v>
      </c>
      <c r="M66" s="34" t="n">
        <v>0.00576013556305798</v>
      </c>
      <c r="N66" s="34" t="n">
        <v>0.00612567955111571</v>
      </c>
      <c r="O66" s="34" t="n">
        <v>0.00512273269849438</v>
      </c>
      <c r="P66" s="34" t="n">
        <v>0.012096590051462</v>
      </c>
      <c r="Q66" s="34" t="n">
        <v>0.00494285771314259</v>
      </c>
      <c r="R66" s="34" t="n">
        <v>0.00356140420022166</v>
      </c>
      <c r="S66" s="34" t="n">
        <v>0.00624230783445823</v>
      </c>
      <c r="T66" s="34" t="n">
        <v>0.00434022049443577</v>
      </c>
      <c r="U66" s="34" t="n">
        <v>0.0103670130396671</v>
      </c>
      <c r="V66" s="34" t="n">
        <v>0.00417280056829725</v>
      </c>
      <c r="W66" s="34" t="n">
        <v>0.00253990262689992</v>
      </c>
      <c r="X66" s="34" t="n">
        <v>0.00390688572351241</v>
      </c>
      <c r="Y66" s="34" t="n">
        <v>0.0052821497626262</v>
      </c>
      <c r="Z66" s="34" t="n">
        <v>0.0080983254389903</v>
      </c>
      <c r="AA66" s="34" t="n">
        <v>0.00454212881126533</v>
      </c>
      <c r="AB66" s="34" t="n">
        <v>0.00818337678931448</v>
      </c>
      <c r="AC66" s="34" t="n">
        <v>0.00640433574509111</v>
      </c>
      <c r="AD66" s="34" t="n">
        <v>0.00848033251882279</v>
      </c>
      <c r="AE66" s="34" t="n">
        <v>0.00583426825688777</v>
      </c>
      <c r="AF66" s="34" t="n">
        <v>0.00518833109130958</v>
      </c>
      <c r="AG66" s="34" t="n">
        <v>0.00585345457652675</v>
      </c>
      <c r="AH66" s="34" t="n">
        <v>0.00519710419981946</v>
      </c>
      <c r="AI66" s="34" t="n">
        <v>0.00591765959198471</v>
      </c>
      <c r="AJ66" s="34" t="n">
        <v>0.00684329112601955</v>
      </c>
      <c r="AK66" s="34" t="n">
        <v>0.00653148574986246</v>
      </c>
      <c r="AL66" s="34" t="n">
        <v>0.00561541614942387</v>
      </c>
      <c r="AM66" s="34" t="n">
        <v>0.00516196722420735</v>
      </c>
      <c r="AN66" s="34" t="n">
        <v>0.00383674979481667</v>
      </c>
      <c r="AO66" s="34" t="n">
        <v>0.00423493883754853</v>
      </c>
      <c r="AP66" s="34" t="n">
        <v>0.00286908686380385</v>
      </c>
      <c r="AQ66" s="34" t="n">
        <v>0.00879704819306853</v>
      </c>
      <c r="AR66" s="34" t="n">
        <v>0.00356971159289529</v>
      </c>
      <c r="AS66" s="34" t="n">
        <v>0.00601121971274986</v>
      </c>
      <c r="AT66" s="34" t="n">
        <v>0.00689601374343431</v>
      </c>
      <c r="AU66" s="34" t="n">
        <v>0.00690291725513443</v>
      </c>
      <c r="AV66" s="34" t="n">
        <v>0.00726661600271034</v>
      </c>
      <c r="AW66" s="34" t="n">
        <v>0.0101621388617156</v>
      </c>
      <c r="AX66" s="34" t="n">
        <v>0.0229174823766108</v>
      </c>
      <c r="AY66" s="34" t="n">
        <v>0.005377729619685</v>
      </c>
      <c r="AZ66" s="34" t="n">
        <v>0.00406291014826935</v>
      </c>
      <c r="BA66" s="34" t="n">
        <v>0.00747968375746507</v>
      </c>
      <c r="BB66" s="34" t="n">
        <v>0.0114964044910298</v>
      </c>
      <c r="BC66" s="34" t="n">
        <v>0.00901427505746447</v>
      </c>
      <c r="BD66" s="34" t="n">
        <v>0.00484201132280272</v>
      </c>
      <c r="BE66" s="34" t="n">
        <v>0.0131425184989321</v>
      </c>
      <c r="BF66" s="34" t="n">
        <v>0.00089925527252932</v>
      </c>
      <c r="BG66" s="34" t="n">
        <v>0.00588008779632649</v>
      </c>
      <c r="BH66" s="34" t="n">
        <v>0.00205735975538279</v>
      </c>
      <c r="BI66" s="34" t="n">
        <v>0.00722372312378443</v>
      </c>
      <c r="BJ66" s="34" t="n">
        <v>0.00437953893582487</v>
      </c>
      <c r="BK66" s="34" t="n">
        <v>0.00474736568729154</v>
      </c>
      <c r="BL66" s="34" t="n">
        <v>1.00240328501272</v>
      </c>
      <c r="BM66" s="34" t="n">
        <v>0.00745892795501887</v>
      </c>
      <c r="BN66" s="34" t="n">
        <v>0.00791080805272837</v>
      </c>
      <c r="BO66" s="34" t="n">
        <v>0.0143998587974035</v>
      </c>
      <c r="BP66" s="34" t="n">
        <v>0.00882585776086342</v>
      </c>
      <c r="BQ66" s="34" t="n">
        <v>0.00158638843907408</v>
      </c>
      <c r="BR66" s="34" t="n">
        <v>0.00553645968460611</v>
      </c>
      <c r="BS66" s="34" t="n">
        <v>0.0028987761520678</v>
      </c>
      <c r="BT66" s="34" t="n">
        <v>0</v>
      </c>
    </row>
    <row r="67" customFormat="false" ht="11.25" hidden="false" customHeight="true" outlineLevel="0" collapsed="false">
      <c r="B67" s="19" t="s">
        <v>185</v>
      </c>
      <c r="C67" s="20" t="s">
        <v>186</v>
      </c>
      <c r="D67" s="19" t="n">
        <v>61</v>
      </c>
      <c r="E67" s="33" t="n">
        <v>0.00237193692600474</v>
      </c>
      <c r="F67" s="33" t="n">
        <v>0.00275178393625235</v>
      </c>
      <c r="G67" s="33" t="n">
        <v>0.00128358951892178</v>
      </c>
      <c r="H67" s="33" t="n">
        <v>0.00415794406336626</v>
      </c>
      <c r="I67" s="33" t="n">
        <v>0.00438031212401713</v>
      </c>
      <c r="J67" s="33" t="n">
        <v>0.0032932288235291</v>
      </c>
      <c r="K67" s="33" t="n">
        <v>0.0052278444423548</v>
      </c>
      <c r="L67" s="33" t="n">
        <v>0.00705850622612949</v>
      </c>
      <c r="M67" s="33" t="n">
        <v>0.00489939614777827</v>
      </c>
      <c r="N67" s="33" t="n">
        <v>0.00878840899512281</v>
      </c>
      <c r="O67" s="33" t="n">
        <v>0.0109602256902271</v>
      </c>
      <c r="P67" s="33" t="n">
        <v>0.00866054838641613</v>
      </c>
      <c r="Q67" s="33" t="n">
        <v>0.00465872364666043</v>
      </c>
      <c r="R67" s="33" t="n">
        <v>0.00344942648434433</v>
      </c>
      <c r="S67" s="33" t="n">
        <v>0.00667597487019186</v>
      </c>
      <c r="T67" s="33" t="n">
        <v>0.00370664632766469</v>
      </c>
      <c r="U67" s="33" t="n">
        <v>0.00740228035324615</v>
      </c>
      <c r="V67" s="33" t="n">
        <v>0.00348446784213654</v>
      </c>
      <c r="W67" s="33" t="n">
        <v>0.00328290225800129</v>
      </c>
      <c r="X67" s="33" t="n">
        <v>0.00489147453816507</v>
      </c>
      <c r="Y67" s="33" t="n">
        <v>0.00732887329728127</v>
      </c>
      <c r="Z67" s="33" t="n">
        <v>0.00939330817298918</v>
      </c>
      <c r="AA67" s="33" t="n">
        <v>0.00882158683726259</v>
      </c>
      <c r="AB67" s="33" t="n">
        <v>0.0107563910446456</v>
      </c>
      <c r="AC67" s="33" t="n">
        <v>0.00584975994641582</v>
      </c>
      <c r="AD67" s="33" t="n">
        <v>0.00538803470228431</v>
      </c>
      <c r="AE67" s="33" t="n">
        <v>0.00707317212752465</v>
      </c>
      <c r="AF67" s="33" t="n">
        <v>0.00603862945951353</v>
      </c>
      <c r="AG67" s="33" t="n">
        <v>0.00517799838653557</v>
      </c>
      <c r="AH67" s="33" t="n">
        <v>0.00610810841660033</v>
      </c>
      <c r="AI67" s="33" t="n">
        <v>0.0069956675005342</v>
      </c>
      <c r="AJ67" s="33" t="n">
        <v>0.00585962200313311</v>
      </c>
      <c r="AK67" s="33" t="n">
        <v>0.00668904350392903</v>
      </c>
      <c r="AL67" s="33" t="n">
        <v>0.0041395294971681</v>
      </c>
      <c r="AM67" s="33" t="n">
        <v>0.00401560157791429</v>
      </c>
      <c r="AN67" s="33" t="n">
        <v>0.00365257988334549</v>
      </c>
      <c r="AO67" s="33" t="n">
        <v>0.00289500608181534</v>
      </c>
      <c r="AP67" s="33" t="n">
        <v>0.00395350954356911</v>
      </c>
      <c r="AQ67" s="33" t="n">
        <v>0.0033666342944693</v>
      </c>
      <c r="AR67" s="33" t="n">
        <v>0.00286970861236779</v>
      </c>
      <c r="AS67" s="33" t="n">
        <v>0.00461948012791745</v>
      </c>
      <c r="AT67" s="33" t="n">
        <v>0.00508943587386886</v>
      </c>
      <c r="AU67" s="33" t="n">
        <v>0.00347926391462489</v>
      </c>
      <c r="AV67" s="33" t="n">
        <v>0.00928437528597009</v>
      </c>
      <c r="AW67" s="33" t="n">
        <v>0.00670174971543407</v>
      </c>
      <c r="AX67" s="33" t="n">
        <v>0.00526663522836069</v>
      </c>
      <c r="AY67" s="33" t="n">
        <v>0.00422724305243676</v>
      </c>
      <c r="AZ67" s="33" t="n">
        <v>0.00340921481007394</v>
      </c>
      <c r="BA67" s="33" t="n">
        <v>0.00935608299467226</v>
      </c>
      <c r="BB67" s="33" t="n">
        <v>0.0119894812848166</v>
      </c>
      <c r="BC67" s="33" t="n">
        <v>0.00772621758598243</v>
      </c>
      <c r="BD67" s="33" t="n">
        <v>0.00419900616867449</v>
      </c>
      <c r="BE67" s="33" t="n">
        <v>0.00512535220366894</v>
      </c>
      <c r="BF67" s="33" t="n">
        <v>0.000661730767560582</v>
      </c>
      <c r="BG67" s="33" t="n">
        <v>0.00699581839915956</v>
      </c>
      <c r="BH67" s="33" t="n">
        <v>0.00801166514077743</v>
      </c>
      <c r="BI67" s="33" t="n">
        <v>0.00810481889631428</v>
      </c>
      <c r="BJ67" s="33" t="n">
        <v>0.00480659002295102</v>
      </c>
      <c r="BK67" s="33" t="n">
        <v>0.00378515014818801</v>
      </c>
      <c r="BL67" s="33" t="n">
        <v>0.00245010707851148</v>
      </c>
      <c r="BM67" s="33" t="n">
        <v>1.00292832691467</v>
      </c>
      <c r="BN67" s="33" t="n">
        <v>0.00193604969790541</v>
      </c>
      <c r="BO67" s="33" t="n">
        <v>0.00617734546596717</v>
      </c>
      <c r="BP67" s="33" t="n">
        <v>0.00296038708011788</v>
      </c>
      <c r="BQ67" s="33" t="n">
        <v>0.00260185609368634</v>
      </c>
      <c r="BR67" s="33" t="n">
        <v>0.00703402513563457</v>
      </c>
      <c r="BS67" s="33" t="n">
        <v>0.00667594868021997</v>
      </c>
      <c r="BT67" s="33" t="n">
        <v>0</v>
      </c>
    </row>
    <row r="68" customFormat="false" ht="11.25" hidden="false" customHeight="true" outlineLevel="0" collapsed="false">
      <c r="B68" s="24" t="s">
        <v>187</v>
      </c>
      <c r="C68" s="25" t="s">
        <v>188</v>
      </c>
      <c r="D68" s="24" t="n">
        <v>62</v>
      </c>
      <c r="E68" s="34" t="n">
        <v>0.000140224448171397</v>
      </c>
      <c r="F68" s="34" t="n">
        <v>0.000131657021610393</v>
      </c>
      <c r="G68" s="34" t="n">
        <v>4.97206722608235E-005</v>
      </c>
      <c r="H68" s="34" t="n">
        <v>0.000343534259213412</v>
      </c>
      <c r="I68" s="34" t="n">
        <v>0.000299787797691318</v>
      </c>
      <c r="J68" s="34" t="n">
        <v>0.000392066857557007</v>
      </c>
      <c r="K68" s="34" t="n">
        <v>0.00031213883589519</v>
      </c>
      <c r="L68" s="34" t="n">
        <v>0.000378565231804804</v>
      </c>
      <c r="M68" s="34" t="n">
        <v>0.000264104788454882</v>
      </c>
      <c r="N68" s="34" t="n">
        <v>0.000419465812242584</v>
      </c>
      <c r="O68" s="34" t="n">
        <v>0.000356629438114043</v>
      </c>
      <c r="P68" s="34" t="n">
        <v>0.000455301118213807</v>
      </c>
      <c r="Q68" s="34" t="n">
        <v>0.000342041035582659</v>
      </c>
      <c r="R68" s="34" t="n">
        <v>0.000227792341298775</v>
      </c>
      <c r="S68" s="34" t="n">
        <v>0.000326844586768121</v>
      </c>
      <c r="T68" s="34" t="n">
        <v>0.00016761494281</v>
      </c>
      <c r="U68" s="34" t="n">
        <v>0.000427399331278641</v>
      </c>
      <c r="V68" s="34" t="n">
        <v>0.000221745326883686</v>
      </c>
      <c r="W68" s="34" t="n">
        <v>0.000202026620938094</v>
      </c>
      <c r="X68" s="34" t="n">
        <v>0.000271854186028234</v>
      </c>
      <c r="Y68" s="34" t="n">
        <v>0.000408712479994503</v>
      </c>
      <c r="Z68" s="34" t="n">
        <v>0.000873544424198251</v>
      </c>
      <c r="AA68" s="34" t="n">
        <v>0.00109924062348634</v>
      </c>
      <c r="AB68" s="34" t="n">
        <v>0.00166193069583188</v>
      </c>
      <c r="AC68" s="34" t="n">
        <v>0.000500036543973519</v>
      </c>
      <c r="AD68" s="34" t="n">
        <v>0.000362691459834167</v>
      </c>
      <c r="AE68" s="34" t="n">
        <v>0.000540304094338355</v>
      </c>
      <c r="AF68" s="34" t="n">
        <v>0.000542810253868395</v>
      </c>
      <c r="AG68" s="34" t="n">
        <v>0.000386368017421654</v>
      </c>
      <c r="AH68" s="34" t="n">
        <v>0.000846352369727391</v>
      </c>
      <c r="AI68" s="34" t="n">
        <v>0.000583810006532103</v>
      </c>
      <c r="AJ68" s="34" t="n">
        <v>0.000535788982741339</v>
      </c>
      <c r="AK68" s="34" t="n">
        <v>0.000982720103049547</v>
      </c>
      <c r="AL68" s="34" t="n">
        <v>0.000622043113774537</v>
      </c>
      <c r="AM68" s="34" t="n">
        <v>0.000390128512876373</v>
      </c>
      <c r="AN68" s="34" t="n">
        <v>0.000233418992589221</v>
      </c>
      <c r="AO68" s="34" t="n">
        <v>0.000221828157296157</v>
      </c>
      <c r="AP68" s="34" t="n">
        <v>0.000332255367833656</v>
      </c>
      <c r="AQ68" s="34" t="n">
        <v>0.000236671412926898</v>
      </c>
      <c r="AR68" s="34" t="n">
        <v>0.000229036171994673</v>
      </c>
      <c r="AS68" s="34" t="n">
        <v>0.00023286373455265</v>
      </c>
      <c r="AT68" s="34" t="n">
        <v>0.000283264964824094</v>
      </c>
      <c r="AU68" s="34" t="n">
        <v>0.00020862140203133</v>
      </c>
      <c r="AV68" s="34" t="n">
        <v>0.000272751192937618</v>
      </c>
      <c r="AW68" s="34" t="n">
        <v>0.000237683566221703</v>
      </c>
      <c r="AX68" s="34" t="n">
        <v>0.000511530153153869</v>
      </c>
      <c r="AY68" s="34" t="n">
        <v>0.000229859209872987</v>
      </c>
      <c r="AZ68" s="34" t="n">
        <v>0.000143515195417911</v>
      </c>
      <c r="BA68" s="34" t="n">
        <v>0.000333044195759964</v>
      </c>
      <c r="BB68" s="34" t="n">
        <v>0.000341014712870595</v>
      </c>
      <c r="BC68" s="34" t="n">
        <v>0.000640394875361027</v>
      </c>
      <c r="BD68" s="34" t="n">
        <v>0.000554302582518735</v>
      </c>
      <c r="BE68" s="34" t="n">
        <v>0.000309510069036956</v>
      </c>
      <c r="BF68" s="34" t="n">
        <v>3.10370386038681E-005</v>
      </c>
      <c r="BG68" s="34" t="n">
        <v>0.000398417235810035</v>
      </c>
      <c r="BH68" s="34" t="n">
        <v>0.00502682930352254</v>
      </c>
      <c r="BI68" s="34" t="n">
        <v>0.000287405391051706</v>
      </c>
      <c r="BJ68" s="34" t="n">
        <v>0.000432952385680202</v>
      </c>
      <c r="BK68" s="34" t="n">
        <v>0.00025513159374253</v>
      </c>
      <c r="BL68" s="34" t="n">
        <v>0.000165941954102804</v>
      </c>
      <c r="BM68" s="34" t="n">
        <v>0.000218903447351646</v>
      </c>
      <c r="BN68" s="34" t="n">
        <v>1.0002253810069</v>
      </c>
      <c r="BO68" s="34" t="n">
        <v>0.00094346082596256</v>
      </c>
      <c r="BP68" s="34" t="n">
        <v>0.000319648634715734</v>
      </c>
      <c r="BQ68" s="34" t="n">
        <v>0.000218295514820907</v>
      </c>
      <c r="BR68" s="34" t="n">
        <v>0.000224292751998508</v>
      </c>
      <c r="BS68" s="34" t="n">
        <v>0.00031509034085367</v>
      </c>
      <c r="BT68" s="34" t="n">
        <v>0</v>
      </c>
    </row>
    <row r="69" customFormat="false" ht="11.25" hidden="false" customHeight="true" outlineLevel="0" collapsed="false">
      <c r="B69" s="19" t="s">
        <v>189</v>
      </c>
      <c r="C69" s="20" t="s">
        <v>190</v>
      </c>
      <c r="D69" s="19" t="n">
        <v>63</v>
      </c>
      <c r="E69" s="33" t="n">
        <v>0.00063642485599977</v>
      </c>
      <c r="F69" s="33" t="n">
        <v>0.000613317325743645</v>
      </c>
      <c r="G69" s="33" t="n">
        <v>0.000368581834051719</v>
      </c>
      <c r="H69" s="33" t="n">
        <v>0.00161302058479959</v>
      </c>
      <c r="I69" s="33" t="n">
        <v>0.00155138071944311</v>
      </c>
      <c r="J69" s="33" t="n">
        <v>0.00216368691827628</v>
      </c>
      <c r="K69" s="33" t="n">
        <v>0.00275704826863268</v>
      </c>
      <c r="L69" s="33" t="n">
        <v>0.00212138125626614</v>
      </c>
      <c r="M69" s="33" t="n">
        <v>0.00142512189076133</v>
      </c>
      <c r="N69" s="33" t="n">
        <v>0.00213350527632642</v>
      </c>
      <c r="O69" s="33" t="n">
        <v>0.00175109985784616</v>
      </c>
      <c r="P69" s="33" t="n">
        <v>0.00192425203625716</v>
      </c>
      <c r="Q69" s="33" t="n">
        <v>0.00150818706918195</v>
      </c>
      <c r="R69" s="33" t="n">
        <v>0.00105185790161552</v>
      </c>
      <c r="S69" s="33" t="n">
        <v>0.00179702039821737</v>
      </c>
      <c r="T69" s="33" t="n">
        <v>0.00105392825230975</v>
      </c>
      <c r="U69" s="33" t="n">
        <v>0.00270158783257699</v>
      </c>
      <c r="V69" s="33" t="n">
        <v>0.00110917997400988</v>
      </c>
      <c r="W69" s="33" t="n">
        <v>0.00117955148773548</v>
      </c>
      <c r="X69" s="33" t="n">
        <v>0.00147219241950544</v>
      </c>
      <c r="Y69" s="33" t="n">
        <v>0.00170261289075607</v>
      </c>
      <c r="Z69" s="33" t="n">
        <v>0.0029679689548745</v>
      </c>
      <c r="AA69" s="33" t="n">
        <v>0.00187024524581682</v>
      </c>
      <c r="AB69" s="33" t="n">
        <v>0.00273899070138211</v>
      </c>
      <c r="AC69" s="33" t="n">
        <v>0.00177711910587071</v>
      </c>
      <c r="AD69" s="33" t="n">
        <v>0.00170090845392598</v>
      </c>
      <c r="AE69" s="33" t="n">
        <v>0.00362500384514546</v>
      </c>
      <c r="AF69" s="33" t="n">
        <v>0.00289131593626012</v>
      </c>
      <c r="AG69" s="33" t="n">
        <v>0.00239667501416818</v>
      </c>
      <c r="AH69" s="33" t="n">
        <v>0.00160303759119836</v>
      </c>
      <c r="AI69" s="33" t="n">
        <v>0.0022506078140682</v>
      </c>
      <c r="AJ69" s="33" t="n">
        <v>0.002188623131799</v>
      </c>
      <c r="AK69" s="33" t="n">
        <v>0.00206863309601239</v>
      </c>
      <c r="AL69" s="33" t="n">
        <v>0.0014823937869828</v>
      </c>
      <c r="AM69" s="33" t="n">
        <v>0.00120736726962899</v>
      </c>
      <c r="AN69" s="33" t="n">
        <v>0.00116925112132024</v>
      </c>
      <c r="AO69" s="33" t="n">
        <v>0.00102126491464443</v>
      </c>
      <c r="AP69" s="33" t="n">
        <v>0.00124603569348263</v>
      </c>
      <c r="AQ69" s="33" t="n">
        <v>0.000902944187224799</v>
      </c>
      <c r="AR69" s="33" t="n">
        <v>0.000927418325426358</v>
      </c>
      <c r="AS69" s="33" t="n">
        <v>0.00129383715898541</v>
      </c>
      <c r="AT69" s="33" t="n">
        <v>0.0019695098568939</v>
      </c>
      <c r="AU69" s="33" t="n">
        <v>0.00377880358936818</v>
      </c>
      <c r="AV69" s="33" t="n">
        <v>0.00569730814455822</v>
      </c>
      <c r="AW69" s="33" t="n">
        <v>0.00174087199626219</v>
      </c>
      <c r="AX69" s="33" t="n">
        <v>0.00324806399476111</v>
      </c>
      <c r="AY69" s="33" t="n">
        <v>0.00101103551105838</v>
      </c>
      <c r="AZ69" s="33" t="n">
        <v>0.000746591642607447</v>
      </c>
      <c r="BA69" s="33" t="n">
        <v>0.00213364067584706</v>
      </c>
      <c r="BB69" s="33" t="n">
        <v>0.00231020480271259</v>
      </c>
      <c r="BC69" s="33" t="n">
        <v>0.00276304857716039</v>
      </c>
      <c r="BD69" s="33" t="n">
        <v>0.00113886433957955</v>
      </c>
      <c r="BE69" s="33" t="n">
        <v>0.00449822067259313</v>
      </c>
      <c r="BF69" s="33" t="n">
        <v>0.000249505061018455</v>
      </c>
      <c r="BG69" s="33" t="n">
        <v>0.0133028433256781</v>
      </c>
      <c r="BH69" s="33" t="n">
        <v>0.00380347978693746</v>
      </c>
      <c r="BI69" s="33" t="n">
        <v>0.00615256117748541</v>
      </c>
      <c r="BJ69" s="33" t="n">
        <v>0.00225701562683058</v>
      </c>
      <c r="BK69" s="33" t="n">
        <v>0.00774319931353557</v>
      </c>
      <c r="BL69" s="33" t="n">
        <v>0.00411475964329696</v>
      </c>
      <c r="BM69" s="33" t="n">
        <v>0.00160618265825817</v>
      </c>
      <c r="BN69" s="33" t="n">
        <v>0.00610483092977433</v>
      </c>
      <c r="BO69" s="33" t="n">
        <v>1.00118888029871</v>
      </c>
      <c r="BP69" s="33" t="n">
        <v>0.00399677228499526</v>
      </c>
      <c r="BQ69" s="33" t="n">
        <v>0.000705526465689199</v>
      </c>
      <c r="BR69" s="33" t="n">
        <v>0.00111088677665817</v>
      </c>
      <c r="BS69" s="33" t="n">
        <v>0.00321991256575249</v>
      </c>
      <c r="BT69" s="33" t="n">
        <v>0</v>
      </c>
    </row>
    <row r="70" customFormat="false" ht="11.25" hidden="false" customHeight="true" outlineLevel="0" collapsed="false">
      <c r="B70" s="24" t="s">
        <v>191</v>
      </c>
      <c r="C70" s="25" t="s">
        <v>192</v>
      </c>
      <c r="D70" s="24" t="n">
        <v>64</v>
      </c>
      <c r="E70" s="34" t="n">
        <v>8.3340757037413E-006</v>
      </c>
      <c r="F70" s="34" t="n">
        <v>7.63324982648459E-006</v>
      </c>
      <c r="G70" s="34" t="n">
        <v>2.23983885729214E-006</v>
      </c>
      <c r="H70" s="34" t="n">
        <v>1.28344619324113E-005</v>
      </c>
      <c r="I70" s="34" t="n">
        <v>1.46414704753713E-005</v>
      </c>
      <c r="J70" s="34" t="n">
        <v>2.86140722806469E-005</v>
      </c>
      <c r="K70" s="34" t="n">
        <v>1.44866913861767E-005</v>
      </c>
      <c r="L70" s="34" t="n">
        <v>1.56052839622102E-005</v>
      </c>
      <c r="M70" s="34" t="n">
        <v>1.2868719779231E-005</v>
      </c>
      <c r="N70" s="34" t="n">
        <v>2.16813548392672E-005</v>
      </c>
      <c r="O70" s="34" t="n">
        <v>1.85175745778133E-005</v>
      </c>
      <c r="P70" s="34" t="n">
        <v>2.29574639526532E-005</v>
      </c>
      <c r="Q70" s="34" t="n">
        <v>1.87819755800541E-005</v>
      </c>
      <c r="R70" s="34" t="n">
        <v>1.1766143160594E-005</v>
      </c>
      <c r="S70" s="34" t="n">
        <v>1.48972153589614E-005</v>
      </c>
      <c r="T70" s="34" t="n">
        <v>7.55373308897306E-006</v>
      </c>
      <c r="U70" s="34" t="n">
        <v>2.09561692928023E-005</v>
      </c>
      <c r="V70" s="34" t="n">
        <v>1.15979609480418E-005</v>
      </c>
      <c r="W70" s="34" t="n">
        <v>8.43510803588252E-006</v>
      </c>
      <c r="X70" s="34" t="n">
        <v>1.29358365473167E-005</v>
      </c>
      <c r="Y70" s="34" t="n">
        <v>2.36671830460941E-005</v>
      </c>
      <c r="Z70" s="34" t="n">
        <v>5.75025929960141E-005</v>
      </c>
      <c r="AA70" s="34" t="n">
        <v>8.89293216732083E-005</v>
      </c>
      <c r="AB70" s="34" t="n">
        <v>0.00013205782756917</v>
      </c>
      <c r="AC70" s="34" t="n">
        <v>3.18925263642628E-005</v>
      </c>
      <c r="AD70" s="34" t="n">
        <v>1.71170584790924E-005</v>
      </c>
      <c r="AE70" s="34" t="n">
        <v>3.46830420941354E-005</v>
      </c>
      <c r="AF70" s="34" t="n">
        <v>3.54092530085049E-005</v>
      </c>
      <c r="AG70" s="34" t="n">
        <v>2.2382160199484E-005</v>
      </c>
      <c r="AH70" s="34" t="n">
        <v>6.51696926241942E-005</v>
      </c>
      <c r="AI70" s="34" t="n">
        <v>3.50530719153967E-005</v>
      </c>
      <c r="AJ70" s="34" t="n">
        <v>3.17546148271045E-005</v>
      </c>
      <c r="AK70" s="34" t="n">
        <v>8.19930056738966E-005</v>
      </c>
      <c r="AL70" s="34" t="n">
        <v>4.84208234562937E-005</v>
      </c>
      <c r="AM70" s="34" t="n">
        <v>2.82194214366419E-005</v>
      </c>
      <c r="AN70" s="34" t="n">
        <v>1.22976117329635E-005</v>
      </c>
      <c r="AO70" s="34" t="n">
        <v>1.25037559879786E-005</v>
      </c>
      <c r="AP70" s="34" t="n">
        <v>2.15356991088375E-005</v>
      </c>
      <c r="AQ70" s="34" t="n">
        <v>1.34166688755963E-005</v>
      </c>
      <c r="AR70" s="34" t="n">
        <v>1.28090079737569E-005</v>
      </c>
      <c r="AS70" s="34" t="n">
        <v>9.32857361521407E-006</v>
      </c>
      <c r="AT70" s="34" t="n">
        <v>9.43461781365912E-006</v>
      </c>
      <c r="AU70" s="34" t="n">
        <v>8.55812807237975E-006</v>
      </c>
      <c r="AV70" s="34" t="n">
        <v>1.06206583338029E-005</v>
      </c>
      <c r="AW70" s="34" t="n">
        <v>8.18034423486968E-006</v>
      </c>
      <c r="AX70" s="34" t="n">
        <v>2.92710030537535E-005</v>
      </c>
      <c r="AY70" s="34" t="n">
        <v>6.35575445237344E-006</v>
      </c>
      <c r="AZ70" s="34" t="n">
        <v>6.03719720655983E-006</v>
      </c>
      <c r="BA70" s="34" t="n">
        <v>1.13245284784362E-005</v>
      </c>
      <c r="BB70" s="34" t="n">
        <v>9.43825794272566E-006</v>
      </c>
      <c r="BC70" s="34" t="n">
        <v>2.00759109344647E-005</v>
      </c>
      <c r="BD70" s="34" t="n">
        <v>3.44215296976627E-005</v>
      </c>
      <c r="BE70" s="34" t="n">
        <v>6.02317272523817E-006</v>
      </c>
      <c r="BF70" s="34" t="n">
        <v>8.5431441329952E-007</v>
      </c>
      <c r="BG70" s="34" t="n">
        <v>5.9108698531657E-006</v>
      </c>
      <c r="BH70" s="34" t="n">
        <v>0.00046505727584073</v>
      </c>
      <c r="BI70" s="34" t="n">
        <v>7.86471176246308E-006</v>
      </c>
      <c r="BJ70" s="34" t="n">
        <v>2.89985495515929E-005</v>
      </c>
      <c r="BK70" s="34" t="n">
        <v>6.47345024793876E-006</v>
      </c>
      <c r="BL70" s="34" t="n">
        <v>2.80449238979128E-006</v>
      </c>
      <c r="BM70" s="34" t="n">
        <v>1.01582191522304E-005</v>
      </c>
      <c r="BN70" s="34" t="n">
        <v>5.23941639777585E-006</v>
      </c>
      <c r="BO70" s="34" t="n">
        <v>7.65359233598398E-005</v>
      </c>
      <c r="BP70" s="34" t="n">
        <v>1.00001153206319</v>
      </c>
      <c r="BQ70" s="34" t="n">
        <v>0.00239766815728738</v>
      </c>
      <c r="BR70" s="34" t="n">
        <v>6.46891450549242E-006</v>
      </c>
      <c r="BS70" s="34" t="n">
        <v>6.66511408263659E-006</v>
      </c>
      <c r="BT70" s="34" t="n">
        <v>0</v>
      </c>
    </row>
    <row r="71" customFormat="false" ht="11.25" hidden="false" customHeight="true" outlineLevel="0" collapsed="false">
      <c r="B71" s="19" t="s">
        <v>193</v>
      </c>
      <c r="C71" s="20" t="s">
        <v>194</v>
      </c>
      <c r="D71" s="19" t="n">
        <v>65</v>
      </c>
      <c r="E71" s="33" t="n">
        <v>4.54317633095658E-005</v>
      </c>
      <c r="F71" s="33" t="n">
        <v>5.19275057767542E-005</v>
      </c>
      <c r="G71" s="33" t="n">
        <v>2.4649501484995E-005</v>
      </c>
      <c r="H71" s="33" t="n">
        <v>0.000102817338753507</v>
      </c>
      <c r="I71" s="33" t="n">
        <v>8.20002808643624E-005</v>
      </c>
      <c r="J71" s="33" t="n">
        <v>6.47141349760021E-005</v>
      </c>
      <c r="K71" s="33" t="n">
        <v>0.000118327378893582</v>
      </c>
      <c r="L71" s="33" t="n">
        <v>0.000283043804662633</v>
      </c>
      <c r="M71" s="33" t="n">
        <v>0.000142996984741546</v>
      </c>
      <c r="N71" s="33" t="n">
        <v>0.00022598139432593</v>
      </c>
      <c r="O71" s="33" t="n">
        <v>0.000123285710235302</v>
      </c>
      <c r="P71" s="33" t="n">
        <v>0.000187436845392959</v>
      </c>
      <c r="Q71" s="33" t="n">
        <v>0.000246495598855307</v>
      </c>
      <c r="R71" s="33" t="n">
        <v>0.000208332948624362</v>
      </c>
      <c r="S71" s="33" t="n">
        <v>0.000278326583354111</v>
      </c>
      <c r="T71" s="33" t="n">
        <v>0.000118317886208055</v>
      </c>
      <c r="U71" s="33" t="n">
        <v>0.000274130044529666</v>
      </c>
      <c r="V71" s="33" t="n">
        <v>0.000132237437735072</v>
      </c>
      <c r="W71" s="33" t="n">
        <v>8.08188059731857E-005</v>
      </c>
      <c r="X71" s="33" t="n">
        <v>0.000182156260014522</v>
      </c>
      <c r="Y71" s="33" t="n">
        <v>0.000136226059147489</v>
      </c>
      <c r="Z71" s="33" t="n">
        <v>0.000246604412897342</v>
      </c>
      <c r="AA71" s="33" t="n">
        <v>0.000159621740674022</v>
      </c>
      <c r="AB71" s="33" t="n">
        <v>0.000272747840043803</v>
      </c>
      <c r="AC71" s="33" t="n">
        <v>0.000227948311991852</v>
      </c>
      <c r="AD71" s="33" t="n">
        <v>0.000184665815961378</v>
      </c>
      <c r="AE71" s="33" t="n">
        <v>0.000208106280974005</v>
      </c>
      <c r="AF71" s="33" t="n">
        <v>0.000151332175443617</v>
      </c>
      <c r="AG71" s="33" t="n">
        <v>0.000193145297767315</v>
      </c>
      <c r="AH71" s="33" t="n">
        <v>0.000162347893032509</v>
      </c>
      <c r="AI71" s="33" t="n">
        <v>0.000206261869110627</v>
      </c>
      <c r="AJ71" s="33" t="n">
        <v>0.000246375785345437</v>
      </c>
      <c r="AK71" s="33" t="n">
        <v>0.000109798983617706</v>
      </c>
      <c r="AL71" s="33" t="n">
        <v>0.000116577633145374</v>
      </c>
      <c r="AM71" s="33" t="n">
        <v>0.000115644206270705</v>
      </c>
      <c r="AN71" s="33" t="n">
        <v>0.000152609652949581</v>
      </c>
      <c r="AO71" s="33" t="n">
        <v>8.55003932375278E-005</v>
      </c>
      <c r="AP71" s="33" t="n">
        <v>9.1060213279617E-005</v>
      </c>
      <c r="AQ71" s="33" t="n">
        <v>0.000104312233857557</v>
      </c>
      <c r="AR71" s="33" t="n">
        <v>9.19018011712782E-005</v>
      </c>
      <c r="AS71" s="33" t="n">
        <v>0.000282572206259339</v>
      </c>
      <c r="AT71" s="33" t="n">
        <v>0.000435919782202066</v>
      </c>
      <c r="AU71" s="33" t="n">
        <v>0.000109798034700952</v>
      </c>
      <c r="AV71" s="33" t="n">
        <v>0.000145303286079945</v>
      </c>
      <c r="AW71" s="33" t="n">
        <v>0.000128262724872594</v>
      </c>
      <c r="AX71" s="33" t="n">
        <v>0.000270816324083759</v>
      </c>
      <c r="AY71" s="33" t="n">
        <v>0.000466630441174382</v>
      </c>
      <c r="AZ71" s="33" t="n">
        <v>0.000257544223121539</v>
      </c>
      <c r="BA71" s="33" t="n">
        <v>0.00037277373326842</v>
      </c>
      <c r="BB71" s="33" t="n">
        <v>0.000377757079471793</v>
      </c>
      <c r="BC71" s="33" t="n">
        <v>0.0004209949612352</v>
      </c>
      <c r="BD71" s="33" t="n">
        <v>0.000185890165677612</v>
      </c>
      <c r="BE71" s="33" t="n">
        <v>0.000187499356523018</v>
      </c>
      <c r="BF71" s="33" t="n">
        <v>5.09360268313119E-005</v>
      </c>
      <c r="BG71" s="33" t="n">
        <v>0.000312034836508405</v>
      </c>
      <c r="BH71" s="33" t="n">
        <v>0.000199642970903807</v>
      </c>
      <c r="BI71" s="33" t="n">
        <v>0.000289704553876139</v>
      </c>
      <c r="BJ71" s="33" t="n">
        <v>0.000315476099672434</v>
      </c>
      <c r="BK71" s="33" t="n">
        <v>0.000203785861694684</v>
      </c>
      <c r="BL71" s="33" t="n">
        <v>0.000109130198666719</v>
      </c>
      <c r="BM71" s="33" t="n">
        <v>0.000191682703663244</v>
      </c>
      <c r="BN71" s="33" t="n">
        <v>7.0451033490133E-005</v>
      </c>
      <c r="BO71" s="33" t="n">
        <v>0.00047157455184665</v>
      </c>
      <c r="BP71" s="33" t="n">
        <v>0.000161884365209099</v>
      </c>
      <c r="BQ71" s="33" t="n">
        <v>1.11150030365493</v>
      </c>
      <c r="BR71" s="33" t="n">
        <v>0.000924874244397623</v>
      </c>
      <c r="BS71" s="33" t="n">
        <v>0.000266376058512829</v>
      </c>
      <c r="BT71" s="33" t="n">
        <v>0</v>
      </c>
    </row>
    <row r="72" customFormat="false" ht="11.25" hidden="false" customHeight="true" outlineLevel="0" collapsed="false">
      <c r="B72" s="24" t="s">
        <v>195</v>
      </c>
      <c r="C72" s="25" t="s">
        <v>196</v>
      </c>
      <c r="D72" s="24" t="n">
        <v>66</v>
      </c>
      <c r="E72" s="34" t="n">
        <v>0.000216168219697565</v>
      </c>
      <c r="F72" s="34" t="n">
        <v>0.000399485560749369</v>
      </c>
      <c r="G72" s="34" t="n">
        <v>0.000205656314515348</v>
      </c>
      <c r="H72" s="34" t="n">
        <v>0.000494656858934537</v>
      </c>
      <c r="I72" s="34" t="n">
        <v>0.000409721253005332</v>
      </c>
      <c r="J72" s="34" t="n">
        <v>0.000272390557971641</v>
      </c>
      <c r="K72" s="34" t="n">
        <v>0.000454036101056102</v>
      </c>
      <c r="L72" s="34" t="n">
        <v>0.00134084933631168</v>
      </c>
      <c r="M72" s="34" t="n">
        <v>0.000577239594592745</v>
      </c>
      <c r="N72" s="34" t="n">
        <v>0.00128405093360925</v>
      </c>
      <c r="O72" s="34" t="n">
        <v>0.00321629618819985</v>
      </c>
      <c r="P72" s="34" t="n">
        <v>0.00159173822937934</v>
      </c>
      <c r="Q72" s="34" t="n">
        <v>0.000767391430908054</v>
      </c>
      <c r="R72" s="34" t="n">
        <v>0.000778934263458673</v>
      </c>
      <c r="S72" s="34" t="n">
        <v>0.00171079437909725</v>
      </c>
      <c r="T72" s="34" t="n">
        <v>0.000478620025954665</v>
      </c>
      <c r="U72" s="34" t="n">
        <v>0.00122693642644043</v>
      </c>
      <c r="V72" s="34" t="n">
        <v>0.000683144584043805</v>
      </c>
      <c r="W72" s="34" t="n">
        <v>0.000344526521936634</v>
      </c>
      <c r="X72" s="34" t="n">
        <v>0.00065539461391424</v>
      </c>
      <c r="Y72" s="34" t="n">
        <v>0.000536814806946553</v>
      </c>
      <c r="Z72" s="34" t="n">
        <v>0.00116815219639251</v>
      </c>
      <c r="AA72" s="34" t="n">
        <v>0.00171934764313646</v>
      </c>
      <c r="AB72" s="34" t="n">
        <v>0.00205788144499879</v>
      </c>
      <c r="AC72" s="34" t="n">
        <v>0.000915214688511995</v>
      </c>
      <c r="AD72" s="34" t="n">
        <v>0.000763747213727739</v>
      </c>
      <c r="AE72" s="34" t="n">
        <v>0.000753469209777016</v>
      </c>
      <c r="AF72" s="34" t="n">
        <v>0.000581958863369021</v>
      </c>
      <c r="AG72" s="34" t="n">
        <v>0.000808362599855381</v>
      </c>
      <c r="AH72" s="34" t="n">
        <v>0.00130532446111269</v>
      </c>
      <c r="AI72" s="34" t="n">
        <v>0.00114530172094351</v>
      </c>
      <c r="AJ72" s="34" t="n">
        <v>0.000975754673556431</v>
      </c>
      <c r="AK72" s="34" t="n">
        <v>0.00140449997060648</v>
      </c>
      <c r="AL72" s="34" t="n">
        <v>0.000530943575632251</v>
      </c>
      <c r="AM72" s="34" t="n">
        <v>0.000729656368327259</v>
      </c>
      <c r="AN72" s="34" t="n">
        <v>0.000691569786408382</v>
      </c>
      <c r="AO72" s="34" t="n">
        <v>0.000397051457184325</v>
      </c>
      <c r="AP72" s="34" t="n">
        <v>0.000739584109869377</v>
      </c>
      <c r="AQ72" s="34" t="n">
        <v>0.000416981553263232</v>
      </c>
      <c r="AR72" s="34" t="n">
        <v>0.000440244888005908</v>
      </c>
      <c r="AS72" s="34" t="n">
        <v>0.000986011876940357</v>
      </c>
      <c r="AT72" s="34" t="n">
        <v>0.00108507875767622</v>
      </c>
      <c r="AU72" s="34" t="n">
        <v>0.000413405286782854</v>
      </c>
      <c r="AV72" s="34" t="n">
        <v>0.000485334356460036</v>
      </c>
      <c r="AW72" s="34" t="n">
        <v>0.00063617681925535</v>
      </c>
      <c r="AX72" s="34" t="n">
        <v>0.000745078684374864</v>
      </c>
      <c r="AY72" s="34" t="n">
        <v>0.00139728214277374</v>
      </c>
      <c r="AZ72" s="34" t="n">
        <v>0.000741958781020806</v>
      </c>
      <c r="BA72" s="34" t="n">
        <v>0.00274443021225838</v>
      </c>
      <c r="BB72" s="34" t="n">
        <v>0.0556976189617472</v>
      </c>
      <c r="BC72" s="34" t="n">
        <v>0.00568849698560835</v>
      </c>
      <c r="BD72" s="34" t="n">
        <v>0.000974496774652039</v>
      </c>
      <c r="BE72" s="34" t="n">
        <v>0.00131432070803807</v>
      </c>
      <c r="BF72" s="34" t="n">
        <v>0.000139776586038454</v>
      </c>
      <c r="BG72" s="34" t="n">
        <v>0.00136078547112998</v>
      </c>
      <c r="BH72" s="34" t="n">
        <v>0.000522340150472138</v>
      </c>
      <c r="BI72" s="34" t="n">
        <v>0.0209250854182993</v>
      </c>
      <c r="BJ72" s="34" t="n">
        <v>0.00121208812660857</v>
      </c>
      <c r="BK72" s="34" t="n">
        <v>0.000755821778619119</v>
      </c>
      <c r="BL72" s="34" t="n">
        <v>0.000424685804956301</v>
      </c>
      <c r="BM72" s="34" t="n">
        <v>0.0013323185376758</v>
      </c>
      <c r="BN72" s="34" t="n">
        <v>0.000544849007057372</v>
      </c>
      <c r="BO72" s="34" t="n">
        <v>0.00143647394259186</v>
      </c>
      <c r="BP72" s="34" t="n">
        <v>0.000835820760160828</v>
      </c>
      <c r="BQ72" s="34" t="n">
        <v>0.000380630202846014</v>
      </c>
      <c r="BR72" s="34" t="n">
        <v>1.02046454000122</v>
      </c>
      <c r="BS72" s="34" t="n">
        <v>0.00791289559655665</v>
      </c>
      <c r="BT72" s="34" t="n">
        <v>0</v>
      </c>
    </row>
    <row r="73" customFormat="false" ht="11.25" hidden="false" customHeight="true" outlineLevel="0" collapsed="false">
      <c r="B73" s="19" t="s">
        <v>197</v>
      </c>
      <c r="C73" s="20" t="s">
        <v>198</v>
      </c>
      <c r="D73" s="19" t="n">
        <v>67</v>
      </c>
      <c r="E73" s="33" t="n">
        <v>0.0015507960916454</v>
      </c>
      <c r="F73" s="33" t="n">
        <v>0.00149417295630559</v>
      </c>
      <c r="G73" s="33" t="n">
        <v>0.00133804123102176</v>
      </c>
      <c r="H73" s="33" t="n">
        <v>0.00388962533095608</v>
      </c>
      <c r="I73" s="33" t="n">
        <v>0.00386909402812471</v>
      </c>
      <c r="J73" s="33" t="n">
        <v>0.00380035441144741</v>
      </c>
      <c r="K73" s="33" t="n">
        <v>0.00575815643097254</v>
      </c>
      <c r="L73" s="33" t="n">
        <v>0.00503048231054056</v>
      </c>
      <c r="M73" s="33" t="n">
        <v>0.00401669142223609</v>
      </c>
      <c r="N73" s="33" t="n">
        <v>0.004578365145146</v>
      </c>
      <c r="O73" s="33" t="n">
        <v>0.00440798735962231</v>
      </c>
      <c r="P73" s="33" t="n">
        <v>0.00400723540369224</v>
      </c>
      <c r="Q73" s="33" t="n">
        <v>0.00468023849907459</v>
      </c>
      <c r="R73" s="33" t="n">
        <v>0.00418518656105152</v>
      </c>
      <c r="S73" s="33" t="n">
        <v>0.00551808475637298</v>
      </c>
      <c r="T73" s="33" t="n">
        <v>0.0038552056111084</v>
      </c>
      <c r="U73" s="33" t="n">
        <v>0.00596167770514757</v>
      </c>
      <c r="V73" s="33" t="n">
        <v>0.00504416373268055</v>
      </c>
      <c r="W73" s="33" t="n">
        <v>0.00273039697063966</v>
      </c>
      <c r="X73" s="33" t="n">
        <v>0.00392937705010454</v>
      </c>
      <c r="Y73" s="33" t="n">
        <v>0.00342603826632224</v>
      </c>
      <c r="Z73" s="33" t="n">
        <v>0.00493394387250742</v>
      </c>
      <c r="AA73" s="33" t="n">
        <v>0.00365708789766843</v>
      </c>
      <c r="AB73" s="33" t="n">
        <v>0.0052422259283455</v>
      </c>
      <c r="AC73" s="33" t="n">
        <v>0.00497791789543</v>
      </c>
      <c r="AD73" s="33" t="n">
        <v>0.00481493004218427</v>
      </c>
      <c r="AE73" s="33" t="n">
        <v>0.00487938148129177</v>
      </c>
      <c r="AF73" s="33" t="n">
        <v>0.0043343895116499</v>
      </c>
      <c r="AG73" s="33" t="n">
        <v>0.00523571941504923</v>
      </c>
      <c r="AH73" s="33" t="n">
        <v>0.00790484113039912</v>
      </c>
      <c r="AI73" s="33" t="n">
        <v>0.00574924041392242</v>
      </c>
      <c r="AJ73" s="33" t="n">
        <v>0.00557039080935813</v>
      </c>
      <c r="AK73" s="33" t="n">
        <v>0.00420865834059629</v>
      </c>
      <c r="AL73" s="33" t="n">
        <v>0.00414493705544521</v>
      </c>
      <c r="AM73" s="33" t="n">
        <v>0.00355097096561493</v>
      </c>
      <c r="AN73" s="33" t="n">
        <v>0.0039418655529898</v>
      </c>
      <c r="AO73" s="33" t="n">
        <v>0.00194846209653339</v>
      </c>
      <c r="AP73" s="33" t="n">
        <v>0.00363372878446617</v>
      </c>
      <c r="AQ73" s="33" t="n">
        <v>0.00131726449794323</v>
      </c>
      <c r="AR73" s="33" t="n">
        <v>0.00186401724068559</v>
      </c>
      <c r="AS73" s="33" t="n">
        <v>0.00195862608329471</v>
      </c>
      <c r="AT73" s="33" t="n">
        <v>0.00434908071210201</v>
      </c>
      <c r="AU73" s="33" t="n">
        <v>0.00313730886395631</v>
      </c>
      <c r="AV73" s="33" t="n">
        <v>0.00351293312907811</v>
      </c>
      <c r="AW73" s="33" t="n">
        <v>0.00275290734206155</v>
      </c>
      <c r="AX73" s="33" t="n">
        <v>0.0108629379139405</v>
      </c>
      <c r="AY73" s="33" t="n">
        <v>0.00619011225457548</v>
      </c>
      <c r="AZ73" s="33" t="n">
        <v>0.00216036449640207</v>
      </c>
      <c r="BA73" s="33" t="n">
        <v>0.00646547252322152</v>
      </c>
      <c r="BB73" s="33" t="n">
        <v>0.00770319490552701</v>
      </c>
      <c r="BC73" s="33" t="n">
        <v>0.0280037697317086</v>
      </c>
      <c r="BD73" s="33" t="n">
        <v>0.00969656045032591</v>
      </c>
      <c r="BE73" s="33" t="n">
        <v>0.00565185295326514</v>
      </c>
      <c r="BF73" s="33" t="n">
        <v>0.000524921216020385</v>
      </c>
      <c r="BG73" s="33" t="n">
        <v>0.00388094685248338</v>
      </c>
      <c r="BH73" s="33" t="n">
        <v>0.00217378202973173</v>
      </c>
      <c r="BI73" s="33" t="n">
        <v>0.00798009843130473</v>
      </c>
      <c r="BJ73" s="33" t="n">
        <v>0.00314709078013926</v>
      </c>
      <c r="BK73" s="33" t="n">
        <v>0.00658275735830422</v>
      </c>
      <c r="BL73" s="33" t="n">
        <v>0.00191503184246423</v>
      </c>
      <c r="BM73" s="33" t="n">
        <v>0.00222129827703015</v>
      </c>
      <c r="BN73" s="33" t="n">
        <v>0.00125457576743418</v>
      </c>
      <c r="BO73" s="33" t="n">
        <v>0.00579492830852354</v>
      </c>
      <c r="BP73" s="33" t="n">
        <v>0.00910879131525545</v>
      </c>
      <c r="BQ73" s="33" t="n">
        <v>0.0118496635169212</v>
      </c>
      <c r="BR73" s="33" t="n">
        <v>0.00190338863661047</v>
      </c>
      <c r="BS73" s="33" t="n">
        <v>1.00385155089167</v>
      </c>
      <c r="BT73" s="33" t="n">
        <v>0</v>
      </c>
    </row>
    <row r="74" customFormat="false" ht="11.25" hidden="false" customHeight="true" outlineLevel="0" collapsed="false">
      <c r="B74" s="24" t="s">
        <v>199</v>
      </c>
      <c r="C74" s="25" t="s">
        <v>200</v>
      </c>
      <c r="D74" s="24" t="n">
        <v>68</v>
      </c>
      <c r="E74" s="34" t="n">
        <v>0</v>
      </c>
      <c r="F74" s="34" t="n">
        <v>0</v>
      </c>
      <c r="G74" s="34" t="n">
        <v>0</v>
      </c>
      <c r="H74" s="34" t="n">
        <v>0</v>
      </c>
      <c r="I74" s="34" t="n">
        <v>0</v>
      </c>
      <c r="J74" s="34" t="n">
        <v>0</v>
      </c>
      <c r="K74" s="34" t="n">
        <v>0</v>
      </c>
      <c r="L74" s="34" t="n">
        <v>0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</v>
      </c>
      <c r="R74" s="34" t="n">
        <v>0</v>
      </c>
      <c r="S74" s="34" t="n">
        <v>0</v>
      </c>
      <c r="T74" s="34" t="n">
        <v>0</v>
      </c>
      <c r="U74" s="34" t="n">
        <v>0</v>
      </c>
      <c r="V74" s="34" t="n">
        <v>0</v>
      </c>
      <c r="W74" s="34" t="n">
        <v>0</v>
      </c>
      <c r="X74" s="34" t="n">
        <v>0</v>
      </c>
      <c r="Y74" s="34" t="n">
        <v>0</v>
      </c>
      <c r="Z74" s="34" t="n">
        <v>0</v>
      </c>
      <c r="AA74" s="34" t="n">
        <v>0</v>
      </c>
      <c r="AB74" s="34" t="n">
        <v>0</v>
      </c>
      <c r="AC74" s="34" t="n">
        <v>0</v>
      </c>
      <c r="AD74" s="34" t="n">
        <v>0</v>
      </c>
      <c r="AE74" s="34" t="n">
        <v>0</v>
      </c>
      <c r="AF74" s="34" t="n">
        <v>0</v>
      </c>
      <c r="AG74" s="34" t="n">
        <v>0</v>
      </c>
      <c r="AH74" s="34" t="n">
        <v>0</v>
      </c>
      <c r="AI74" s="34" t="n">
        <v>0</v>
      </c>
      <c r="AJ74" s="34" t="n">
        <v>0</v>
      </c>
      <c r="AK74" s="34" t="n">
        <v>0</v>
      </c>
      <c r="AL74" s="34" t="n">
        <v>0</v>
      </c>
      <c r="AM74" s="34" t="n">
        <v>0</v>
      </c>
      <c r="AN74" s="34" t="n">
        <v>0</v>
      </c>
      <c r="AO74" s="34" t="n">
        <v>0</v>
      </c>
      <c r="AP74" s="34" t="n">
        <v>0</v>
      </c>
      <c r="AQ74" s="34" t="n">
        <v>0</v>
      </c>
      <c r="AR74" s="34" t="n">
        <v>0</v>
      </c>
      <c r="AS74" s="34" t="n">
        <v>0</v>
      </c>
      <c r="AT74" s="34" t="n">
        <v>0</v>
      </c>
      <c r="AU74" s="34" t="n">
        <v>0</v>
      </c>
      <c r="AV74" s="34" t="n">
        <v>0</v>
      </c>
      <c r="AW74" s="34" t="n">
        <v>0</v>
      </c>
      <c r="AX74" s="34" t="n">
        <v>0</v>
      </c>
      <c r="AY74" s="34" t="n">
        <v>0</v>
      </c>
      <c r="AZ74" s="34" t="n">
        <v>0</v>
      </c>
      <c r="BA74" s="34" t="n">
        <v>0</v>
      </c>
      <c r="BB74" s="34" t="n">
        <v>0</v>
      </c>
      <c r="BC74" s="34" t="n">
        <v>0</v>
      </c>
      <c r="BD74" s="34" t="n">
        <v>0</v>
      </c>
      <c r="BE74" s="34" t="n">
        <v>0</v>
      </c>
      <c r="BF74" s="34" t="n">
        <v>0</v>
      </c>
      <c r="BG74" s="34" t="n">
        <v>0</v>
      </c>
      <c r="BH74" s="34" t="n">
        <v>0</v>
      </c>
      <c r="BI74" s="34" t="n">
        <v>0</v>
      </c>
      <c r="BJ74" s="34" t="n">
        <v>0</v>
      </c>
      <c r="BK74" s="34" t="n">
        <v>0</v>
      </c>
      <c r="BL74" s="34" t="n">
        <v>0</v>
      </c>
      <c r="BM74" s="34" t="n">
        <v>0</v>
      </c>
      <c r="BN74" s="34" t="n">
        <v>0</v>
      </c>
      <c r="BO74" s="34" t="n">
        <v>0</v>
      </c>
      <c r="BP74" s="34" t="n">
        <v>0</v>
      </c>
      <c r="BQ74" s="34" t="n">
        <v>0</v>
      </c>
      <c r="BR74" s="34" t="n">
        <v>0</v>
      </c>
      <c r="BS74" s="34" t="n">
        <v>0</v>
      </c>
      <c r="BT74" s="34" t="n">
        <v>1</v>
      </c>
    </row>
  </sheetData>
  <mergeCells count="2">
    <mergeCell ref="B3:V3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8CE"/>
    <pageSetUpPr fitToPage="false"/>
  </sheetPr>
  <dimension ref="B1:BT7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52"/>
    <col collapsed="false" customWidth="true" hidden="false" outlineLevel="0" max="4" min="4" style="0" width="4.4"/>
    <col collapsed="false" customWidth="true" hidden="false" outlineLevel="0" max="72" min="5" style="0" width="10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234</v>
      </c>
    </row>
    <row r="3" customFormat="false" ht="12.75" hidden="false" customHeight="true" outlineLevel="0" collapsed="false">
      <c r="B3" s="15" t="s">
        <v>226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6" customFormat="false" ht="13.5" hidden="false" customHeight="true" outlineLevel="0" collapsed="false">
      <c r="B6" s="32" t="s">
        <v>62</v>
      </c>
      <c r="C6" s="32" t="s">
        <v>63</v>
      </c>
      <c r="D6" s="32"/>
      <c r="E6" s="32" t="n">
        <v>1</v>
      </c>
      <c r="F6" s="32" t="n">
        <v>2</v>
      </c>
      <c r="G6" s="32" t="n">
        <v>3</v>
      </c>
      <c r="H6" s="32" t="n">
        <v>4</v>
      </c>
      <c r="I6" s="32" t="n">
        <v>5</v>
      </c>
      <c r="J6" s="32" t="n">
        <v>6</v>
      </c>
      <c r="K6" s="32" t="n">
        <v>7</v>
      </c>
      <c r="L6" s="32" t="n">
        <v>8</v>
      </c>
      <c r="M6" s="32" t="n">
        <v>9</v>
      </c>
      <c r="N6" s="32" t="n">
        <v>10</v>
      </c>
      <c r="O6" s="32" t="n">
        <v>11</v>
      </c>
      <c r="P6" s="32" t="n">
        <v>12</v>
      </c>
      <c r="Q6" s="32" t="n">
        <v>13</v>
      </c>
      <c r="R6" s="32" t="n">
        <v>14</v>
      </c>
      <c r="S6" s="32" t="n">
        <v>15</v>
      </c>
      <c r="T6" s="32" t="n">
        <v>16</v>
      </c>
      <c r="U6" s="32" t="n">
        <v>17</v>
      </c>
      <c r="V6" s="32" t="n">
        <v>18</v>
      </c>
      <c r="W6" s="32" t="n">
        <v>19</v>
      </c>
      <c r="X6" s="32" t="n">
        <v>20</v>
      </c>
      <c r="Y6" s="32" t="n">
        <v>21</v>
      </c>
      <c r="Z6" s="32" t="n">
        <v>22</v>
      </c>
      <c r="AA6" s="32" t="n">
        <v>23</v>
      </c>
      <c r="AB6" s="32" t="n">
        <v>24</v>
      </c>
      <c r="AC6" s="32" t="n">
        <v>25</v>
      </c>
      <c r="AD6" s="32" t="n">
        <v>26</v>
      </c>
      <c r="AE6" s="32" t="n">
        <v>27</v>
      </c>
      <c r="AF6" s="32" t="n">
        <v>28</v>
      </c>
      <c r="AG6" s="32" t="n">
        <v>29</v>
      </c>
      <c r="AH6" s="32" t="n">
        <v>30</v>
      </c>
      <c r="AI6" s="32" t="n">
        <v>31</v>
      </c>
      <c r="AJ6" s="32" t="n">
        <v>32</v>
      </c>
      <c r="AK6" s="32" t="n">
        <v>33</v>
      </c>
      <c r="AL6" s="32" t="n">
        <v>34</v>
      </c>
      <c r="AM6" s="32" t="n">
        <v>35</v>
      </c>
      <c r="AN6" s="32" t="n">
        <v>36</v>
      </c>
      <c r="AO6" s="32" t="n">
        <v>37</v>
      </c>
      <c r="AP6" s="32" t="n">
        <v>38</v>
      </c>
      <c r="AQ6" s="32" t="n">
        <v>39</v>
      </c>
      <c r="AR6" s="32" t="n">
        <v>40</v>
      </c>
      <c r="AS6" s="32" t="n">
        <v>41</v>
      </c>
      <c r="AT6" s="32" t="n">
        <v>42</v>
      </c>
      <c r="AU6" s="32" t="n">
        <v>43</v>
      </c>
      <c r="AV6" s="32" t="n">
        <v>44</v>
      </c>
      <c r="AW6" s="32" t="n">
        <v>45</v>
      </c>
      <c r="AX6" s="32" t="n">
        <v>46</v>
      </c>
      <c r="AY6" s="32" t="n">
        <v>47</v>
      </c>
      <c r="AZ6" s="32" t="n">
        <v>48</v>
      </c>
      <c r="BA6" s="32" t="n">
        <v>49</v>
      </c>
      <c r="BB6" s="32" t="n">
        <v>50</v>
      </c>
      <c r="BC6" s="32" t="n">
        <v>51</v>
      </c>
      <c r="BD6" s="32" t="n">
        <v>52</v>
      </c>
      <c r="BE6" s="32" t="n">
        <v>53</v>
      </c>
      <c r="BF6" s="32" t="n">
        <v>54</v>
      </c>
      <c r="BG6" s="32" t="n">
        <v>55</v>
      </c>
      <c r="BH6" s="32" t="n">
        <v>56</v>
      </c>
      <c r="BI6" s="32" t="n">
        <v>57</v>
      </c>
      <c r="BJ6" s="32" t="n">
        <v>58</v>
      </c>
      <c r="BK6" s="32" t="n">
        <v>59</v>
      </c>
      <c r="BL6" s="32" t="n">
        <v>60</v>
      </c>
      <c r="BM6" s="32" t="n">
        <v>61</v>
      </c>
      <c r="BN6" s="32" t="n">
        <v>62</v>
      </c>
      <c r="BO6" s="32" t="n">
        <v>63</v>
      </c>
      <c r="BP6" s="32" t="n">
        <v>64</v>
      </c>
      <c r="BQ6" s="32" t="n">
        <v>65</v>
      </c>
      <c r="BR6" s="32" t="n">
        <v>66</v>
      </c>
      <c r="BS6" s="32" t="n">
        <v>67</v>
      </c>
      <c r="BT6" s="32" t="n">
        <v>68</v>
      </c>
    </row>
    <row r="7" customFormat="false" ht="11.25" hidden="false" customHeight="true" outlineLevel="0" collapsed="false">
      <c r="B7" s="19" t="s">
        <v>65</v>
      </c>
      <c r="C7" s="20" t="s">
        <v>66</v>
      </c>
      <c r="D7" s="19" t="n">
        <v>1</v>
      </c>
      <c r="E7" s="33" t="n">
        <v>1.03157117491169</v>
      </c>
      <c r="F7" s="33" t="n">
        <v>0.0296416194719113</v>
      </c>
      <c r="G7" s="33" t="n">
        <v>0.00158512073514261</v>
      </c>
      <c r="H7" s="33" t="n">
        <v>0.000722482997590497</v>
      </c>
      <c r="I7" s="33" t="n">
        <v>0.00212842113887977</v>
      </c>
      <c r="J7" s="33" t="n">
        <v>0.000874795830998687</v>
      </c>
      <c r="K7" s="33" t="n">
        <v>0.000347178018346954</v>
      </c>
      <c r="L7" s="33" t="n">
        <v>0.0675479448461281</v>
      </c>
      <c r="M7" s="33" t="n">
        <v>0.130442226023803</v>
      </c>
      <c r="N7" s="33" t="n">
        <v>0.272173532514077</v>
      </c>
      <c r="O7" s="33" t="n">
        <v>0.0168007251372349</v>
      </c>
      <c r="P7" s="33" t="n">
        <v>0.0219695858213161</v>
      </c>
      <c r="Q7" s="33" t="n">
        <v>0.0272925028474094</v>
      </c>
      <c r="R7" s="33" t="n">
        <v>0.00921255489738351</v>
      </c>
      <c r="S7" s="33" t="n">
        <v>0.00372869388920818</v>
      </c>
      <c r="T7" s="33" t="n">
        <v>0.00130882089310302</v>
      </c>
      <c r="U7" s="33" t="n">
        <v>0.00500956604977041</v>
      </c>
      <c r="V7" s="33" t="n">
        <v>0.000504492827213966</v>
      </c>
      <c r="W7" s="33" t="n">
        <v>0.0398110933358348</v>
      </c>
      <c r="X7" s="33" t="n">
        <v>0.0658000125018168</v>
      </c>
      <c r="Y7" s="33" t="n">
        <v>0.00483490186649512</v>
      </c>
      <c r="Z7" s="33" t="n">
        <v>0.00568728264909321</v>
      </c>
      <c r="AA7" s="33" t="n">
        <v>0.00361694833170786</v>
      </c>
      <c r="AB7" s="33" t="n">
        <v>0.00314791595426124</v>
      </c>
      <c r="AC7" s="33" t="n">
        <v>0.00436328904102059</v>
      </c>
      <c r="AD7" s="33" t="n">
        <v>0.00301188769532596</v>
      </c>
      <c r="AE7" s="33" t="n">
        <v>0.00416622307975191</v>
      </c>
      <c r="AF7" s="33" t="n">
        <v>0.00157914792966375</v>
      </c>
      <c r="AG7" s="33" t="n">
        <v>0.00310983183578112</v>
      </c>
      <c r="AH7" s="33" t="n">
        <v>0.00176141499486917</v>
      </c>
      <c r="AI7" s="33" t="n">
        <v>0.00252465474124787</v>
      </c>
      <c r="AJ7" s="33" t="n">
        <v>0.005003161463374</v>
      </c>
      <c r="AK7" s="33" t="n">
        <v>0.00352499210792985</v>
      </c>
      <c r="AL7" s="33" t="n">
        <v>0.00247635977173435</v>
      </c>
      <c r="AM7" s="33" t="n">
        <v>0.000772100724720777</v>
      </c>
      <c r="AN7" s="33" t="n">
        <v>0.00223059478089001</v>
      </c>
      <c r="AO7" s="33" t="n">
        <v>0.000875132190888251</v>
      </c>
      <c r="AP7" s="33" t="n">
        <v>0.00263947456364913</v>
      </c>
      <c r="AQ7" s="33" t="n">
        <v>0.000701157251428579</v>
      </c>
      <c r="AR7" s="33" t="n">
        <v>0.010666080929199</v>
      </c>
      <c r="AS7" s="33" t="n">
        <v>0.00142335740436438</v>
      </c>
      <c r="AT7" s="33" t="n">
        <v>0.0424537306653949</v>
      </c>
      <c r="AU7" s="33" t="n">
        <v>0.0102393424450715</v>
      </c>
      <c r="AV7" s="33" t="n">
        <v>0.000291989035831998</v>
      </c>
      <c r="AW7" s="33" t="n">
        <v>0.000921130356086108</v>
      </c>
      <c r="AX7" s="33" t="n">
        <v>0.000920778806179342</v>
      </c>
      <c r="AY7" s="33" t="n">
        <v>0.00169717732257529</v>
      </c>
      <c r="AZ7" s="33" t="n">
        <v>0.03282773584365</v>
      </c>
      <c r="BA7" s="33" t="n">
        <v>0.00122344195713168</v>
      </c>
      <c r="BB7" s="33" t="n">
        <v>0.00108199827408192</v>
      </c>
      <c r="BC7" s="33" t="n">
        <v>0.00674277720885179</v>
      </c>
      <c r="BD7" s="33" t="n">
        <v>0.000723615391207015</v>
      </c>
      <c r="BE7" s="33" t="n">
        <v>0.00312054693977116</v>
      </c>
      <c r="BF7" s="33" t="n">
        <v>0.000504886674939523</v>
      </c>
      <c r="BG7" s="33" t="n">
        <v>0.00139475250072415</v>
      </c>
      <c r="BH7" s="33" t="n">
        <v>0.000609996270632722</v>
      </c>
      <c r="BI7" s="33" t="n">
        <v>0.0014603015491913</v>
      </c>
      <c r="BJ7" s="33" t="n">
        <v>0.000270243620061275</v>
      </c>
      <c r="BK7" s="33" t="n">
        <v>0.00191226329238353</v>
      </c>
      <c r="BL7" s="33" t="n">
        <v>0.000245530482477115</v>
      </c>
      <c r="BM7" s="33" t="n">
        <v>0.0139976343303467</v>
      </c>
      <c r="BN7" s="33" t="n">
        <v>0.00499608859266084</v>
      </c>
      <c r="BO7" s="33" t="n">
        <v>0.000946824339201444</v>
      </c>
      <c r="BP7" s="33" t="n">
        <v>0.00406750908462437</v>
      </c>
      <c r="BQ7" s="33" t="n">
        <v>0.00325538025312584</v>
      </c>
      <c r="BR7" s="33" t="n">
        <v>0.000275524721401418</v>
      </c>
      <c r="BS7" s="33" t="n">
        <v>0.00497147139848149</v>
      </c>
      <c r="BT7" s="33" t="n">
        <v>0</v>
      </c>
    </row>
    <row r="8" customFormat="false" ht="11.25" hidden="false" customHeight="true" outlineLevel="0" collapsed="false">
      <c r="B8" s="24" t="s">
        <v>67</v>
      </c>
      <c r="C8" s="25" t="s">
        <v>68</v>
      </c>
      <c r="D8" s="24" t="n">
        <v>2</v>
      </c>
      <c r="E8" s="34" t="n">
        <v>0.00837675629245966</v>
      </c>
      <c r="F8" s="34" t="n">
        <v>1.046792373485</v>
      </c>
      <c r="G8" s="34" t="n">
        <v>0.00188019609567064</v>
      </c>
      <c r="H8" s="34" t="n">
        <v>0.000183956509482239</v>
      </c>
      <c r="I8" s="34" t="n">
        <v>0.000570566027311522</v>
      </c>
      <c r="J8" s="34" t="n">
        <v>0.000191280056365102</v>
      </c>
      <c r="K8" s="34" t="n">
        <v>8.24434966076226E-005</v>
      </c>
      <c r="L8" s="34" t="n">
        <v>0.640208899073565</v>
      </c>
      <c r="M8" s="34" t="n">
        <v>0.00259632288356999</v>
      </c>
      <c r="N8" s="34" t="n">
        <v>0.0416638133694462</v>
      </c>
      <c r="O8" s="34" t="n">
        <v>0.00175742815952485</v>
      </c>
      <c r="P8" s="34" t="n">
        <v>0.00254536610163241</v>
      </c>
      <c r="Q8" s="34" t="n">
        <v>0.0018627650583767</v>
      </c>
      <c r="R8" s="34" t="n">
        <v>0.00136173386507024</v>
      </c>
      <c r="S8" s="34" t="n">
        <v>0.00903891471169869</v>
      </c>
      <c r="T8" s="34" t="n">
        <v>0.00207343008936899</v>
      </c>
      <c r="U8" s="34" t="n">
        <v>0.00283261291616969</v>
      </c>
      <c r="V8" s="34" t="n">
        <v>0.000162739942250932</v>
      </c>
      <c r="W8" s="34" t="n">
        <v>0.0021766550111781</v>
      </c>
      <c r="X8" s="34" t="n">
        <v>0.00328784317762882</v>
      </c>
      <c r="Y8" s="34" t="n">
        <v>0.00142805813205957</v>
      </c>
      <c r="Z8" s="34" t="n">
        <v>0.000995753776523153</v>
      </c>
      <c r="AA8" s="34" t="n">
        <v>0.00342222549155301</v>
      </c>
      <c r="AB8" s="34" t="n">
        <v>0.000580210399091416</v>
      </c>
      <c r="AC8" s="34" t="n">
        <v>0.00171655172915998</v>
      </c>
      <c r="AD8" s="34" t="n">
        <v>0.00148542957089778</v>
      </c>
      <c r="AE8" s="34" t="n">
        <v>0.00129955587110385</v>
      </c>
      <c r="AF8" s="34" t="n">
        <v>0.000625852294763077</v>
      </c>
      <c r="AG8" s="34" t="n">
        <v>0.000931352462152537</v>
      </c>
      <c r="AH8" s="34" t="n">
        <v>0.000477665506777111</v>
      </c>
      <c r="AI8" s="34" t="n">
        <v>0.000659312771561149</v>
      </c>
      <c r="AJ8" s="34" t="n">
        <v>0.0012092446623048</v>
      </c>
      <c r="AK8" s="34" t="n">
        <v>0.0010769141829158</v>
      </c>
      <c r="AL8" s="34" t="n">
        <v>0.000606484843293701</v>
      </c>
      <c r="AM8" s="34" t="n">
        <v>0.000225497174210791</v>
      </c>
      <c r="AN8" s="34" t="n">
        <v>0.000906717674781048</v>
      </c>
      <c r="AO8" s="34" t="n">
        <v>0.000225113906267654</v>
      </c>
      <c r="AP8" s="34" t="n">
        <v>0.000494970448338963</v>
      </c>
      <c r="AQ8" s="34" t="n">
        <v>0.000256833689594574</v>
      </c>
      <c r="AR8" s="34" t="n">
        <v>0.00968716268420774</v>
      </c>
      <c r="AS8" s="34" t="n">
        <v>0.000428350573518541</v>
      </c>
      <c r="AT8" s="34" t="n">
        <v>0.00677680880058424</v>
      </c>
      <c r="AU8" s="34" t="n">
        <v>0.000948688056972242</v>
      </c>
      <c r="AV8" s="34" t="n">
        <v>4.5369805042392E-005</v>
      </c>
      <c r="AW8" s="34" t="n">
        <v>0.000309163984489223</v>
      </c>
      <c r="AX8" s="34" t="n">
        <v>0.000361888649398976</v>
      </c>
      <c r="AY8" s="34" t="n">
        <v>0.00297185619613243</v>
      </c>
      <c r="AZ8" s="34" t="n">
        <v>0.0404841782664143</v>
      </c>
      <c r="BA8" s="34" t="n">
        <v>0.000324931174339133</v>
      </c>
      <c r="BB8" s="34" t="n">
        <v>0.00036680806171971</v>
      </c>
      <c r="BC8" s="34" t="n">
        <v>0.0024261452324055</v>
      </c>
      <c r="BD8" s="34" t="n">
        <v>0.000283262374391393</v>
      </c>
      <c r="BE8" s="34" t="n">
        <v>0.0018298098243849</v>
      </c>
      <c r="BF8" s="34" t="n">
        <v>0.000438193706803286</v>
      </c>
      <c r="BG8" s="34" t="n">
        <v>0.000656604962108885</v>
      </c>
      <c r="BH8" s="34" t="n">
        <v>0.000296978275026966</v>
      </c>
      <c r="BI8" s="34" t="n">
        <v>0.000568561404269214</v>
      </c>
      <c r="BJ8" s="34" t="n">
        <v>9.99617322790561E-005</v>
      </c>
      <c r="BK8" s="34" t="n">
        <v>0.000883344685432036</v>
      </c>
      <c r="BL8" s="34" t="n">
        <v>5.58670863778847E-005</v>
      </c>
      <c r="BM8" s="34" t="n">
        <v>0.0120258400686116</v>
      </c>
      <c r="BN8" s="34" t="n">
        <v>0.00633777469874947</v>
      </c>
      <c r="BO8" s="34" t="n">
        <v>0.000854442396472115</v>
      </c>
      <c r="BP8" s="34" t="n">
        <v>0.00415564227290276</v>
      </c>
      <c r="BQ8" s="34" t="n">
        <v>0.00377879263323796</v>
      </c>
      <c r="BR8" s="34" t="n">
        <v>0.000140851097493435</v>
      </c>
      <c r="BS8" s="34" t="n">
        <v>0.00457812294561445</v>
      </c>
      <c r="BT8" s="34" t="n">
        <v>0</v>
      </c>
    </row>
    <row r="9" customFormat="false" ht="11.25" hidden="false" customHeight="true" outlineLevel="0" collapsed="false">
      <c r="B9" s="19" t="s">
        <v>69</v>
      </c>
      <c r="C9" s="20" t="s">
        <v>70</v>
      </c>
      <c r="D9" s="19" t="n">
        <v>3</v>
      </c>
      <c r="E9" s="33" t="n">
        <v>0.0463198627543768</v>
      </c>
      <c r="F9" s="33" t="n">
        <v>0.0535976477028855</v>
      </c>
      <c r="G9" s="33" t="n">
        <v>1.08100013557113</v>
      </c>
      <c r="H9" s="33" t="n">
        <v>0.000764122845306114</v>
      </c>
      <c r="I9" s="33" t="n">
        <v>0.00325824220553139</v>
      </c>
      <c r="J9" s="33" t="n">
        <v>0.00156648671133096</v>
      </c>
      <c r="K9" s="33" t="n">
        <v>0.000455753511289105</v>
      </c>
      <c r="L9" s="33" t="n">
        <v>0.101135088507377</v>
      </c>
      <c r="M9" s="33" t="n">
        <v>0.00705694272240291</v>
      </c>
      <c r="N9" s="33" t="n">
        <v>0.0472970803564149</v>
      </c>
      <c r="O9" s="33" t="n">
        <v>0.00608293164627149</v>
      </c>
      <c r="P9" s="33" t="n">
        <v>0.00432234672485308</v>
      </c>
      <c r="Q9" s="33" t="n">
        <v>0.00887829547805279</v>
      </c>
      <c r="R9" s="33" t="n">
        <v>0.00598309990965175</v>
      </c>
      <c r="S9" s="33" t="n">
        <v>0.00587173572427328</v>
      </c>
      <c r="T9" s="33" t="n">
        <v>0.137926683374954</v>
      </c>
      <c r="U9" s="33" t="n">
        <v>0.136391901908915</v>
      </c>
      <c r="V9" s="33" t="n">
        <v>0.00384945251043979</v>
      </c>
      <c r="W9" s="33" t="n">
        <v>0.00672342513142832</v>
      </c>
      <c r="X9" s="33" t="n">
        <v>0.004271374969092</v>
      </c>
      <c r="Y9" s="33" t="n">
        <v>0.0111516246707041</v>
      </c>
      <c r="Z9" s="33" t="n">
        <v>0.00456807157285253</v>
      </c>
      <c r="AA9" s="33" t="n">
        <v>0.00501196620367994</v>
      </c>
      <c r="AB9" s="33" t="n">
        <v>0.00378132416029259</v>
      </c>
      <c r="AC9" s="33" t="n">
        <v>0.0662693514960818</v>
      </c>
      <c r="AD9" s="33" t="n">
        <v>0.010297298681673</v>
      </c>
      <c r="AE9" s="33" t="n">
        <v>0.0312590757756043</v>
      </c>
      <c r="AF9" s="33" t="n">
        <v>0.00221804620244368</v>
      </c>
      <c r="AG9" s="33" t="n">
        <v>0.0120201378168732</v>
      </c>
      <c r="AH9" s="33" t="n">
        <v>0.00586278325999142</v>
      </c>
      <c r="AI9" s="33" t="n">
        <v>0.00625308385892682</v>
      </c>
      <c r="AJ9" s="33" t="n">
        <v>0.0124043357997922</v>
      </c>
      <c r="AK9" s="33" t="n">
        <v>0.0180168850809272</v>
      </c>
      <c r="AL9" s="33" t="n">
        <v>0.0103200752887612</v>
      </c>
      <c r="AM9" s="33" t="n">
        <v>0.00342101360921793</v>
      </c>
      <c r="AN9" s="33" t="n">
        <v>0.0354165361257612</v>
      </c>
      <c r="AO9" s="33" t="n">
        <v>0.00253486149296052</v>
      </c>
      <c r="AP9" s="33" t="n">
        <v>0.00496371476253159</v>
      </c>
      <c r="AQ9" s="33" t="n">
        <v>0.00183138393072137</v>
      </c>
      <c r="AR9" s="33" t="n">
        <v>0.0803529996020872</v>
      </c>
      <c r="AS9" s="33" t="n">
        <v>0.00459162757675765</v>
      </c>
      <c r="AT9" s="33" t="n">
        <v>0.0426484442888602</v>
      </c>
      <c r="AU9" s="33" t="n">
        <v>0.00798312435012439</v>
      </c>
      <c r="AV9" s="33" t="n">
        <v>0.000377370455169063</v>
      </c>
      <c r="AW9" s="33" t="n">
        <v>0.00111390157336653</v>
      </c>
      <c r="AX9" s="33" t="n">
        <v>0.00212100966932449</v>
      </c>
      <c r="AY9" s="33" t="n">
        <v>0.00258481934263983</v>
      </c>
      <c r="AZ9" s="33" t="n">
        <v>0.0265822897274037</v>
      </c>
      <c r="BA9" s="33" t="n">
        <v>0.00476623012550041</v>
      </c>
      <c r="BB9" s="33" t="n">
        <v>0.00257659596642949</v>
      </c>
      <c r="BC9" s="33" t="n">
        <v>0.00825581249909869</v>
      </c>
      <c r="BD9" s="33" t="n">
        <v>0.0017478517786765</v>
      </c>
      <c r="BE9" s="33" t="n">
        <v>0.00862668780762023</v>
      </c>
      <c r="BF9" s="33" t="n">
        <v>0.0032813297932172</v>
      </c>
      <c r="BG9" s="33" t="n">
        <v>0.00450609407311515</v>
      </c>
      <c r="BH9" s="33" t="n">
        <v>0.00173239507132397</v>
      </c>
      <c r="BI9" s="33" t="n">
        <v>0.00432432064492727</v>
      </c>
      <c r="BJ9" s="33" t="n">
        <v>0.00133284806371431</v>
      </c>
      <c r="BK9" s="33" t="n">
        <v>0.00614784033935477</v>
      </c>
      <c r="BL9" s="33" t="n">
        <v>0.000271196846493601</v>
      </c>
      <c r="BM9" s="33" t="n">
        <v>0.015745674532555</v>
      </c>
      <c r="BN9" s="33" t="n">
        <v>0.00717288823639312</v>
      </c>
      <c r="BO9" s="33" t="n">
        <v>0.00215087806988114</v>
      </c>
      <c r="BP9" s="33" t="n">
        <v>0.00537129987289042</v>
      </c>
      <c r="BQ9" s="33" t="n">
        <v>0.00770463156088485</v>
      </c>
      <c r="BR9" s="33" t="n">
        <v>0.000665687776292337</v>
      </c>
      <c r="BS9" s="33" t="n">
        <v>0.00632338617872916</v>
      </c>
      <c r="BT9" s="33" t="n">
        <v>0</v>
      </c>
    </row>
    <row r="10" customFormat="false" ht="11.25" hidden="false" customHeight="true" outlineLevel="0" collapsed="false">
      <c r="B10" s="24" t="s">
        <v>71</v>
      </c>
      <c r="C10" s="25" t="s">
        <v>72</v>
      </c>
      <c r="D10" s="24" t="n">
        <v>4</v>
      </c>
      <c r="E10" s="34" t="n">
        <v>0.0621023549281628</v>
      </c>
      <c r="F10" s="34" t="n">
        <v>0.0310733832755927</v>
      </c>
      <c r="G10" s="34" t="n">
        <v>0.00172721195977787</v>
      </c>
      <c r="H10" s="34" t="n">
        <v>1.01879294706077</v>
      </c>
      <c r="I10" s="34" t="n">
        <v>0.0320454228906135</v>
      </c>
      <c r="J10" s="34" t="n">
        <v>0.00361284132246246</v>
      </c>
      <c r="K10" s="34" t="n">
        <v>0.00147814055566382</v>
      </c>
      <c r="L10" s="34" t="n">
        <v>0.0339966503794292</v>
      </c>
      <c r="M10" s="34" t="n">
        <v>0.0110457747051578</v>
      </c>
      <c r="N10" s="34" t="n">
        <v>0.0458455278530816</v>
      </c>
      <c r="O10" s="34" t="n">
        <v>0.0106473551469381</v>
      </c>
      <c r="P10" s="34" t="n">
        <v>0.00192918686594139</v>
      </c>
      <c r="Q10" s="34" t="n">
        <v>0.0131396518227074</v>
      </c>
      <c r="R10" s="34" t="n">
        <v>0.00509120807432661</v>
      </c>
      <c r="S10" s="34" t="n">
        <v>0.00557137969249057</v>
      </c>
      <c r="T10" s="34" t="n">
        <v>0.00227454956634383</v>
      </c>
      <c r="U10" s="34" t="n">
        <v>0.0153874786123762</v>
      </c>
      <c r="V10" s="34" t="n">
        <v>0.00219817872901781</v>
      </c>
      <c r="W10" s="34" t="n">
        <v>0.0360884352778058</v>
      </c>
      <c r="X10" s="34" t="n">
        <v>0.0140338798757222</v>
      </c>
      <c r="Y10" s="34" t="n">
        <v>0.208056124766121</v>
      </c>
      <c r="Z10" s="34" t="n">
        <v>0.0332207097261944</v>
      </c>
      <c r="AA10" s="34" t="n">
        <v>0.0105617584576471</v>
      </c>
      <c r="AB10" s="34" t="n">
        <v>0.00509973433493522</v>
      </c>
      <c r="AC10" s="34" t="n">
        <v>0.0340104919204044</v>
      </c>
      <c r="AD10" s="34" t="n">
        <v>0.266685223541097</v>
      </c>
      <c r="AE10" s="34" t="n">
        <v>0.09917930651354</v>
      </c>
      <c r="AF10" s="34" t="n">
        <v>0.0281208949126487</v>
      </c>
      <c r="AG10" s="34" t="n">
        <v>0.0254636071192362</v>
      </c>
      <c r="AH10" s="34" t="n">
        <v>0.00415660066387043</v>
      </c>
      <c r="AI10" s="34" t="n">
        <v>0.020051942484824</v>
      </c>
      <c r="AJ10" s="34" t="n">
        <v>0.0207433834239806</v>
      </c>
      <c r="AK10" s="34" t="n">
        <v>0.0342301152952606</v>
      </c>
      <c r="AL10" s="34" t="n">
        <v>0.0234410006048451</v>
      </c>
      <c r="AM10" s="34" t="n">
        <v>0.00564483295522318</v>
      </c>
      <c r="AN10" s="34" t="n">
        <v>0.0109593222943832</v>
      </c>
      <c r="AO10" s="34" t="n">
        <v>0.00637529548591315</v>
      </c>
      <c r="AP10" s="34" t="n">
        <v>0.0211547408197975</v>
      </c>
      <c r="AQ10" s="34" t="n">
        <v>0.0257163672735058</v>
      </c>
      <c r="AR10" s="34" t="n">
        <v>0.568064009935098</v>
      </c>
      <c r="AS10" s="34" t="n">
        <v>0.00759100286889744</v>
      </c>
      <c r="AT10" s="34" t="n">
        <v>0.0281913777674587</v>
      </c>
      <c r="AU10" s="34" t="n">
        <v>0.0153503391056274</v>
      </c>
      <c r="AV10" s="34" t="n">
        <v>0.000534917498342837</v>
      </c>
      <c r="AW10" s="34" t="n">
        <v>0.00124610169373619</v>
      </c>
      <c r="AX10" s="34" t="n">
        <v>0.00339054742106714</v>
      </c>
      <c r="AY10" s="34" t="n">
        <v>0.00167015380928816</v>
      </c>
      <c r="AZ10" s="34" t="n">
        <v>0.0121242388989746</v>
      </c>
      <c r="BA10" s="34" t="n">
        <v>0.00185917197075657</v>
      </c>
      <c r="BB10" s="34" t="n">
        <v>0.00156364770423509</v>
      </c>
      <c r="BC10" s="34" t="n">
        <v>0.0115109272336854</v>
      </c>
      <c r="BD10" s="34" t="n">
        <v>0.00204517024224008</v>
      </c>
      <c r="BE10" s="34" t="n">
        <v>0.00750606793436182</v>
      </c>
      <c r="BF10" s="34" t="n">
        <v>0.0175279899440155</v>
      </c>
      <c r="BG10" s="34" t="n">
        <v>0.00305422504162835</v>
      </c>
      <c r="BH10" s="34" t="n">
        <v>0.00186143032135719</v>
      </c>
      <c r="BI10" s="34" t="n">
        <v>0.00242259893926748</v>
      </c>
      <c r="BJ10" s="34" t="n">
        <v>0.0011376769525214</v>
      </c>
      <c r="BK10" s="34" t="n">
        <v>0.00728058155165399</v>
      </c>
      <c r="BL10" s="34" t="n">
        <v>0.000297367376390823</v>
      </c>
      <c r="BM10" s="34" t="n">
        <v>0.0274709286247307</v>
      </c>
      <c r="BN10" s="34" t="n">
        <v>0.00577650717554207</v>
      </c>
      <c r="BO10" s="34" t="n">
        <v>0.00197015542056481</v>
      </c>
      <c r="BP10" s="34" t="n">
        <v>0.00756456654397315</v>
      </c>
      <c r="BQ10" s="34" t="n">
        <v>0.00681598050636238</v>
      </c>
      <c r="BR10" s="34" t="n">
        <v>0.000978385983195967</v>
      </c>
      <c r="BS10" s="34" t="n">
        <v>0.00650883279912488</v>
      </c>
      <c r="BT10" s="34" t="n">
        <v>0</v>
      </c>
    </row>
    <row r="11" customFormat="false" ht="11.25" hidden="false" customHeight="true" outlineLevel="0" collapsed="false">
      <c r="B11" s="19" t="s">
        <v>73</v>
      </c>
      <c r="C11" s="20" t="s">
        <v>74</v>
      </c>
      <c r="D11" s="19" t="n">
        <v>5</v>
      </c>
      <c r="E11" s="33" t="n">
        <v>0.0407088931500082</v>
      </c>
      <c r="F11" s="33" t="n">
        <v>0.0168309857339707</v>
      </c>
      <c r="G11" s="33" t="n">
        <v>0.00246890787224787</v>
      </c>
      <c r="H11" s="33" t="n">
        <v>0.00433397201336139</v>
      </c>
      <c r="I11" s="33" t="n">
        <v>1.06055126303239</v>
      </c>
      <c r="J11" s="33" t="n">
        <v>0.0109081559286428</v>
      </c>
      <c r="K11" s="33" t="n">
        <v>0.00409650633259508</v>
      </c>
      <c r="L11" s="33" t="n">
        <v>0.0365628539502032</v>
      </c>
      <c r="M11" s="33" t="n">
        <v>0.0122109215258452</v>
      </c>
      <c r="N11" s="33" t="n">
        <v>0.0439779494244745</v>
      </c>
      <c r="O11" s="33" t="n">
        <v>0.00931673169961924</v>
      </c>
      <c r="P11" s="33" t="n">
        <v>0.00198868081633545</v>
      </c>
      <c r="Q11" s="33" t="n">
        <v>0.00975312301052003</v>
      </c>
      <c r="R11" s="33" t="n">
        <v>0.00521547318900419</v>
      </c>
      <c r="S11" s="33" t="n">
        <v>0.00530280207770051</v>
      </c>
      <c r="T11" s="33" t="n">
        <v>0.00324835254030434</v>
      </c>
      <c r="U11" s="33" t="n">
        <v>0.0185777066929655</v>
      </c>
      <c r="V11" s="33" t="n">
        <v>0.00184321875568351</v>
      </c>
      <c r="W11" s="33" t="n">
        <v>0.820050489049059</v>
      </c>
      <c r="X11" s="33" t="n">
        <v>0.00621767804027579</v>
      </c>
      <c r="Y11" s="33" t="n">
        <v>0.0505746333059991</v>
      </c>
      <c r="Z11" s="33" t="n">
        <v>0.0143264698818618</v>
      </c>
      <c r="AA11" s="33" t="n">
        <v>0.00583820630783291</v>
      </c>
      <c r="AB11" s="33" t="n">
        <v>0.0065033819504664</v>
      </c>
      <c r="AC11" s="33" t="n">
        <v>0.0198806643004165</v>
      </c>
      <c r="AD11" s="33" t="n">
        <v>0.0215150916497319</v>
      </c>
      <c r="AE11" s="33" t="n">
        <v>0.0278964282544051</v>
      </c>
      <c r="AF11" s="33" t="n">
        <v>0.0139000574632284</v>
      </c>
      <c r="AG11" s="33" t="n">
        <v>0.0146281015703585</v>
      </c>
      <c r="AH11" s="33" t="n">
        <v>0.00575467962054579</v>
      </c>
      <c r="AI11" s="33" t="n">
        <v>0.0117922857659653</v>
      </c>
      <c r="AJ11" s="33" t="n">
        <v>0.0151485460219454</v>
      </c>
      <c r="AK11" s="33" t="n">
        <v>0.0218189310336735</v>
      </c>
      <c r="AL11" s="33" t="n">
        <v>0.0130796347188294</v>
      </c>
      <c r="AM11" s="33" t="n">
        <v>0.00360289272362434</v>
      </c>
      <c r="AN11" s="33" t="n">
        <v>0.00643808516271939</v>
      </c>
      <c r="AO11" s="33" t="n">
        <v>0.003762160808249</v>
      </c>
      <c r="AP11" s="33" t="n">
        <v>0.0873808511011514</v>
      </c>
      <c r="AQ11" s="33" t="n">
        <v>0.00743342035479888</v>
      </c>
      <c r="AR11" s="33" t="n">
        <v>0.0663639225301674</v>
      </c>
      <c r="AS11" s="33" t="n">
        <v>0.0076577103318134</v>
      </c>
      <c r="AT11" s="33" t="n">
        <v>0.0739190991334998</v>
      </c>
      <c r="AU11" s="33" t="n">
        <v>0.171418312084144</v>
      </c>
      <c r="AV11" s="33" t="n">
        <v>0.00458044101670378</v>
      </c>
      <c r="AW11" s="33" t="n">
        <v>0.0120169983222257</v>
      </c>
      <c r="AX11" s="33" t="n">
        <v>0.00891064451014843</v>
      </c>
      <c r="AY11" s="33" t="n">
        <v>0.0012283730596956</v>
      </c>
      <c r="AZ11" s="33" t="n">
        <v>0.0119699604019302</v>
      </c>
      <c r="BA11" s="33" t="n">
        <v>0.0031451956879012</v>
      </c>
      <c r="BB11" s="33" t="n">
        <v>0.00254102432664094</v>
      </c>
      <c r="BC11" s="33" t="n">
        <v>0.0136108388054622</v>
      </c>
      <c r="BD11" s="33" t="n">
        <v>0.00245436855000337</v>
      </c>
      <c r="BE11" s="33" t="n">
        <v>0.0114068589350199</v>
      </c>
      <c r="BF11" s="33" t="n">
        <v>0.00207420325893939</v>
      </c>
      <c r="BG11" s="33" t="n">
        <v>0.00518348501464483</v>
      </c>
      <c r="BH11" s="33" t="n">
        <v>0.00323437451860069</v>
      </c>
      <c r="BI11" s="33" t="n">
        <v>0.00385410376781439</v>
      </c>
      <c r="BJ11" s="33" t="n">
        <v>0.00244800447404137</v>
      </c>
      <c r="BK11" s="33" t="n">
        <v>0.00701323497890618</v>
      </c>
      <c r="BL11" s="33" t="n">
        <v>0.00111256608192467</v>
      </c>
      <c r="BM11" s="33" t="n">
        <v>0.0215990764700159</v>
      </c>
      <c r="BN11" s="33" t="n">
        <v>0.00496424608396846</v>
      </c>
      <c r="BO11" s="33" t="n">
        <v>0.00328844076394437</v>
      </c>
      <c r="BP11" s="33" t="n">
        <v>0.00441330905685583</v>
      </c>
      <c r="BQ11" s="33" t="n">
        <v>0.00477731387772106</v>
      </c>
      <c r="BR11" s="33" t="n">
        <v>0.00128074382167108</v>
      </c>
      <c r="BS11" s="33" t="n">
        <v>0.0104813213375693</v>
      </c>
      <c r="BT11" s="33" t="n">
        <v>0</v>
      </c>
    </row>
    <row r="12" customFormat="false" ht="11.25" hidden="false" customHeight="true" outlineLevel="0" collapsed="false">
      <c r="B12" s="24" t="s">
        <v>75</v>
      </c>
      <c r="C12" s="25" t="s">
        <v>76</v>
      </c>
      <c r="D12" s="24" t="n">
        <v>6</v>
      </c>
      <c r="E12" s="34" t="n">
        <v>0.00153436260045577</v>
      </c>
      <c r="F12" s="34" t="n">
        <v>0.00131468476711757</v>
      </c>
      <c r="G12" s="34" t="n">
        <v>0.000109283357948063</v>
      </c>
      <c r="H12" s="34" t="n">
        <v>0.000491886958362857</v>
      </c>
      <c r="I12" s="34" t="n">
        <v>0.00638587415102699</v>
      </c>
      <c r="J12" s="34" t="n">
        <v>1.01458211780084</v>
      </c>
      <c r="K12" s="34" t="n">
        <v>0.00102084589660722</v>
      </c>
      <c r="L12" s="34" t="n">
        <v>0.00358555338748614</v>
      </c>
      <c r="M12" s="34" t="n">
        <v>0.000546421804088834</v>
      </c>
      <c r="N12" s="34" t="n">
        <v>0.00315360963324339</v>
      </c>
      <c r="O12" s="34" t="n">
        <v>0.00211534019591671</v>
      </c>
      <c r="P12" s="34" t="n">
        <v>0.000136592898291758</v>
      </c>
      <c r="Q12" s="34" t="n">
        <v>0.000547440845433125</v>
      </c>
      <c r="R12" s="34" t="n">
        <v>0.000496749662485662</v>
      </c>
      <c r="S12" s="34" t="n">
        <v>0.000435848147479119</v>
      </c>
      <c r="T12" s="34" t="n">
        <v>0.000376542844294585</v>
      </c>
      <c r="U12" s="34" t="n">
        <v>0.00144826509788033</v>
      </c>
      <c r="V12" s="34" t="n">
        <v>0.000325559132783073</v>
      </c>
      <c r="W12" s="34" t="n">
        <v>0.00575856406516518</v>
      </c>
      <c r="X12" s="34" t="n">
        <v>0.000329796750459629</v>
      </c>
      <c r="Y12" s="34" t="n">
        <v>0.00150541332001565</v>
      </c>
      <c r="Z12" s="34" t="n">
        <v>0.00125213810284054</v>
      </c>
      <c r="AA12" s="34" t="n">
        <v>0.000708906842875824</v>
      </c>
      <c r="AB12" s="34" t="n">
        <v>0.000580700673638767</v>
      </c>
      <c r="AC12" s="34" t="n">
        <v>0.0030061785587505</v>
      </c>
      <c r="AD12" s="34" t="n">
        <v>0.00475662456554501</v>
      </c>
      <c r="AE12" s="34" t="n">
        <v>0.229643447552472</v>
      </c>
      <c r="AF12" s="34" t="n">
        <v>0.00570005027566143</v>
      </c>
      <c r="AG12" s="34" t="n">
        <v>0.0434914808528029</v>
      </c>
      <c r="AH12" s="34" t="n">
        <v>0.00149680246849014</v>
      </c>
      <c r="AI12" s="34" t="n">
        <v>0.0105889567394805</v>
      </c>
      <c r="AJ12" s="34" t="n">
        <v>0.0267339637300754</v>
      </c>
      <c r="AK12" s="34" t="n">
        <v>0.0317455890518622</v>
      </c>
      <c r="AL12" s="34" t="n">
        <v>0.0251715067308299</v>
      </c>
      <c r="AM12" s="34" t="n">
        <v>0.00431855717276683</v>
      </c>
      <c r="AN12" s="34" t="n">
        <v>0.0040176702501388</v>
      </c>
      <c r="AO12" s="34" t="n">
        <v>0.00492764459558681</v>
      </c>
      <c r="AP12" s="34" t="n">
        <v>0.00315006796299754</v>
      </c>
      <c r="AQ12" s="34" t="n">
        <v>0.00132363352157746</v>
      </c>
      <c r="AR12" s="34" t="n">
        <v>0.0558884721803002</v>
      </c>
      <c r="AS12" s="34" t="n">
        <v>0.00395311105812678</v>
      </c>
      <c r="AT12" s="34" t="n">
        <v>0.00658259522863901</v>
      </c>
      <c r="AU12" s="34" t="n">
        <v>0.00526172926493851</v>
      </c>
      <c r="AV12" s="34" t="n">
        <v>0.00018745068557729</v>
      </c>
      <c r="AW12" s="34" t="n">
        <v>0.000246844326676332</v>
      </c>
      <c r="AX12" s="34" t="n">
        <v>0.000744049119613844</v>
      </c>
      <c r="AY12" s="34" t="n">
        <v>0.000186851855727302</v>
      </c>
      <c r="AZ12" s="34" t="n">
        <v>0.0018755200731534</v>
      </c>
      <c r="BA12" s="34" t="n">
        <v>0.000357829187263784</v>
      </c>
      <c r="BB12" s="34" t="n">
        <v>0.000300146651477069</v>
      </c>
      <c r="BC12" s="34" t="n">
        <v>0.00201067890376411</v>
      </c>
      <c r="BD12" s="34" t="n">
        <v>0.000408102052673141</v>
      </c>
      <c r="BE12" s="34" t="n">
        <v>0.00126099245532706</v>
      </c>
      <c r="BF12" s="34" t="n">
        <v>0.000591674766189973</v>
      </c>
      <c r="BG12" s="34" t="n">
        <v>0.000615414801428678</v>
      </c>
      <c r="BH12" s="34" t="n">
        <v>0.00053440148587908</v>
      </c>
      <c r="BI12" s="34" t="n">
        <v>0.000452535396885875</v>
      </c>
      <c r="BJ12" s="34" t="n">
        <v>0.000615704179188128</v>
      </c>
      <c r="BK12" s="34" t="n">
        <v>0.00111599647833665</v>
      </c>
      <c r="BL12" s="34" t="n">
        <v>9.54956739081269E-005</v>
      </c>
      <c r="BM12" s="34" t="n">
        <v>0.0035893203828808</v>
      </c>
      <c r="BN12" s="34" t="n">
        <v>0.000701895602320619</v>
      </c>
      <c r="BO12" s="34" t="n">
        <v>0.000348179507964836</v>
      </c>
      <c r="BP12" s="34" t="n">
        <v>0.000917872471773525</v>
      </c>
      <c r="BQ12" s="34" t="n">
        <v>0.000853173066695315</v>
      </c>
      <c r="BR12" s="34" t="n">
        <v>0.000209807566932746</v>
      </c>
      <c r="BS12" s="34" t="n">
        <v>0.00089309933600505</v>
      </c>
      <c r="BT12" s="34" t="n">
        <v>0</v>
      </c>
    </row>
    <row r="13" customFormat="false" ht="11.25" hidden="false" customHeight="true" outlineLevel="0" collapsed="false">
      <c r="B13" s="19" t="s">
        <v>77</v>
      </c>
      <c r="C13" s="20" t="s">
        <v>78</v>
      </c>
      <c r="D13" s="19" t="n">
        <v>7</v>
      </c>
      <c r="E13" s="33" t="n">
        <v>0.00838690819369477</v>
      </c>
      <c r="F13" s="33" t="n">
        <v>0.00383740237109287</v>
      </c>
      <c r="G13" s="33" t="n">
        <v>0.000400826151249887</v>
      </c>
      <c r="H13" s="33" t="n">
        <v>0.00153780002115489</v>
      </c>
      <c r="I13" s="33" t="n">
        <v>0.0136496217314628</v>
      </c>
      <c r="J13" s="33" t="n">
        <v>0.00444839614167523</v>
      </c>
      <c r="K13" s="33" t="n">
        <v>1.05993965214062</v>
      </c>
      <c r="L13" s="33" t="n">
        <v>0.0136199031993039</v>
      </c>
      <c r="M13" s="33" t="n">
        <v>0.00249791885204078</v>
      </c>
      <c r="N13" s="33" t="n">
        <v>0.0159225577138211</v>
      </c>
      <c r="O13" s="33" t="n">
        <v>0.00473048444836511</v>
      </c>
      <c r="P13" s="33" t="n">
        <v>0.000604879314804041</v>
      </c>
      <c r="Q13" s="33" t="n">
        <v>0.002761268436282</v>
      </c>
      <c r="R13" s="33" t="n">
        <v>0.00239838548717924</v>
      </c>
      <c r="S13" s="33" t="n">
        <v>0.00193072572106461</v>
      </c>
      <c r="T13" s="33" t="n">
        <v>0.00123951944592866</v>
      </c>
      <c r="U13" s="33" t="n">
        <v>0.00938794073748759</v>
      </c>
      <c r="V13" s="33" t="n">
        <v>0.00534875171741994</v>
      </c>
      <c r="W13" s="33" t="n">
        <v>0.013429950171593</v>
      </c>
      <c r="X13" s="33" t="n">
        <v>0.00153970485100158</v>
      </c>
      <c r="Y13" s="33" t="n">
        <v>0.015277902374596</v>
      </c>
      <c r="Z13" s="33" t="n">
        <v>0.00873090311830957</v>
      </c>
      <c r="AA13" s="33" t="n">
        <v>0.00269631478655287</v>
      </c>
      <c r="AB13" s="33" t="n">
        <v>0.00245528325528311</v>
      </c>
      <c r="AC13" s="33" t="n">
        <v>0.008354148572564</v>
      </c>
      <c r="AD13" s="33" t="n">
        <v>0.0114929265856846</v>
      </c>
      <c r="AE13" s="33" t="n">
        <v>0.16657566052201</v>
      </c>
      <c r="AF13" s="33" t="n">
        <v>0.675367039453556</v>
      </c>
      <c r="AG13" s="33" t="n">
        <v>0.0577689219661232</v>
      </c>
      <c r="AH13" s="33" t="n">
        <v>0.00888412138219383</v>
      </c>
      <c r="AI13" s="33" t="n">
        <v>0.119440529641619</v>
      </c>
      <c r="AJ13" s="33" t="n">
        <v>0.0618386245020381</v>
      </c>
      <c r="AK13" s="33" t="n">
        <v>0.0797565757341677</v>
      </c>
      <c r="AL13" s="33" t="n">
        <v>0.112377128256027</v>
      </c>
      <c r="AM13" s="33" t="n">
        <v>0.0192083439028644</v>
      </c>
      <c r="AN13" s="33" t="n">
        <v>0.0296828937005046</v>
      </c>
      <c r="AO13" s="33" t="n">
        <v>0.0293510484992533</v>
      </c>
      <c r="AP13" s="33" t="n">
        <v>0.0131641180527509</v>
      </c>
      <c r="AQ13" s="33" t="n">
        <v>0.00568447821908427</v>
      </c>
      <c r="AR13" s="33" t="n">
        <v>0.130654625321334</v>
      </c>
      <c r="AS13" s="33" t="n">
        <v>0.0231539693496798</v>
      </c>
      <c r="AT13" s="33" t="n">
        <v>0.024170280372458</v>
      </c>
      <c r="AU13" s="33" t="n">
        <v>0.0216917685758433</v>
      </c>
      <c r="AV13" s="33" t="n">
        <v>0.000837758590219832</v>
      </c>
      <c r="AW13" s="33" t="n">
        <v>0.000902168154895899</v>
      </c>
      <c r="AX13" s="33" t="n">
        <v>0.00333734204116867</v>
      </c>
      <c r="AY13" s="33" t="n">
        <v>0.000671414254031891</v>
      </c>
      <c r="AZ13" s="33" t="n">
        <v>0.00529725225858602</v>
      </c>
      <c r="BA13" s="33" t="n">
        <v>0.00210391064452659</v>
      </c>
      <c r="BB13" s="33" t="n">
        <v>0.00138396171127255</v>
      </c>
      <c r="BC13" s="33" t="n">
        <v>0.00830534490665852</v>
      </c>
      <c r="BD13" s="33" t="n">
        <v>0.00182067095510607</v>
      </c>
      <c r="BE13" s="33" t="n">
        <v>0.00626957908505319</v>
      </c>
      <c r="BF13" s="33" t="n">
        <v>0.00288001056798209</v>
      </c>
      <c r="BG13" s="33" t="n">
        <v>0.00353583930764375</v>
      </c>
      <c r="BH13" s="33" t="n">
        <v>0.00167295302832462</v>
      </c>
      <c r="BI13" s="33" t="n">
        <v>0.0026924381958422</v>
      </c>
      <c r="BJ13" s="33" t="n">
        <v>0.00168458253949657</v>
      </c>
      <c r="BK13" s="33" t="n">
        <v>0.0049064856766489</v>
      </c>
      <c r="BL13" s="33" t="n">
        <v>0.000370013521019725</v>
      </c>
      <c r="BM13" s="33" t="n">
        <v>0.011758999119636</v>
      </c>
      <c r="BN13" s="33" t="n">
        <v>0.00291110897953863</v>
      </c>
      <c r="BO13" s="33" t="n">
        <v>0.0016283665716423</v>
      </c>
      <c r="BP13" s="33" t="n">
        <v>0.00394185100185234</v>
      </c>
      <c r="BQ13" s="33" t="n">
        <v>0.00581964287272297</v>
      </c>
      <c r="BR13" s="33" t="n">
        <v>0.00125540042908631</v>
      </c>
      <c r="BS13" s="33" t="n">
        <v>0.0046176000074061</v>
      </c>
      <c r="BT13" s="33" t="n">
        <v>0</v>
      </c>
    </row>
    <row r="14" customFormat="false" ht="11.25" hidden="false" customHeight="true" outlineLevel="0" collapsed="false">
      <c r="B14" s="24" t="s">
        <v>79</v>
      </c>
      <c r="C14" s="25" t="s">
        <v>80</v>
      </c>
      <c r="D14" s="24" t="n">
        <v>8</v>
      </c>
      <c r="E14" s="34" t="n">
        <v>0.00143516890489119</v>
      </c>
      <c r="F14" s="34" t="n">
        <v>0.014217394686558</v>
      </c>
      <c r="G14" s="34" t="n">
        <v>0.000560807313112882</v>
      </c>
      <c r="H14" s="34" t="n">
        <v>8.20027237565402E-005</v>
      </c>
      <c r="I14" s="34" t="n">
        <v>0.000296224546654125</v>
      </c>
      <c r="J14" s="34" t="n">
        <v>0.000112356255298924</v>
      </c>
      <c r="K14" s="34" t="n">
        <v>3.8888698707621E-005</v>
      </c>
      <c r="L14" s="34" t="n">
        <v>1.09113035551195</v>
      </c>
      <c r="M14" s="34" t="n">
        <v>0.00034938026224074</v>
      </c>
      <c r="N14" s="34" t="n">
        <v>0.0111936405383876</v>
      </c>
      <c r="O14" s="34" t="n">
        <v>0.00065707699875933</v>
      </c>
      <c r="P14" s="34" t="n">
        <v>0.00012795266965583</v>
      </c>
      <c r="Q14" s="34" t="n">
        <v>0.000307721685727484</v>
      </c>
      <c r="R14" s="34" t="n">
        <v>0.000263550451373157</v>
      </c>
      <c r="S14" s="34" t="n">
        <v>0.0147302591378827</v>
      </c>
      <c r="T14" s="34" t="n">
        <v>0.000173963096124926</v>
      </c>
      <c r="U14" s="34" t="n">
        <v>0.00062898188633711</v>
      </c>
      <c r="V14" s="34" t="n">
        <v>7.49674605239774E-005</v>
      </c>
      <c r="W14" s="34" t="n">
        <v>0.00133630566290993</v>
      </c>
      <c r="X14" s="34" t="n">
        <v>0.00267814069911029</v>
      </c>
      <c r="Y14" s="34" t="n">
        <v>0.000541695094295514</v>
      </c>
      <c r="Z14" s="34" t="n">
        <v>0.000604677382098695</v>
      </c>
      <c r="AA14" s="34" t="n">
        <v>0.00526051086456101</v>
      </c>
      <c r="AB14" s="34" t="n">
        <v>0.000405287502590114</v>
      </c>
      <c r="AC14" s="34" t="n">
        <v>0.000567378682680421</v>
      </c>
      <c r="AD14" s="34" t="n">
        <v>0.000376387593823178</v>
      </c>
      <c r="AE14" s="34" t="n">
        <v>0.000566060014920111</v>
      </c>
      <c r="AF14" s="34" t="n">
        <v>0.000203096962595449</v>
      </c>
      <c r="AG14" s="34" t="n">
        <v>0.000660043673019624</v>
      </c>
      <c r="AH14" s="34" t="n">
        <v>0.000298464825654178</v>
      </c>
      <c r="AI14" s="34" t="n">
        <v>0.00037097606185095</v>
      </c>
      <c r="AJ14" s="34" t="n">
        <v>0.000761127259277294</v>
      </c>
      <c r="AK14" s="34" t="n">
        <v>0.000593446232334918</v>
      </c>
      <c r="AL14" s="34" t="n">
        <v>0.000264890713259868</v>
      </c>
      <c r="AM14" s="34" t="n">
        <v>0.000115017979583713</v>
      </c>
      <c r="AN14" s="34" t="n">
        <v>0.000257379262669721</v>
      </c>
      <c r="AO14" s="34" t="n">
        <v>0.000138804988149736</v>
      </c>
      <c r="AP14" s="34" t="n">
        <v>0.000330876734217855</v>
      </c>
      <c r="AQ14" s="34" t="n">
        <v>8.26399469596615E-005</v>
      </c>
      <c r="AR14" s="34" t="n">
        <v>0.00131979004608938</v>
      </c>
      <c r="AS14" s="34" t="n">
        <v>0.000250907663979965</v>
      </c>
      <c r="AT14" s="34" t="n">
        <v>0.00334351288442901</v>
      </c>
      <c r="AU14" s="34" t="n">
        <v>0.000574356060075925</v>
      </c>
      <c r="AV14" s="34" t="n">
        <v>2.88222772997852E-005</v>
      </c>
      <c r="AW14" s="34" t="n">
        <v>0.000311003815614071</v>
      </c>
      <c r="AX14" s="34" t="n">
        <v>0.000167096152351893</v>
      </c>
      <c r="AY14" s="34" t="n">
        <v>0.00185098372560342</v>
      </c>
      <c r="AZ14" s="34" t="n">
        <v>0.0507885484634231</v>
      </c>
      <c r="BA14" s="34" t="n">
        <v>0.000189508818504513</v>
      </c>
      <c r="BB14" s="34" t="n">
        <v>0.000286927706603758</v>
      </c>
      <c r="BC14" s="34" t="n">
        <v>0.00119140621811013</v>
      </c>
      <c r="BD14" s="34" t="n">
        <v>0.000176265700331806</v>
      </c>
      <c r="BE14" s="34" t="n">
        <v>0.00136837752417825</v>
      </c>
      <c r="BF14" s="34" t="n">
        <v>0.000113004311738279</v>
      </c>
      <c r="BG14" s="34" t="n">
        <v>0.00054787424131901</v>
      </c>
      <c r="BH14" s="34" t="n">
        <v>0.000137110576743653</v>
      </c>
      <c r="BI14" s="34" t="n">
        <v>0.000398666052658782</v>
      </c>
      <c r="BJ14" s="34" t="n">
        <v>6.10744566509757E-005</v>
      </c>
      <c r="BK14" s="34" t="n">
        <v>0.000619807818783032</v>
      </c>
      <c r="BL14" s="34" t="n">
        <v>4.55645545387117E-005</v>
      </c>
      <c r="BM14" s="34" t="n">
        <v>0.013986953164704</v>
      </c>
      <c r="BN14" s="34" t="n">
        <v>0.00822727433934057</v>
      </c>
      <c r="BO14" s="34" t="n">
        <v>0.000991761146924085</v>
      </c>
      <c r="BP14" s="34" t="n">
        <v>0.00508658886043533</v>
      </c>
      <c r="BQ14" s="34" t="n">
        <v>0.0039781454497863</v>
      </c>
      <c r="BR14" s="34" t="n">
        <v>0.000121537869821707</v>
      </c>
      <c r="BS14" s="34" t="n">
        <v>0.00480784470826333</v>
      </c>
      <c r="BT14" s="34" t="n">
        <v>0</v>
      </c>
    </row>
    <row r="15" customFormat="false" ht="11.25" hidden="false" customHeight="true" outlineLevel="0" collapsed="false">
      <c r="B15" s="19" t="s">
        <v>81</v>
      </c>
      <c r="C15" s="20" t="s">
        <v>82</v>
      </c>
      <c r="D15" s="19" t="n">
        <v>9</v>
      </c>
      <c r="E15" s="33" t="n">
        <v>0.0114829698545859</v>
      </c>
      <c r="F15" s="33" t="n">
        <v>0.00881329073243123</v>
      </c>
      <c r="G15" s="33" t="n">
        <v>0.000717899625062859</v>
      </c>
      <c r="H15" s="33" t="n">
        <v>0.00130350691556229</v>
      </c>
      <c r="I15" s="33" t="n">
        <v>0.00510899073357541</v>
      </c>
      <c r="J15" s="33" t="n">
        <v>0.00208504336825416</v>
      </c>
      <c r="K15" s="33" t="n">
        <v>0.000810763665325262</v>
      </c>
      <c r="L15" s="33" t="n">
        <v>0.0233563845170648</v>
      </c>
      <c r="M15" s="33" t="n">
        <v>1.04119033412054</v>
      </c>
      <c r="N15" s="33" t="n">
        <v>0.0930134960276245</v>
      </c>
      <c r="O15" s="33" t="n">
        <v>0.024498059562429</v>
      </c>
      <c r="P15" s="33" t="n">
        <v>0.000542165317576614</v>
      </c>
      <c r="Q15" s="33" t="n">
        <v>0.00220894613236813</v>
      </c>
      <c r="R15" s="33" t="n">
        <v>0.00128820350887706</v>
      </c>
      <c r="S15" s="33" t="n">
        <v>0.00155067292089409</v>
      </c>
      <c r="T15" s="33" t="n">
        <v>0.000859182736752895</v>
      </c>
      <c r="U15" s="33" t="n">
        <v>0.00406219143502159</v>
      </c>
      <c r="V15" s="33" t="n">
        <v>0.000713573257177972</v>
      </c>
      <c r="W15" s="33" t="n">
        <v>0.13447693595031</v>
      </c>
      <c r="X15" s="33" t="n">
        <v>0.0151379373036786</v>
      </c>
      <c r="Y15" s="33" t="n">
        <v>0.010085488504486</v>
      </c>
      <c r="Z15" s="33" t="n">
        <v>0.0161814553154742</v>
      </c>
      <c r="AA15" s="33" t="n">
        <v>0.00765548769803058</v>
      </c>
      <c r="AB15" s="33" t="n">
        <v>0.00536784198737788</v>
      </c>
      <c r="AC15" s="33" t="n">
        <v>0.0049968882240268</v>
      </c>
      <c r="AD15" s="33" t="n">
        <v>0.0043977989517142</v>
      </c>
      <c r="AE15" s="33" t="n">
        <v>0.00552935183925944</v>
      </c>
      <c r="AF15" s="33" t="n">
        <v>0.00252829780135005</v>
      </c>
      <c r="AG15" s="33" t="n">
        <v>0.00325958134823948</v>
      </c>
      <c r="AH15" s="33" t="n">
        <v>0.00152671560166338</v>
      </c>
      <c r="AI15" s="33" t="n">
        <v>0.00269177941208839</v>
      </c>
      <c r="AJ15" s="33" t="n">
        <v>0.00548152009007374</v>
      </c>
      <c r="AK15" s="33" t="n">
        <v>0.00493989197784867</v>
      </c>
      <c r="AL15" s="33" t="n">
        <v>0.00261636708082599</v>
      </c>
      <c r="AM15" s="33" t="n">
        <v>0.000919656662649283</v>
      </c>
      <c r="AN15" s="33" t="n">
        <v>0.00162604033112027</v>
      </c>
      <c r="AO15" s="33" t="n">
        <v>0.00173936006159143</v>
      </c>
      <c r="AP15" s="33" t="n">
        <v>0.0097521968180957</v>
      </c>
      <c r="AQ15" s="33" t="n">
        <v>0.00144083795123939</v>
      </c>
      <c r="AR15" s="33" t="n">
        <v>0.0165540527459766</v>
      </c>
      <c r="AS15" s="33" t="n">
        <v>0.00256211561517905</v>
      </c>
      <c r="AT15" s="33" t="n">
        <v>0.0181513709208316</v>
      </c>
      <c r="AU15" s="33" t="n">
        <v>0.0320604299496426</v>
      </c>
      <c r="AV15" s="33" t="n">
        <v>0.000822977727097277</v>
      </c>
      <c r="AW15" s="33" t="n">
        <v>0.00218513868359482</v>
      </c>
      <c r="AX15" s="33" t="n">
        <v>0.00208457005104772</v>
      </c>
      <c r="AY15" s="33" t="n">
        <v>0.000617015874608168</v>
      </c>
      <c r="AZ15" s="33" t="n">
        <v>0.0254302327953324</v>
      </c>
      <c r="BA15" s="33" t="n">
        <v>0.00090389644534187</v>
      </c>
      <c r="BB15" s="33" t="n">
        <v>0.000771926826632605</v>
      </c>
      <c r="BC15" s="33" t="n">
        <v>0.00391538786254979</v>
      </c>
      <c r="BD15" s="33" t="n">
        <v>0.000660466531894543</v>
      </c>
      <c r="BE15" s="33" t="n">
        <v>0.00341671525040983</v>
      </c>
      <c r="BF15" s="33" t="n">
        <v>0.000675026333854627</v>
      </c>
      <c r="BG15" s="33" t="n">
        <v>0.00142638089096492</v>
      </c>
      <c r="BH15" s="33" t="n">
        <v>0.00101760878670324</v>
      </c>
      <c r="BI15" s="33" t="n">
        <v>0.00123164304829298</v>
      </c>
      <c r="BJ15" s="33" t="n">
        <v>0.000511540179627645</v>
      </c>
      <c r="BK15" s="33" t="n">
        <v>0.00234527506391669</v>
      </c>
      <c r="BL15" s="33" t="n">
        <v>0.000516836953828691</v>
      </c>
      <c r="BM15" s="33" t="n">
        <v>0.0135127248325344</v>
      </c>
      <c r="BN15" s="33" t="n">
        <v>0.00401201921540818</v>
      </c>
      <c r="BO15" s="33" t="n">
        <v>0.00108329684330763</v>
      </c>
      <c r="BP15" s="33" t="n">
        <v>0.00334463838049688</v>
      </c>
      <c r="BQ15" s="33" t="n">
        <v>0.00296659537957967</v>
      </c>
      <c r="BR15" s="33" t="n">
        <v>0.000386026517987391</v>
      </c>
      <c r="BS15" s="33" t="n">
        <v>0.00443630025472072</v>
      </c>
      <c r="BT15" s="33" t="n">
        <v>0</v>
      </c>
    </row>
    <row r="16" customFormat="false" ht="11.25" hidden="false" customHeight="true" outlineLevel="0" collapsed="false">
      <c r="B16" s="24" t="s">
        <v>83</v>
      </c>
      <c r="C16" s="25" t="s">
        <v>84</v>
      </c>
      <c r="D16" s="24" t="n">
        <v>10</v>
      </c>
      <c r="E16" s="34" t="n">
        <v>0.0116032697847476</v>
      </c>
      <c r="F16" s="34" t="n">
        <v>0.0401427822499157</v>
      </c>
      <c r="G16" s="34" t="n">
        <v>0.00253472952363519</v>
      </c>
      <c r="H16" s="34" t="n">
        <v>0.00098810111349653</v>
      </c>
      <c r="I16" s="34" t="n">
        <v>0.00126807544890699</v>
      </c>
      <c r="J16" s="34" t="n">
        <v>0.000600496809369258</v>
      </c>
      <c r="K16" s="34" t="n">
        <v>0.000230298966208358</v>
      </c>
      <c r="L16" s="34" t="n">
        <v>0.0941343155104888</v>
      </c>
      <c r="M16" s="34" t="n">
        <v>0.00240894419643657</v>
      </c>
      <c r="N16" s="34" t="n">
        <v>1.11449472841865</v>
      </c>
      <c r="O16" s="34" t="n">
        <v>0.0127643494072199</v>
      </c>
      <c r="P16" s="34" t="n">
        <v>0.000801523682476205</v>
      </c>
      <c r="Q16" s="34" t="n">
        <v>0.00219094961145491</v>
      </c>
      <c r="R16" s="34" t="n">
        <v>0.00170525919752925</v>
      </c>
      <c r="S16" s="34" t="n">
        <v>0.00307538243668027</v>
      </c>
      <c r="T16" s="34" t="n">
        <v>0.00100290694110724</v>
      </c>
      <c r="U16" s="34" t="n">
        <v>0.00674011143700054</v>
      </c>
      <c r="V16" s="34" t="n">
        <v>0.000589861047054198</v>
      </c>
      <c r="W16" s="34" t="n">
        <v>0.00799925796582386</v>
      </c>
      <c r="X16" s="34" t="n">
        <v>0.0100196866399697</v>
      </c>
      <c r="Y16" s="34" t="n">
        <v>0.00452977046859789</v>
      </c>
      <c r="Z16" s="34" t="n">
        <v>0.00635153519703992</v>
      </c>
      <c r="AA16" s="34" t="n">
        <v>0.00487133588713215</v>
      </c>
      <c r="AB16" s="34" t="n">
        <v>0.00251870001006515</v>
      </c>
      <c r="AC16" s="34" t="n">
        <v>0.00414111444518554</v>
      </c>
      <c r="AD16" s="34" t="n">
        <v>0.00268428868130848</v>
      </c>
      <c r="AE16" s="34" t="n">
        <v>0.00373817330122884</v>
      </c>
      <c r="AF16" s="34" t="n">
        <v>0.00123564689136429</v>
      </c>
      <c r="AG16" s="34" t="n">
        <v>0.00313626223214417</v>
      </c>
      <c r="AH16" s="34" t="n">
        <v>0.00182809366035098</v>
      </c>
      <c r="AI16" s="34" t="n">
        <v>0.00245545998381687</v>
      </c>
      <c r="AJ16" s="34" t="n">
        <v>0.00501003050270684</v>
      </c>
      <c r="AK16" s="34" t="n">
        <v>0.00276154968268934</v>
      </c>
      <c r="AL16" s="34" t="n">
        <v>0.00152822484905945</v>
      </c>
      <c r="AM16" s="34" t="n">
        <v>0.000707853833538834</v>
      </c>
      <c r="AN16" s="34" t="n">
        <v>0.00166379067057395</v>
      </c>
      <c r="AO16" s="34" t="n">
        <v>0.000826349995403113</v>
      </c>
      <c r="AP16" s="34" t="n">
        <v>0.0010807791241012</v>
      </c>
      <c r="AQ16" s="34" t="n">
        <v>0.000455290033921065</v>
      </c>
      <c r="AR16" s="34" t="n">
        <v>0.00764835688361453</v>
      </c>
      <c r="AS16" s="34" t="n">
        <v>0.00131505710771429</v>
      </c>
      <c r="AT16" s="34" t="n">
        <v>0.0205775337763639</v>
      </c>
      <c r="AU16" s="34" t="n">
        <v>0.00287711624261736</v>
      </c>
      <c r="AV16" s="34" t="n">
        <v>0.000111389837354108</v>
      </c>
      <c r="AW16" s="34" t="n">
        <v>0.000616515986155517</v>
      </c>
      <c r="AX16" s="34" t="n">
        <v>0.000572914349022367</v>
      </c>
      <c r="AY16" s="34" t="n">
        <v>0.00139350338470072</v>
      </c>
      <c r="AZ16" s="34" t="n">
        <v>0.0453482632197185</v>
      </c>
      <c r="BA16" s="34" t="n">
        <v>0.00132536670160508</v>
      </c>
      <c r="BB16" s="34" t="n">
        <v>0.00113951295642339</v>
      </c>
      <c r="BC16" s="34" t="n">
        <v>0.00705422204127112</v>
      </c>
      <c r="BD16" s="34" t="n">
        <v>0.000725202910367435</v>
      </c>
      <c r="BE16" s="34" t="n">
        <v>0.0036687280153813</v>
      </c>
      <c r="BF16" s="34" t="n">
        <v>0.000512987047982089</v>
      </c>
      <c r="BG16" s="34" t="n">
        <v>0.00155126518022614</v>
      </c>
      <c r="BH16" s="34" t="n">
        <v>0.000456811730061708</v>
      </c>
      <c r="BI16" s="34" t="n">
        <v>0.00158456346538263</v>
      </c>
      <c r="BJ16" s="34" t="n">
        <v>0.000210596966737426</v>
      </c>
      <c r="BK16" s="34" t="n">
        <v>0.00162364598761877</v>
      </c>
      <c r="BL16" s="34" t="n">
        <v>0.000133318383767803</v>
      </c>
      <c r="BM16" s="34" t="n">
        <v>0.0117139275230518</v>
      </c>
      <c r="BN16" s="34" t="n">
        <v>0.00757851325051085</v>
      </c>
      <c r="BO16" s="34" t="n">
        <v>0.00122491313630832</v>
      </c>
      <c r="BP16" s="34" t="n">
        <v>0.00745836143874851</v>
      </c>
      <c r="BQ16" s="34" t="n">
        <v>0.00450275992898698</v>
      </c>
      <c r="BR16" s="34" t="n">
        <v>0.000346721618072804</v>
      </c>
      <c r="BS16" s="34" t="n">
        <v>0.00628503627425033</v>
      </c>
      <c r="BT16" s="34" t="n">
        <v>0</v>
      </c>
    </row>
    <row r="17" customFormat="false" ht="11.25" hidden="false" customHeight="true" outlineLevel="0" collapsed="false">
      <c r="B17" s="19" t="s">
        <v>85</v>
      </c>
      <c r="C17" s="20" t="s">
        <v>86</v>
      </c>
      <c r="D17" s="19" t="n">
        <v>11</v>
      </c>
      <c r="E17" s="33" t="n">
        <v>0.000698255129724095</v>
      </c>
      <c r="F17" s="33" t="n">
        <v>0.000456407805857457</v>
      </c>
      <c r="G17" s="33" t="n">
        <v>5.13265801042167E-005</v>
      </c>
      <c r="H17" s="33" t="n">
        <v>0.000132800061104539</v>
      </c>
      <c r="I17" s="33" t="n">
        <v>0.0011076536011247</v>
      </c>
      <c r="J17" s="33" t="n">
        <v>0.000393363808088574</v>
      </c>
      <c r="K17" s="33" t="n">
        <v>0.000125242213727991</v>
      </c>
      <c r="L17" s="33" t="n">
        <v>0.00741834749928691</v>
      </c>
      <c r="M17" s="33" t="n">
        <v>0.000408956136749781</v>
      </c>
      <c r="N17" s="33" t="n">
        <v>0.00309118165257577</v>
      </c>
      <c r="O17" s="33" t="n">
        <v>1.10031759691715</v>
      </c>
      <c r="P17" s="33" t="n">
        <v>0.000179253980419188</v>
      </c>
      <c r="Q17" s="33" t="n">
        <v>0.000576375799776494</v>
      </c>
      <c r="R17" s="33" t="n">
        <v>0.000526521195225609</v>
      </c>
      <c r="S17" s="33" t="n">
        <v>0.000606464593833571</v>
      </c>
      <c r="T17" s="33" t="n">
        <v>0.000197257821624566</v>
      </c>
      <c r="U17" s="33" t="n">
        <v>0.00110814347602021</v>
      </c>
      <c r="V17" s="33" t="n">
        <v>0.000183251166296539</v>
      </c>
      <c r="W17" s="33" t="n">
        <v>0.0022468697398951</v>
      </c>
      <c r="X17" s="33" t="n">
        <v>0.000296249975760591</v>
      </c>
      <c r="Y17" s="33" t="n">
        <v>0.00105709491598405</v>
      </c>
      <c r="Z17" s="33" t="n">
        <v>0.0010572787889096</v>
      </c>
      <c r="AA17" s="33" t="n">
        <v>0.000358067127717812</v>
      </c>
      <c r="AB17" s="33" t="n">
        <v>0.00105707651765662</v>
      </c>
      <c r="AC17" s="33" t="n">
        <v>0.00117589478574415</v>
      </c>
      <c r="AD17" s="33" t="n">
        <v>0.000841062373371585</v>
      </c>
      <c r="AE17" s="33" t="n">
        <v>0.00149289791997833</v>
      </c>
      <c r="AF17" s="33" t="n">
        <v>0.000553887308048525</v>
      </c>
      <c r="AG17" s="33" t="n">
        <v>0.0013326828923169</v>
      </c>
      <c r="AH17" s="33" t="n">
        <v>0.000791574368185982</v>
      </c>
      <c r="AI17" s="33" t="n">
        <v>0.00101647800650913</v>
      </c>
      <c r="AJ17" s="33" t="n">
        <v>0.00266720137997886</v>
      </c>
      <c r="AK17" s="33" t="n">
        <v>0.00212160300253408</v>
      </c>
      <c r="AL17" s="33" t="n">
        <v>0.000786828324536492</v>
      </c>
      <c r="AM17" s="33" t="n">
        <v>0.000396190990752569</v>
      </c>
      <c r="AN17" s="33" t="n">
        <v>0.000548975445837897</v>
      </c>
      <c r="AO17" s="33" t="n">
        <v>0.000717076266849592</v>
      </c>
      <c r="AP17" s="33" t="n">
        <v>0.00109846952891593</v>
      </c>
      <c r="AQ17" s="33" t="n">
        <v>0.000249944762565533</v>
      </c>
      <c r="AR17" s="33" t="n">
        <v>0.00390030652591446</v>
      </c>
      <c r="AS17" s="33" t="n">
        <v>0.000868754243056622</v>
      </c>
      <c r="AT17" s="33" t="n">
        <v>0.0058430893843681</v>
      </c>
      <c r="AU17" s="33" t="n">
        <v>0.00141703470657017</v>
      </c>
      <c r="AV17" s="33" t="n">
        <v>9.22120323213473E-005</v>
      </c>
      <c r="AW17" s="33" t="n">
        <v>0.00181536666586395</v>
      </c>
      <c r="AX17" s="33" t="n">
        <v>0.000557518416619741</v>
      </c>
      <c r="AY17" s="33" t="n">
        <v>0.00606187269811977</v>
      </c>
      <c r="AZ17" s="33" t="n">
        <v>0.30897117171919</v>
      </c>
      <c r="BA17" s="33" t="n">
        <v>0.000466141781511945</v>
      </c>
      <c r="BB17" s="33" t="n">
        <v>0.00106186965523131</v>
      </c>
      <c r="BC17" s="33" t="n">
        <v>0.00323680118613278</v>
      </c>
      <c r="BD17" s="33" t="n">
        <v>0.000560909727761772</v>
      </c>
      <c r="BE17" s="33" t="n">
        <v>0.00840313788915293</v>
      </c>
      <c r="BF17" s="33" t="n">
        <v>0.000478954320693182</v>
      </c>
      <c r="BG17" s="33" t="n">
        <v>0.00238495522748555</v>
      </c>
      <c r="BH17" s="33" t="n">
        <v>0.000332737677626682</v>
      </c>
      <c r="BI17" s="33" t="n">
        <v>0.00136326691067916</v>
      </c>
      <c r="BJ17" s="33" t="n">
        <v>0.00017861926081617</v>
      </c>
      <c r="BK17" s="33" t="n">
        <v>0.00223635362698115</v>
      </c>
      <c r="BL17" s="33" t="n">
        <v>9.52405263199404E-005</v>
      </c>
      <c r="BM17" s="33" t="n">
        <v>0.0183264715619093</v>
      </c>
      <c r="BN17" s="33" t="n">
        <v>0.00388671769044181</v>
      </c>
      <c r="BO17" s="33" t="n">
        <v>0.000837082844532365</v>
      </c>
      <c r="BP17" s="33" t="n">
        <v>0.007280789944734</v>
      </c>
      <c r="BQ17" s="33" t="n">
        <v>0.00701666704763999</v>
      </c>
      <c r="BR17" s="33" t="n">
        <v>0.000599051449112674</v>
      </c>
      <c r="BS17" s="33" t="n">
        <v>0.0173900092812341</v>
      </c>
      <c r="BT17" s="33" t="n">
        <v>0</v>
      </c>
    </row>
    <row r="18" customFormat="false" ht="11.25" hidden="false" customHeight="true" outlineLevel="0" collapsed="false">
      <c r="B18" s="24" t="s">
        <v>87</v>
      </c>
      <c r="C18" s="25" t="s">
        <v>88</v>
      </c>
      <c r="D18" s="24" t="n">
        <v>12</v>
      </c>
      <c r="E18" s="34" t="n">
        <v>0.000150403812335743</v>
      </c>
      <c r="F18" s="34" t="n">
        <v>9.46462800121515E-005</v>
      </c>
      <c r="G18" s="34" t="n">
        <v>6.79124646529345E-006</v>
      </c>
      <c r="H18" s="34" t="n">
        <v>2.43873737036545E-005</v>
      </c>
      <c r="I18" s="34" t="n">
        <v>8.75550016088669E-005</v>
      </c>
      <c r="J18" s="34" t="n">
        <v>5.13721901059043E-005</v>
      </c>
      <c r="K18" s="34" t="n">
        <v>1.84400296352296E-005</v>
      </c>
      <c r="L18" s="34" t="n">
        <v>0.00112868582712637</v>
      </c>
      <c r="M18" s="34" t="n">
        <v>0.000112000944490234</v>
      </c>
      <c r="N18" s="34" t="n">
        <v>0.000946205558981492</v>
      </c>
      <c r="O18" s="34" t="n">
        <v>0.000114764205514688</v>
      </c>
      <c r="P18" s="34" t="n">
        <v>1.07337932242333</v>
      </c>
      <c r="Q18" s="34" t="n">
        <v>0.000230135967685475</v>
      </c>
      <c r="R18" s="34" t="n">
        <v>0.000219745542544474</v>
      </c>
      <c r="S18" s="34" t="n">
        <v>0.000243775889469893</v>
      </c>
      <c r="T18" s="34" t="n">
        <v>7.46737782573245E-005</v>
      </c>
      <c r="U18" s="34" t="n">
        <v>0.000603264276428918</v>
      </c>
      <c r="V18" s="34" t="n">
        <v>7.92220070727236E-005</v>
      </c>
      <c r="W18" s="34" t="n">
        <v>0.000244287321156126</v>
      </c>
      <c r="X18" s="34" t="n">
        <v>9.13236513943142E-005</v>
      </c>
      <c r="Y18" s="34" t="n">
        <v>0.000254731424941025</v>
      </c>
      <c r="Z18" s="34" t="n">
        <v>0.000298692216019415</v>
      </c>
      <c r="AA18" s="34" t="n">
        <v>0.000101744052790863</v>
      </c>
      <c r="AB18" s="34" t="n">
        <v>0.000288023362757186</v>
      </c>
      <c r="AC18" s="34" t="n">
        <v>0.000437525032575851</v>
      </c>
      <c r="AD18" s="34" t="n">
        <v>0.00031446007462872</v>
      </c>
      <c r="AE18" s="34" t="n">
        <v>0.000433755235592746</v>
      </c>
      <c r="AF18" s="34" t="n">
        <v>0.000141365214181635</v>
      </c>
      <c r="AG18" s="34" t="n">
        <v>0.000388895678233047</v>
      </c>
      <c r="AH18" s="34" t="n">
        <v>0.000270730639731897</v>
      </c>
      <c r="AI18" s="34" t="n">
        <v>0.000312847399139502</v>
      </c>
      <c r="AJ18" s="34" t="n">
        <v>0.000645568794744169</v>
      </c>
      <c r="AK18" s="34" t="n">
        <v>0.000314492838622464</v>
      </c>
      <c r="AL18" s="34" t="n">
        <v>0.000178966464335882</v>
      </c>
      <c r="AM18" s="34" t="n">
        <v>8.02567875610618E-005</v>
      </c>
      <c r="AN18" s="34" t="n">
        <v>0.000191277084999781</v>
      </c>
      <c r="AO18" s="34" t="n">
        <v>7.65030609613733E-005</v>
      </c>
      <c r="AP18" s="34" t="n">
        <v>8.83017380003637E-005</v>
      </c>
      <c r="AQ18" s="34" t="n">
        <v>3.26921134000647E-005</v>
      </c>
      <c r="AR18" s="34" t="n">
        <v>0.000635350304996065</v>
      </c>
      <c r="AS18" s="34" t="n">
        <v>9.04201029285529E-005</v>
      </c>
      <c r="AT18" s="34" t="n">
        <v>0.00117967008806344</v>
      </c>
      <c r="AU18" s="34" t="n">
        <v>0.000147491473654545</v>
      </c>
      <c r="AV18" s="34" t="n">
        <v>8.26414055382234E-006</v>
      </c>
      <c r="AW18" s="34" t="n">
        <v>1.699321848217E-005</v>
      </c>
      <c r="AX18" s="34" t="n">
        <v>4.38479950719181E-005</v>
      </c>
      <c r="AY18" s="34" t="n">
        <v>1.613898942384E-005</v>
      </c>
      <c r="AZ18" s="34" t="n">
        <v>0.000170205113221467</v>
      </c>
      <c r="BA18" s="34" t="n">
        <v>0.000209606006151634</v>
      </c>
      <c r="BB18" s="34" t="n">
        <v>0.000141263384302908</v>
      </c>
      <c r="BC18" s="34" t="n">
        <v>0.00094594564198651</v>
      </c>
      <c r="BD18" s="34" t="n">
        <v>9.30180508456179E-005</v>
      </c>
      <c r="BE18" s="34" t="n">
        <v>0.000251826084366148</v>
      </c>
      <c r="BF18" s="34" t="n">
        <v>3.82092528472126E-005</v>
      </c>
      <c r="BG18" s="34" t="n">
        <v>0.000156204415915342</v>
      </c>
      <c r="BH18" s="34" t="n">
        <v>0.000108660849415968</v>
      </c>
      <c r="BI18" s="34" t="n">
        <v>0.000189854950634789</v>
      </c>
      <c r="BJ18" s="34" t="n">
        <v>2.42060542113151E-005</v>
      </c>
      <c r="BK18" s="34" t="n">
        <v>0.000165735119073997</v>
      </c>
      <c r="BL18" s="34" t="n">
        <v>1.34245284718955E-005</v>
      </c>
      <c r="BM18" s="34" t="n">
        <v>0.000212219397717088</v>
      </c>
      <c r="BN18" s="34" t="n">
        <v>8.69078414479399E-005</v>
      </c>
      <c r="BO18" s="34" t="n">
        <v>6.41750474151286E-005</v>
      </c>
      <c r="BP18" s="34" t="n">
        <v>6.82210183039834E-005</v>
      </c>
      <c r="BQ18" s="34" t="n">
        <v>0.000103157341389102</v>
      </c>
      <c r="BR18" s="34" t="n">
        <v>1.74768449696402E-005</v>
      </c>
      <c r="BS18" s="34" t="n">
        <v>9.34915095490763E-005</v>
      </c>
      <c r="BT18" s="34" t="n">
        <v>0</v>
      </c>
    </row>
    <row r="19" customFormat="false" ht="11.25" hidden="false" customHeight="true" outlineLevel="0" collapsed="false">
      <c r="B19" s="19" t="s">
        <v>89</v>
      </c>
      <c r="C19" s="20" t="s">
        <v>90</v>
      </c>
      <c r="D19" s="19" t="n">
        <v>13</v>
      </c>
      <c r="E19" s="33" t="n">
        <v>0.0127611532529475</v>
      </c>
      <c r="F19" s="33" t="n">
        <v>0.00164108477912556</v>
      </c>
      <c r="G19" s="33" t="n">
        <v>0.000196260252951369</v>
      </c>
      <c r="H19" s="33" t="n">
        <v>0.00391676417585286</v>
      </c>
      <c r="I19" s="33" t="n">
        <v>0.00351547746979226</v>
      </c>
      <c r="J19" s="33" t="n">
        <v>0.000805298661959488</v>
      </c>
      <c r="K19" s="33" t="n">
        <v>0.00028816601369587</v>
      </c>
      <c r="L19" s="33" t="n">
        <v>0.0059044756693104</v>
      </c>
      <c r="M19" s="33" t="n">
        <v>0.00457438310754728</v>
      </c>
      <c r="N19" s="33" t="n">
        <v>0.0113430875296969</v>
      </c>
      <c r="O19" s="33" t="n">
        <v>0.00185733564697452</v>
      </c>
      <c r="P19" s="33" t="n">
        <v>0.000534689996393052</v>
      </c>
      <c r="Q19" s="33" t="n">
        <v>1.22216329552521</v>
      </c>
      <c r="R19" s="33" t="n">
        <v>0.310523042596699</v>
      </c>
      <c r="S19" s="33" t="n">
        <v>0.0589878939928353</v>
      </c>
      <c r="T19" s="33" t="n">
        <v>0.000585384563229103</v>
      </c>
      <c r="U19" s="33" t="n">
        <v>0.00467829941773768</v>
      </c>
      <c r="V19" s="33" t="n">
        <v>0.000635682985875206</v>
      </c>
      <c r="W19" s="33" t="n">
        <v>0.00446760336735416</v>
      </c>
      <c r="X19" s="33" t="n">
        <v>0.00126771493727485</v>
      </c>
      <c r="Y19" s="33" t="n">
        <v>0.00330397175459789</v>
      </c>
      <c r="Z19" s="33" t="n">
        <v>0.00282833113521772</v>
      </c>
      <c r="AA19" s="33" t="n">
        <v>0.00121721535887201</v>
      </c>
      <c r="AB19" s="33" t="n">
        <v>0.00343427309783133</v>
      </c>
      <c r="AC19" s="33" t="n">
        <v>0.0170425357923417</v>
      </c>
      <c r="AD19" s="33" t="n">
        <v>0.00365250348001451</v>
      </c>
      <c r="AE19" s="33" t="n">
        <v>0.0028688529317994</v>
      </c>
      <c r="AF19" s="33" t="n">
        <v>0.001038988196475</v>
      </c>
      <c r="AG19" s="33" t="n">
        <v>0.00333112143371654</v>
      </c>
      <c r="AH19" s="33" t="n">
        <v>0.00170154938741472</v>
      </c>
      <c r="AI19" s="33" t="n">
        <v>0.00313297695758301</v>
      </c>
      <c r="AJ19" s="33" t="n">
        <v>0.00440334362761059</v>
      </c>
      <c r="AK19" s="33" t="n">
        <v>0.0240913839582634</v>
      </c>
      <c r="AL19" s="33" t="n">
        <v>0.0396757973914068</v>
      </c>
      <c r="AM19" s="33" t="n">
        <v>0.0029931310344921</v>
      </c>
      <c r="AN19" s="33" t="n">
        <v>0.0271870440215422</v>
      </c>
      <c r="AO19" s="33" t="n">
        <v>0.00119566255911586</v>
      </c>
      <c r="AP19" s="33" t="n">
        <v>0.00253027111404054</v>
      </c>
      <c r="AQ19" s="33" t="n">
        <v>0.00133797363516079</v>
      </c>
      <c r="AR19" s="33" t="n">
        <v>0.0234467751700178</v>
      </c>
      <c r="AS19" s="33" t="n">
        <v>0.00692892558509754</v>
      </c>
      <c r="AT19" s="33" t="n">
        <v>0.0129526690026298</v>
      </c>
      <c r="AU19" s="33" t="n">
        <v>0.0100347457724375</v>
      </c>
      <c r="AV19" s="33" t="n">
        <v>0.000443249238487278</v>
      </c>
      <c r="AW19" s="33" t="n">
        <v>0.00129102652666558</v>
      </c>
      <c r="AX19" s="33" t="n">
        <v>0.00140931534372043</v>
      </c>
      <c r="AY19" s="33" t="n">
        <v>0.00498110826361332</v>
      </c>
      <c r="AZ19" s="33" t="n">
        <v>0.00529301315895196</v>
      </c>
      <c r="BA19" s="33" t="n">
        <v>0.000843062291990663</v>
      </c>
      <c r="BB19" s="33" t="n">
        <v>0.00133901791236291</v>
      </c>
      <c r="BC19" s="33" t="n">
        <v>0.00438137224734856</v>
      </c>
      <c r="BD19" s="33" t="n">
        <v>0.00078006071754361</v>
      </c>
      <c r="BE19" s="33" t="n">
        <v>0.00632066417651002</v>
      </c>
      <c r="BF19" s="33" t="n">
        <v>0.000824849604392129</v>
      </c>
      <c r="BG19" s="33" t="n">
        <v>0.00139407366882658</v>
      </c>
      <c r="BH19" s="33" t="n">
        <v>0.00141080575275872</v>
      </c>
      <c r="BI19" s="33" t="n">
        <v>0.00179236896612013</v>
      </c>
      <c r="BJ19" s="33" t="n">
        <v>0.000599709820990937</v>
      </c>
      <c r="BK19" s="33" t="n">
        <v>0.00223921049141302</v>
      </c>
      <c r="BL19" s="33" t="n">
        <v>0.000849815779955828</v>
      </c>
      <c r="BM19" s="33" t="n">
        <v>0.00785239235762099</v>
      </c>
      <c r="BN19" s="33" t="n">
        <v>0.00473700064890859</v>
      </c>
      <c r="BO19" s="33" t="n">
        <v>0.000786637866073707</v>
      </c>
      <c r="BP19" s="33" t="n">
        <v>0.00293005658605119</v>
      </c>
      <c r="BQ19" s="33" t="n">
        <v>0.00517017140600992</v>
      </c>
      <c r="BR19" s="33" t="n">
        <v>0.000807691761509396</v>
      </c>
      <c r="BS19" s="33" t="n">
        <v>0.0164056470633502</v>
      </c>
      <c r="BT19" s="33" t="n">
        <v>0</v>
      </c>
    </row>
    <row r="20" customFormat="false" ht="11.25" hidden="false" customHeight="true" outlineLevel="0" collapsed="false">
      <c r="B20" s="24" t="s">
        <v>91</v>
      </c>
      <c r="C20" s="25" t="s">
        <v>92</v>
      </c>
      <c r="D20" s="24" t="n">
        <v>14</v>
      </c>
      <c r="E20" s="34" t="n">
        <v>0.000925210738914792</v>
      </c>
      <c r="F20" s="34" t="n">
        <v>0.000418717097846089</v>
      </c>
      <c r="G20" s="34" t="n">
        <v>0.000201551712993913</v>
      </c>
      <c r="H20" s="34" t="n">
        <v>0.000225167048129735</v>
      </c>
      <c r="I20" s="34" t="n">
        <v>0.00187834753332323</v>
      </c>
      <c r="J20" s="34" t="n">
        <v>0.000390414581786015</v>
      </c>
      <c r="K20" s="34" t="n">
        <v>0.000114649495999228</v>
      </c>
      <c r="L20" s="34" t="n">
        <v>0.00257525730434242</v>
      </c>
      <c r="M20" s="34" t="n">
        <v>0.000502542941547117</v>
      </c>
      <c r="N20" s="34" t="n">
        <v>0.00252262661359548</v>
      </c>
      <c r="O20" s="34" t="n">
        <v>0.000622388671221685</v>
      </c>
      <c r="P20" s="34" t="n">
        <v>0.000179474458669453</v>
      </c>
      <c r="Q20" s="34" t="n">
        <v>0.00256659559046665</v>
      </c>
      <c r="R20" s="34" t="n">
        <v>1.03263526166197</v>
      </c>
      <c r="S20" s="34" t="n">
        <v>0.00201070986598111</v>
      </c>
      <c r="T20" s="34" t="n">
        <v>0.000210767881942902</v>
      </c>
      <c r="U20" s="34" t="n">
        <v>0.00110117583550128</v>
      </c>
      <c r="V20" s="34" t="n">
        <v>0.000155125041049524</v>
      </c>
      <c r="W20" s="34" t="n">
        <v>0.00210190252392927</v>
      </c>
      <c r="X20" s="34" t="n">
        <v>0.000282782081578187</v>
      </c>
      <c r="Y20" s="34" t="n">
        <v>0.000986402372597113</v>
      </c>
      <c r="Z20" s="34" t="n">
        <v>0.000866912851243149</v>
      </c>
      <c r="AA20" s="34" t="n">
        <v>0.000292988179530575</v>
      </c>
      <c r="AB20" s="34" t="n">
        <v>0.000697309425558085</v>
      </c>
      <c r="AC20" s="34" t="n">
        <v>0.00113156808299861</v>
      </c>
      <c r="AD20" s="34" t="n">
        <v>0.00107909940504489</v>
      </c>
      <c r="AE20" s="34" t="n">
        <v>0.00153895445638006</v>
      </c>
      <c r="AF20" s="34" t="n">
        <v>0.000505495752356582</v>
      </c>
      <c r="AG20" s="34" t="n">
        <v>0.0017313064789791</v>
      </c>
      <c r="AH20" s="34" t="n">
        <v>0.000724808200894513</v>
      </c>
      <c r="AI20" s="34" t="n">
        <v>0.000893194496457021</v>
      </c>
      <c r="AJ20" s="34" t="n">
        <v>0.00204439606252088</v>
      </c>
      <c r="AK20" s="34" t="n">
        <v>0.00200081815067284</v>
      </c>
      <c r="AL20" s="34" t="n">
        <v>0.001557954943014</v>
      </c>
      <c r="AM20" s="34" t="n">
        <v>0.000364274229947816</v>
      </c>
      <c r="AN20" s="34" t="n">
        <v>0.00097459948699862</v>
      </c>
      <c r="AO20" s="34" t="n">
        <v>0.000470883362946657</v>
      </c>
      <c r="AP20" s="34" t="n">
        <v>0.00238052805963343</v>
      </c>
      <c r="AQ20" s="34" t="n">
        <v>0.00172036937236105</v>
      </c>
      <c r="AR20" s="34" t="n">
        <v>0.00398732855831898</v>
      </c>
      <c r="AS20" s="34" t="n">
        <v>0.00074035754294075</v>
      </c>
      <c r="AT20" s="34" t="n">
        <v>0.00865241518174584</v>
      </c>
      <c r="AU20" s="34" t="n">
        <v>0.00412579499118211</v>
      </c>
      <c r="AV20" s="34" t="n">
        <v>0.000235359372294166</v>
      </c>
      <c r="AW20" s="34" t="n">
        <v>0.00288816623048088</v>
      </c>
      <c r="AX20" s="34" t="n">
        <v>0.00188526141393302</v>
      </c>
      <c r="AY20" s="34" t="n">
        <v>0.00114189531675001</v>
      </c>
      <c r="AZ20" s="34" t="n">
        <v>0.00263096422907433</v>
      </c>
      <c r="BA20" s="34" t="n">
        <v>0.000402357800565763</v>
      </c>
      <c r="BB20" s="34" t="n">
        <v>0.00212081138109407</v>
      </c>
      <c r="BC20" s="34" t="n">
        <v>0.00367593836091487</v>
      </c>
      <c r="BD20" s="34" t="n">
        <v>0.000501706257849463</v>
      </c>
      <c r="BE20" s="34" t="n">
        <v>0.0128929219903207</v>
      </c>
      <c r="BF20" s="34" t="n">
        <v>0.000883419956921699</v>
      </c>
      <c r="BG20" s="34" t="n">
        <v>0.000872062776641797</v>
      </c>
      <c r="BH20" s="34" t="n">
        <v>0.00241636883311445</v>
      </c>
      <c r="BI20" s="34" t="n">
        <v>0.00222997936482747</v>
      </c>
      <c r="BJ20" s="34" t="n">
        <v>0.000177293027090051</v>
      </c>
      <c r="BK20" s="34" t="n">
        <v>0.00256728564837555</v>
      </c>
      <c r="BL20" s="34" t="n">
        <v>0.00224307671000992</v>
      </c>
      <c r="BM20" s="34" t="n">
        <v>0.0114133298862571</v>
      </c>
      <c r="BN20" s="34" t="n">
        <v>0.00861419788202159</v>
      </c>
      <c r="BO20" s="34" t="n">
        <v>0.000553005626825911</v>
      </c>
      <c r="BP20" s="34" t="n">
        <v>0.00145846833992387</v>
      </c>
      <c r="BQ20" s="34" t="n">
        <v>0.00151348310845842</v>
      </c>
      <c r="BR20" s="34" t="n">
        <v>0.00135490024070012</v>
      </c>
      <c r="BS20" s="34" t="n">
        <v>0.0142480489974206</v>
      </c>
      <c r="BT20" s="34" t="n">
        <v>0</v>
      </c>
    </row>
    <row r="21" customFormat="false" ht="11.25" hidden="false" customHeight="true" outlineLevel="0" collapsed="false">
      <c r="B21" s="19" t="s">
        <v>93</v>
      </c>
      <c r="C21" s="20" t="s">
        <v>94</v>
      </c>
      <c r="D21" s="19" t="n">
        <v>15</v>
      </c>
      <c r="E21" s="33" t="n">
        <v>0.000645499720775928</v>
      </c>
      <c r="F21" s="33" t="n">
        <v>0.00051030114931623</v>
      </c>
      <c r="G21" s="33" t="n">
        <v>3.66142840795217E-005</v>
      </c>
      <c r="H21" s="33" t="n">
        <v>0.000287624182112148</v>
      </c>
      <c r="I21" s="33" t="n">
        <v>0.00044631815737181</v>
      </c>
      <c r="J21" s="33" t="n">
        <v>0.000212286987748961</v>
      </c>
      <c r="K21" s="33" t="n">
        <v>7.01254578114951E-005</v>
      </c>
      <c r="L21" s="33" t="n">
        <v>0.00239564643158487</v>
      </c>
      <c r="M21" s="33" t="n">
        <v>0.000256967126904923</v>
      </c>
      <c r="N21" s="33" t="n">
        <v>0.00239422931280848</v>
      </c>
      <c r="O21" s="33" t="n">
        <v>0.000432174714248209</v>
      </c>
      <c r="P21" s="33" t="n">
        <v>0.000145191717602116</v>
      </c>
      <c r="Q21" s="33" t="n">
        <v>0.000686564880790893</v>
      </c>
      <c r="R21" s="33" t="n">
        <v>0.000980801588321202</v>
      </c>
      <c r="S21" s="33" t="n">
        <v>1.12929374589448</v>
      </c>
      <c r="T21" s="33" t="n">
        <v>0.000205240470755861</v>
      </c>
      <c r="U21" s="33" t="n">
        <v>0.00307192320844641</v>
      </c>
      <c r="V21" s="33" t="n">
        <v>0.000192948497526281</v>
      </c>
      <c r="W21" s="33" t="n">
        <v>0.000733710859970153</v>
      </c>
      <c r="X21" s="33" t="n">
        <v>0.000232035116471419</v>
      </c>
      <c r="Y21" s="33" t="n">
        <v>0.000873953786027272</v>
      </c>
      <c r="Z21" s="33" t="n">
        <v>0.00100171415342122</v>
      </c>
      <c r="AA21" s="33" t="n">
        <v>0.000415264622735634</v>
      </c>
      <c r="AB21" s="33" t="n">
        <v>0.000555609153467108</v>
      </c>
      <c r="AC21" s="33" t="n">
        <v>0.00165125969614829</v>
      </c>
      <c r="AD21" s="33" t="n">
        <v>0.000901623661506868</v>
      </c>
      <c r="AE21" s="33" t="n">
        <v>0.000999445647546722</v>
      </c>
      <c r="AF21" s="33" t="n">
        <v>0.000341629845670374</v>
      </c>
      <c r="AG21" s="33" t="n">
        <v>0.00163477159684865</v>
      </c>
      <c r="AH21" s="33" t="n">
        <v>0.000514010123645785</v>
      </c>
      <c r="AI21" s="33" t="n">
        <v>0.000780827565661714</v>
      </c>
      <c r="AJ21" s="33" t="n">
        <v>0.00143854108469551</v>
      </c>
      <c r="AK21" s="33" t="n">
        <v>0.00154933332899764</v>
      </c>
      <c r="AL21" s="33" t="n">
        <v>0.00089939363676266</v>
      </c>
      <c r="AM21" s="33" t="n">
        <v>0.000285409602112059</v>
      </c>
      <c r="AN21" s="33" t="n">
        <v>0.00122245457346016</v>
      </c>
      <c r="AO21" s="33" t="n">
        <v>0.000335775246345535</v>
      </c>
      <c r="AP21" s="33" t="n">
        <v>0.00339740706745791</v>
      </c>
      <c r="AQ21" s="33" t="n">
        <v>0.000236614842093579</v>
      </c>
      <c r="AR21" s="33" t="n">
        <v>0.00367080302646103</v>
      </c>
      <c r="AS21" s="33" t="n">
        <v>0.000402762398456452</v>
      </c>
      <c r="AT21" s="33" t="n">
        <v>0.00283368095311143</v>
      </c>
      <c r="AU21" s="33" t="n">
        <v>0.000836920844366088</v>
      </c>
      <c r="AV21" s="33" t="n">
        <v>3.7236591316189E-005</v>
      </c>
      <c r="AW21" s="33" t="n">
        <v>0.000124103405051457</v>
      </c>
      <c r="AX21" s="33" t="n">
        <v>0.000254185363223677</v>
      </c>
      <c r="AY21" s="33" t="n">
        <v>9.98916755281302E-005</v>
      </c>
      <c r="AZ21" s="33" t="n">
        <v>0.000743995537088855</v>
      </c>
      <c r="BA21" s="33" t="n">
        <v>0.000339360214846632</v>
      </c>
      <c r="BB21" s="33" t="n">
        <v>0.00105485293918718</v>
      </c>
      <c r="BC21" s="33" t="n">
        <v>0.00164946533596112</v>
      </c>
      <c r="BD21" s="33" t="n">
        <v>0.000273262563548554</v>
      </c>
      <c r="BE21" s="33" t="n">
        <v>0.00102475899303845</v>
      </c>
      <c r="BF21" s="33" t="n">
        <v>0.000152991976352109</v>
      </c>
      <c r="BG21" s="33" t="n">
        <v>0.000377238905718098</v>
      </c>
      <c r="BH21" s="33" t="n">
        <v>0.000217131602523716</v>
      </c>
      <c r="BI21" s="33" t="n">
        <v>0.000953365183404498</v>
      </c>
      <c r="BJ21" s="33" t="n">
        <v>0.000103706306301538</v>
      </c>
      <c r="BK21" s="33" t="n">
        <v>0.000570930923600235</v>
      </c>
      <c r="BL21" s="33" t="n">
        <v>0.00123136286997274</v>
      </c>
      <c r="BM21" s="33" t="n">
        <v>0.00157048016097074</v>
      </c>
      <c r="BN21" s="33" t="n">
        <v>0.000487490779546508</v>
      </c>
      <c r="BO21" s="33" t="n">
        <v>0.000220697440771988</v>
      </c>
      <c r="BP21" s="33" t="n">
        <v>0.000488045375392599</v>
      </c>
      <c r="BQ21" s="33" t="n">
        <v>0.000777254555723001</v>
      </c>
      <c r="BR21" s="33" t="n">
        <v>9.33693024680953E-005</v>
      </c>
      <c r="BS21" s="33" t="n">
        <v>0.000465827452251655</v>
      </c>
      <c r="BT21" s="33" t="n">
        <v>0</v>
      </c>
    </row>
    <row r="22" customFormat="false" ht="11.25" hidden="false" customHeight="true" outlineLevel="0" collapsed="false">
      <c r="B22" s="24" t="s">
        <v>95</v>
      </c>
      <c r="C22" s="25" t="s">
        <v>96</v>
      </c>
      <c r="D22" s="24" t="n">
        <v>16</v>
      </c>
      <c r="E22" s="34" t="n">
        <v>0.0210433870118429</v>
      </c>
      <c r="F22" s="34" t="n">
        <v>0.0138841678329117</v>
      </c>
      <c r="G22" s="34" t="n">
        <v>0.000820493029706916</v>
      </c>
      <c r="H22" s="34" t="n">
        <v>0.000967594651355892</v>
      </c>
      <c r="I22" s="34" t="n">
        <v>0.00472939092976857</v>
      </c>
      <c r="J22" s="34" t="n">
        <v>0.00243152613433489</v>
      </c>
      <c r="K22" s="34" t="n">
        <v>0.000727333253155631</v>
      </c>
      <c r="L22" s="34" t="n">
        <v>0.0263083969257267</v>
      </c>
      <c r="M22" s="34" t="n">
        <v>0.00429810000419423</v>
      </c>
      <c r="N22" s="34" t="n">
        <v>0.0321765622251099</v>
      </c>
      <c r="O22" s="34" t="n">
        <v>0.0079211319587595</v>
      </c>
      <c r="P22" s="34" t="n">
        <v>0.00159416561063307</v>
      </c>
      <c r="Q22" s="34" t="n">
        <v>0.00579642508893083</v>
      </c>
      <c r="R22" s="34" t="n">
        <v>0.0073752745159756</v>
      </c>
      <c r="S22" s="34" t="n">
        <v>0.00450096084308536</v>
      </c>
      <c r="T22" s="34" t="n">
        <v>1.14202340408994</v>
      </c>
      <c r="U22" s="34" t="n">
        <v>0.0282344296422461</v>
      </c>
      <c r="V22" s="34" t="n">
        <v>0.00148229709226711</v>
      </c>
      <c r="W22" s="34" t="n">
        <v>0.00800259665313074</v>
      </c>
      <c r="X22" s="34" t="n">
        <v>0.00274583694824549</v>
      </c>
      <c r="Y22" s="34" t="n">
        <v>0.00619540791184142</v>
      </c>
      <c r="Z22" s="34" t="n">
        <v>0.00677140895810314</v>
      </c>
      <c r="AA22" s="34" t="n">
        <v>0.00218763630846194</v>
      </c>
      <c r="AB22" s="34" t="n">
        <v>0.00426465972090283</v>
      </c>
      <c r="AC22" s="34" t="n">
        <v>0.00826276242924004</v>
      </c>
      <c r="AD22" s="34" t="n">
        <v>0.00756247873998396</v>
      </c>
      <c r="AE22" s="34" t="n">
        <v>0.00953696655955501</v>
      </c>
      <c r="AF22" s="34" t="n">
        <v>0.00366703079845463</v>
      </c>
      <c r="AG22" s="34" t="n">
        <v>0.0166395097347124</v>
      </c>
      <c r="AH22" s="34" t="n">
        <v>0.00456427331034454</v>
      </c>
      <c r="AI22" s="34" t="n">
        <v>0.00616491246839045</v>
      </c>
      <c r="AJ22" s="34" t="n">
        <v>0.0303488258544646</v>
      </c>
      <c r="AK22" s="34" t="n">
        <v>0.0242699808997844</v>
      </c>
      <c r="AL22" s="34" t="n">
        <v>0.0106121741082656</v>
      </c>
      <c r="AM22" s="34" t="n">
        <v>0.0120924646390266</v>
      </c>
      <c r="AN22" s="34" t="n">
        <v>0.256321955389474</v>
      </c>
      <c r="AO22" s="34" t="n">
        <v>0.00378868440988791</v>
      </c>
      <c r="AP22" s="34" t="n">
        <v>0.0228286834952969</v>
      </c>
      <c r="AQ22" s="34" t="n">
        <v>0.00408361251086839</v>
      </c>
      <c r="AR22" s="34" t="n">
        <v>0.284661134626187</v>
      </c>
      <c r="AS22" s="34" t="n">
        <v>0.00445724663970989</v>
      </c>
      <c r="AT22" s="34" t="n">
        <v>0.0975601909734545</v>
      </c>
      <c r="AU22" s="34" t="n">
        <v>0.00668025212603809</v>
      </c>
      <c r="AV22" s="34" t="n">
        <v>0.000685104008859668</v>
      </c>
      <c r="AW22" s="34" t="n">
        <v>0.000791414204485686</v>
      </c>
      <c r="AX22" s="34" t="n">
        <v>0.00553691381552084</v>
      </c>
      <c r="AY22" s="34" t="n">
        <v>0.000876594470401701</v>
      </c>
      <c r="AZ22" s="34" t="n">
        <v>0.00725435136618069</v>
      </c>
      <c r="BA22" s="34" t="n">
        <v>0.00315512040731879</v>
      </c>
      <c r="BB22" s="34" t="n">
        <v>0.0113134733453598</v>
      </c>
      <c r="BC22" s="34" t="n">
        <v>0.0182300648215908</v>
      </c>
      <c r="BD22" s="34" t="n">
        <v>0.00256437159371224</v>
      </c>
      <c r="BE22" s="34" t="n">
        <v>0.010035592646124</v>
      </c>
      <c r="BF22" s="34" t="n">
        <v>0.0163539097668243</v>
      </c>
      <c r="BG22" s="34" t="n">
        <v>0.00455453559912676</v>
      </c>
      <c r="BH22" s="34" t="n">
        <v>0.00231414315932771</v>
      </c>
      <c r="BI22" s="34" t="n">
        <v>0.0104592092568264</v>
      </c>
      <c r="BJ22" s="34" t="n">
        <v>0.00191007822878537</v>
      </c>
      <c r="BK22" s="34" t="n">
        <v>0.00972624824409439</v>
      </c>
      <c r="BL22" s="34" t="n">
        <v>0.000383718757224184</v>
      </c>
      <c r="BM22" s="34" t="n">
        <v>0.0182900414140545</v>
      </c>
      <c r="BN22" s="34" t="n">
        <v>0.00634690974276356</v>
      </c>
      <c r="BO22" s="34" t="n">
        <v>0.00233448288634576</v>
      </c>
      <c r="BP22" s="34" t="n">
        <v>0.00942677930383018</v>
      </c>
      <c r="BQ22" s="34" t="n">
        <v>0.024487769625809</v>
      </c>
      <c r="BR22" s="34" t="n">
        <v>0.00154196027955947</v>
      </c>
      <c r="BS22" s="34" t="n">
        <v>0.011925413260912</v>
      </c>
      <c r="BT22" s="34" t="n">
        <v>0</v>
      </c>
    </row>
    <row r="23" customFormat="false" ht="11.25" hidden="false" customHeight="true" outlineLevel="0" collapsed="false">
      <c r="B23" s="19" t="s">
        <v>97</v>
      </c>
      <c r="C23" s="20" t="s">
        <v>98</v>
      </c>
      <c r="D23" s="19" t="n">
        <v>17</v>
      </c>
      <c r="E23" s="33" t="n">
        <v>0.0134771925241309</v>
      </c>
      <c r="F23" s="33" t="n">
        <v>0.00847374428730324</v>
      </c>
      <c r="G23" s="33" t="n">
        <v>0.000788675419279802</v>
      </c>
      <c r="H23" s="33" t="n">
        <v>0.00146349274783325</v>
      </c>
      <c r="I23" s="33" t="n">
        <v>0.00744255104330335</v>
      </c>
      <c r="J23" s="33" t="n">
        <v>0.0040715365097275</v>
      </c>
      <c r="K23" s="33" t="n">
        <v>0.00114117671872149</v>
      </c>
      <c r="L23" s="33" t="n">
        <v>0.0626359978539769</v>
      </c>
      <c r="M23" s="33" t="n">
        <v>0.00477439362213068</v>
      </c>
      <c r="N23" s="33" t="n">
        <v>0.0696561605848441</v>
      </c>
      <c r="O23" s="33" t="n">
        <v>0.0111503415850791</v>
      </c>
      <c r="P23" s="33" t="n">
        <v>0.0164566122302279</v>
      </c>
      <c r="Q23" s="33" t="n">
        <v>0.0186143710489035</v>
      </c>
      <c r="R23" s="33" t="n">
        <v>0.0170969161241307</v>
      </c>
      <c r="S23" s="33" t="n">
        <v>0.0163988161373024</v>
      </c>
      <c r="T23" s="33" t="n">
        <v>0.011091350981097</v>
      </c>
      <c r="U23" s="33" t="n">
        <v>1.21601016381387</v>
      </c>
      <c r="V23" s="33" t="n">
        <v>0.0259821039468534</v>
      </c>
      <c r="W23" s="33" t="n">
        <v>0.0146226537266043</v>
      </c>
      <c r="X23" s="33" t="n">
        <v>0.00369378899246608</v>
      </c>
      <c r="Y23" s="33" t="n">
        <v>0.0100477983999249</v>
      </c>
      <c r="Z23" s="33" t="n">
        <v>0.0106132270547378</v>
      </c>
      <c r="AA23" s="33" t="n">
        <v>0.0251371376154975</v>
      </c>
      <c r="AB23" s="33" t="n">
        <v>0.0184638408645613</v>
      </c>
      <c r="AC23" s="33" t="n">
        <v>0.0396312974364017</v>
      </c>
      <c r="AD23" s="33" t="n">
        <v>0.0350519959690087</v>
      </c>
      <c r="AE23" s="33" t="n">
        <v>0.0124304175338096</v>
      </c>
      <c r="AF23" s="33" t="n">
        <v>0.00429719404300238</v>
      </c>
      <c r="AG23" s="33" t="n">
        <v>0.0257717975168052</v>
      </c>
      <c r="AH23" s="33" t="n">
        <v>0.0310232574617791</v>
      </c>
      <c r="AI23" s="33" t="n">
        <v>0.0158293325279043</v>
      </c>
      <c r="AJ23" s="33" t="n">
        <v>0.0192917123189618</v>
      </c>
      <c r="AK23" s="33" t="n">
        <v>0.0291968313408534</v>
      </c>
      <c r="AL23" s="33" t="n">
        <v>0.0218946763162891</v>
      </c>
      <c r="AM23" s="33" t="n">
        <v>0.00444585586536068</v>
      </c>
      <c r="AN23" s="33" t="n">
        <v>0.019857791332068</v>
      </c>
      <c r="AO23" s="33" t="n">
        <v>0.00413337229195442</v>
      </c>
      <c r="AP23" s="33" t="n">
        <v>0.00846999749706715</v>
      </c>
      <c r="AQ23" s="33" t="n">
        <v>0.00404339320073976</v>
      </c>
      <c r="AR23" s="33" t="n">
        <v>0.059628070286527</v>
      </c>
      <c r="AS23" s="33" t="n">
        <v>0.017618537572154</v>
      </c>
      <c r="AT23" s="33" t="n">
        <v>0.109271994493314</v>
      </c>
      <c r="AU23" s="33" t="n">
        <v>0.0168984143928404</v>
      </c>
      <c r="AV23" s="33" t="n">
        <v>0.00174953333454775</v>
      </c>
      <c r="AW23" s="33" t="n">
        <v>0.00235162931710258</v>
      </c>
      <c r="AX23" s="33" t="n">
        <v>0.00775259425713451</v>
      </c>
      <c r="AY23" s="33" t="n">
        <v>0.0036766850081592</v>
      </c>
      <c r="AZ23" s="33" t="n">
        <v>0.0249158802874866</v>
      </c>
      <c r="BA23" s="33" t="n">
        <v>0.0348076226833102</v>
      </c>
      <c r="BB23" s="33" t="n">
        <v>0.00619976310019202</v>
      </c>
      <c r="BC23" s="33" t="n">
        <v>0.0241107128695687</v>
      </c>
      <c r="BD23" s="33" t="n">
        <v>0.00872816484577716</v>
      </c>
      <c r="BE23" s="33" t="n">
        <v>0.0503610020636096</v>
      </c>
      <c r="BF23" s="33" t="n">
        <v>0.0072455751952581</v>
      </c>
      <c r="BG23" s="33" t="n">
        <v>0.0270769799631027</v>
      </c>
      <c r="BH23" s="33" t="n">
        <v>0.00897501937305099</v>
      </c>
      <c r="BI23" s="33" t="n">
        <v>0.0207912926749448</v>
      </c>
      <c r="BJ23" s="33" t="n">
        <v>0.0069028419056596</v>
      </c>
      <c r="BK23" s="33" t="n">
        <v>0.0336347785678416</v>
      </c>
      <c r="BL23" s="33" t="n">
        <v>0.00127566934656624</v>
      </c>
      <c r="BM23" s="33" t="n">
        <v>0.0366660680523618</v>
      </c>
      <c r="BN23" s="33" t="n">
        <v>0.018410295915494</v>
      </c>
      <c r="BO23" s="33" t="n">
        <v>0.0105349556833283</v>
      </c>
      <c r="BP23" s="33" t="n">
        <v>0.00864956895711666</v>
      </c>
      <c r="BQ23" s="33" t="n">
        <v>0.0201407329451256</v>
      </c>
      <c r="BR23" s="33" t="n">
        <v>0.00274865837279471</v>
      </c>
      <c r="BS23" s="33" t="n">
        <v>0.0178634706210373</v>
      </c>
      <c r="BT23" s="33" t="n">
        <v>0</v>
      </c>
    </row>
    <row r="24" customFormat="false" ht="11.25" hidden="false" customHeight="true" outlineLevel="0" collapsed="false">
      <c r="B24" s="24" t="s">
        <v>99</v>
      </c>
      <c r="C24" s="25" t="s">
        <v>100</v>
      </c>
      <c r="D24" s="24" t="n">
        <v>18</v>
      </c>
      <c r="E24" s="34" t="n">
        <v>0.0112805939276607</v>
      </c>
      <c r="F24" s="34" t="n">
        <v>0.00722969381162421</v>
      </c>
      <c r="G24" s="34" t="n">
        <v>0.000897253700347663</v>
      </c>
      <c r="H24" s="34" t="n">
        <v>0.00210156574669372</v>
      </c>
      <c r="I24" s="34" t="n">
        <v>0.0111851372881447</v>
      </c>
      <c r="J24" s="34" t="n">
        <v>0.00494021287059479</v>
      </c>
      <c r="K24" s="34" t="n">
        <v>0.0015722606476216</v>
      </c>
      <c r="L24" s="34" t="n">
        <v>0.0578664618139325</v>
      </c>
      <c r="M24" s="34" t="n">
        <v>0.00811754788575987</v>
      </c>
      <c r="N24" s="34" t="n">
        <v>0.0555230794135779</v>
      </c>
      <c r="O24" s="34" t="n">
        <v>0.0281268859335055</v>
      </c>
      <c r="P24" s="34" t="n">
        <v>0.00454528528434632</v>
      </c>
      <c r="Q24" s="34" t="n">
        <v>0.0118388010360343</v>
      </c>
      <c r="R24" s="34" t="n">
        <v>0.012376725583199</v>
      </c>
      <c r="S24" s="34" t="n">
        <v>0.0128392552994252</v>
      </c>
      <c r="T24" s="34" t="n">
        <v>0.00417447335124933</v>
      </c>
      <c r="U24" s="34" t="n">
        <v>0.0312900340805964</v>
      </c>
      <c r="V24" s="34" t="n">
        <v>1.07083959258446</v>
      </c>
      <c r="W24" s="34" t="n">
        <v>0.0226640658665312</v>
      </c>
      <c r="X24" s="34" t="n">
        <v>0.00548617476139894</v>
      </c>
      <c r="Y24" s="34" t="n">
        <v>0.0165496191506362</v>
      </c>
      <c r="Z24" s="34" t="n">
        <v>0.0171810445924302</v>
      </c>
      <c r="AA24" s="34" t="n">
        <v>0.0072995957686508</v>
      </c>
      <c r="AB24" s="34" t="n">
        <v>0.017340621246099</v>
      </c>
      <c r="AC24" s="34" t="n">
        <v>0.0234799814171922</v>
      </c>
      <c r="AD24" s="34" t="n">
        <v>0.0169513239702444</v>
      </c>
      <c r="AE24" s="34" t="n">
        <v>0.0245200480144671</v>
      </c>
      <c r="AF24" s="34" t="n">
        <v>0.0080400074572526</v>
      </c>
      <c r="AG24" s="34" t="n">
        <v>0.0206706588296533</v>
      </c>
      <c r="AH24" s="34" t="n">
        <v>0.0236961615559991</v>
      </c>
      <c r="AI24" s="34" t="n">
        <v>0.0185408964411477</v>
      </c>
      <c r="AJ24" s="34" t="n">
        <v>0.0339850185834207</v>
      </c>
      <c r="AK24" s="34" t="n">
        <v>0.0333849189742516</v>
      </c>
      <c r="AL24" s="34" t="n">
        <v>0.0127175208406385</v>
      </c>
      <c r="AM24" s="34" t="n">
        <v>0.00569724108324138</v>
      </c>
      <c r="AN24" s="34" t="n">
        <v>0.0115925592206833</v>
      </c>
      <c r="AO24" s="34" t="n">
        <v>0.00510155227174006</v>
      </c>
      <c r="AP24" s="34" t="n">
        <v>0.0176057460090389</v>
      </c>
      <c r="AQ24" s="34" t="n">
        <v>0.00433295466475931</v>
      </c>
      <c r="AR24" s="34" t="n">
        <v>0.0516357620875865</v>
      </c>
      <c r="AS24" s="34" t="n">
        <v>0.0186893767657798</v>
      </c>
      <c r="AT24" s="34" t="n">
        <v>0.32953521566556</v>
      </c>
      <c r="AU24" s="34" t="n">
        <v>0.02245680561254</v>
      </c>
      <c r="AV24" s="34" t="n">
        <v>0.00129038237774758</v>
      </c>
      <c r="AW24" s="34" t="n">
        <v>0.00538711310171961</v>
      </c>
      <c r="AX24" s="34" t="n">
        <v>0.0108503416217536</v>
      </c>
      <c r="AY24" s="34" t="n">
        <v>0.00262776098517184</v>
      </c>
      <c r="AZ24" s="34" t="n">
        <v>0.0207622603433607</v>
      </c>
      <c r="BA24" s="34" t="n">
        <v>0.130340777819145</v>
      </c>
      <c r="BB24" s="34" t="n">
        <v>0.0337353015739259</v>
      </c>
      <c r="BC24" s="34" t="n">
        <v>0.105440327380323</v>
      </c>
      <c r="BD24" s="34" t="n">
        <v>0.0547019715056063</v>
      </c>
      <c r="BE24" s="34" t="n">
        <v>0.165813980134711</v>
      </c>
      <c r="BF24" s="34" t="n">
        <v>0.0192260306841247</v>
      </c>
      <c r="BG24" s="34" t="n">
        <v>0.0413794722703066</v>
      </c>
      <c r="BH24" s="34" t="n">
        <v>0.0169328688499811</v>
      </c>
      <c r="BI24" s="34" t="n">
        <v>0.178087035340391</v>
      </c>
      <c r="BJ24" s="34" t="n">
        <v>0.00612169420567941</v>
      </c>
      <c r="BK24" s="34" t="n">
        <v>0.0751584913778421</v>
      </c>
      <c r="BL24" s="34" t="n">
        <v>0.00175394185322968</v>
      </c>
      <c r="BM24" s="34" t="n">
        <v>0.103154904923429</v>
      </c>
      <c r="BN24" s="34" t="n">
        <v>0.0297873460115677</v>
      </c>
      <c r="BO24" s="34" t="n">
        <v>0.01798257051443</v>
      </c>
      <c r="BP24" s="34" t="n">
        <v>0.0158281125224138</v>
      </c>
      <c r="BQ24" s="34" t="n">
        <v>0.016225260076029</v>
      </c>
      <c r="BR24" s="34" t="n">
        <v>0.0198647412325931</v>
      </c>
      <c r="BS24" s="34" t="n">
        <v>0.0406274979339089</v>
      </c>
      <c r="BT24" s="34" t="n">
        <v>0</v>
      </c>
    </row>
    <row r="25" customFormat="false" ht="11.25" hidden="false" customHeight="true" outlineLevel="0" collapsed="false">
      <c r="B25" s="19" t="s">
        <v>101</v>
      </c>
      <c r="C25" s="20" t="s">
        <v>102</v>
      </c>
      <c r="D25" s="19" t="n">
        <v>19</v>
      </c>
      <c r="E25" s="33" t="n">
        <v>0.0597942107078251</v>
      </c>
      <c r="F25" s="33" t="n">
        <v>0.0244800763630836</v>
      </c>
      <c r="G25" s="33" t="n">
        <v>0.00382386961889762</v>
      </c>
      <c r="H25" s="33" t="n">
        <v>0.00658366143777448</v>
      </c>
      <c r="I25" s="33" t="n">
        <v>0.0191483512101842</v>
      </c>
      <c r="J25" s="33" t="n">
        <v>0.0146811210770512</v>
      </c>
      <c r="K25" s="33" t="n">
        <v>0.00628218346347331</v>
      </c>
      <c r="L25" s="33" t="n">
        <v>0.0541957365063281</v>
      </c>
      <c r="M25" s="33" t="n">
        <v>0.0189598866588727</v>
      </c>
      <c r="N25" s="33" t="n">
        <v>0.0617623962161458</v>
      </c>
      <c r="O25" s="33" t="n">
        <v>0.0125378668992495</v>
      </c>
      <c r="P25" s="33" t="n">
        <v>0.00286077106956307</v>
      </c>
      <c r="Q25" s="33" t="n">
        <v>0.0113280169428935</v>
      </c>
      <c r="R25" s="33" t="n">
        <v>0.00685920130471821</v>
      </c>
      <c r="S25" s="33" t="n">
        <v>0.00756963473973859</v>
      </c>
      <c r="T25" s="33" t="n">
        <v>0.0042394803826511</v>
      </c>
      <c r="U25" s="33" t="n">
        <v>0.0214240591718362</v>
      </c>
      <c r="V25" s="33" t="n">
        <v>0.00246195330037167</v>
      </c>
      <c r="W25" s="33" t="n">
        <v>1.37529749208864</v>
      </c>
      <c r="X25" s="33" t="n">
        <v>0.00945620678781437</v>
      </c>
      <c r="Y25" s="33" t="n">
        <v>0.0646188585372494</v>
      </c>
      <c r="Z25" s="33" t="n">
        <v>0.0196534623570793</v>
      </c>
      <c r="AA25" s="33" t="n">
        <v>0.00817700738698727</v>
      </c>
      <c r="AB25" s="33" t="n">
        <v>0.00937493055507321</v>
      </c>
      <c r="AC25" s="33" t="n">
        <v>0.0270210510530099</v>
      </c>
      <c r="AD25" s="33" t="n">
        <v>0.0285613442893464</v>
      </c>
      <c r="AE25" s="33" t="n">
        <v>0.0360696842014634</v>
      </c>
      <c r="AF25" s="33" t="n">
        <v>0.0174762092073652</v>
      </c>
      <c r="AG25" s="33" t="n">
        <v>0.0176043912952636</v>
      </c>
      <c r="AH25" s="33" t="n">
        <v>0.00839366877630827</v>
      </c>
      <c r="AI25" s="33" t="n">
        <v>0.0162755560510894</v>
      </c>
      <c r="AJ25" s="33" t="n">
        <v>0.021189856803979</v>
      </c>
      <c r="AK25" s="33" t="n">
        <v>0.0296636684960483</v>
      </c>
      <c r="AL25" s="33" t="n">
        <v>0.0156571302782428</v>
      </c>
      <c r="AM25" s="33" t="n">
        <v>0.00501296115795071</v>
      </c>
      <c r="AN25" s="33" t="n">
        <v>0.00894463714223929</v>
      </c>
      <c r="AO25" s="33" t="n">
        <v>0.00517118658413152</v>
      </c>
      <c r="AP25" s="33" t="n">
        <v>0.0323927485919946</v>
      </c>
      <c r="AQ25" s="33" t="n">
        <v>0.00724179164015587</v>
      </c>
      <c r="AR25" s="33" t="n">
        <v>0.0912922430144145</v>
      </c>
      <c r="AS25" s="33" t="n">
        <v>0.0105623335420871</v>
      </c>
      <c r="AT25" s="33" t="n">
        <v>0.109855282612537</v>
      </c>
      <c r="AU25" s="33" t="n">
        <v>0.284085123848813</v>
      </c>
      <c r="AV25" s="33" t="n">
        <v>0.00752442709014474</v>
      </c>
      <c r="AW25" s="33" t="n">
        <v>0.0199099109394577</v>
      </c>
      <c r="AX25" s="33" t="n">
        <v>0.0136383337939301</v>
      </c>
      <c r="AY25" s="33" t="n">
        <v>0.00130652188746901</v>
      </c>
      <c r="AZ25" s="33" t="n">
        <v>0.0169217994185803</v>
      </c>
      <c r="BA25" s="33" t="n">
        <v>0.00444705309777564</v>
      </c>
      <c r="BB25" s="33" t="n">
        <v>0.00356609373262768</v>
      </c>
      <c r="BC25" s="33" t="n">
        <v>0.0182561632949515</v>
      </c>
      <c r="BD25" s="33" t="n">
        <v>0.00339000323227766</v>
      </c>
      <c r="BE25" s="33" t="n">
        <v>0.0156361170313737</v>
      </c>
      <c r="BF25" s="33" t="n">
        <v>0.0027026856622899</v>
      </c>
      <c r="BG25" s="33" t="n">
        <v>0.00728017719830737</v>
      </c>
      <c r="BH25" s="33" t="n">
        <v>0.00448040069859024</v>
      </c>
      <c r="BI25" s="33" t="n">
        <v>0.00541956393241254</v>
      </c>
      <c r="BJ25" s="33" t="n">
        <v>0.0037617902233577</v>
      </c>
      <c r="BK25" s="33" t="n">
        <v>0.00810200801593375</v>
      </c>
      <c r="BL25" s="33" t="n">
        <v>0.00174282136498889</v>
      </c>
      <c r="BM25" s="33" t="n">
        <v>0.0261585311153821</v>
      </c>
      <c r="BN25" s="33" t="n">
        <v>0.00650652844416692</v>
      </c>
      <c r="BO25" s="33" t="n">
        <v>0.00406823159885897</v>
      </c>
      <c r="BP25" s="33" t="n">
        <v>0.00576906890299032</v>
      </c>
      <c r="BQ25" s="33" t="n">
        <v>0.00602207543180408</v>
      </c>
      <c r="BR25" s="33" t="n">
        <v>0.00154855700252193</v>
      </c>
      <c r="BS25" s="33" t="n">
        <v>0.014468233754591</v>
      </c>
      <c r="BT25" s="33" t="n">
        <v>0</v>
      </c>
    </row>
    <row r="26" customFormat="false" ht="11.25" hidden="false" customHeight="true" outlineLevel="0" collapsed="false">
      <c r="B26" s="24" t="s">
        <v>103</v>
      </c>
      <c r="C26" s="25" t="s">
        <v>104</v>
      </c>
      <c r="D26" s="24" t="n">
        <v>20</v>
      </c>
      <c r="E26" s="34" t="n">
        <v>0.0199423264912996</v>
      </c>
      <c r="F26" s="34" t="n">
        <v>0.0103102628810555</v>
      </c>
      <c r="G26" s="34" t="n">
        <v>0.00118124420195055</v>
      </c>
      <c r="H26" s="34" t="n">
        <v>0.0021560559916929</v>
      </c>
      <c r="I26" s="34" t="n">
        <v>0.0111233286341326</v>
      </c>
      <c r="J26" s="34" t="n">
        <v>0.0040207581856359</v>
      </c>
      <c r="K26" s="34" t="n">
        <v>0.00165490829993136</v>
      </c>
      <c r="L26" s="34" t="n">
        <v>0.023699080595226</v>
      </c>
      <c r="M26" s="34" t="n">
        <v>0.017238746781336</v>
      </c>
      <c r="N26" s="34" t="n">
        <v>0.0474133222416894</v>
      </c>
      <c r="O26" s="34" t="n">
        <v>0.0101442604366467</v>
      </c>
      <c r="P26" s="34" t="n">
        <v>0.000946426771318668</v>
      </c>
      <c r="Q26" s="34" t="n">
        <v>0.00380244930991105</v>
      </c>
      <c r="R26" s="34" t="n">
        <v>0.00226890026210178</v>
      </c>
      <c r="S26" s="34" t="n">
        <v>0.0025518311028596</v>
      </c>
      <c r="T26" s="34" t="n">
        <v>0.00139243734379256</v>
      </c>
      <c r="U26" s="34" t="n">
        <v>0.00684038441375424</v>
      </c>
      <c r="V26" s="34" t="n">
        <v>0.000958829648487622</v>
      </c>
      <c r="W26" s="34" t="n">
        <v>0.329380088028761</v>
      </c>
      <c r="X26" s="34" t="n">
        <v>1.01042157457281</v>
      </c>
      <c r="Y26" s="34" t="n">
        <v>0.0216833051203217</v>
      </c>
      <c r="Z26" s="34" t="n">
        <v>0.0142716007329253</v>
      </c>
      <c r="AA26" s="34" t="n">
        <v>0.0175591889104266</v>
      </c>
      <c r="AB26" s="34" t="n">
        <v>0.0120258359447416</v>
      </c>
      <c r="AC26" s="34" t="n">
        <v>0.0088109868560633</v>
      </c>
      <c r="AD26" s="34" t="n">
        <v>0.0082466291538845</v>
      </c>
      <c r="AE26" s="34" t="n">
        <v>0.0103977406940063</v>
      </c>
      <c r="AF26" s="34" t="n">
        <v>0.00490300676386334</v>
      </c>
      <c r="AG26" s="34" t="n">
        <v>0.00598879929716047</v>
      </c>
      <c r="AH26" s="34" t="n">
        <v>0.00272418081415393</v>
      </c>
      <c r="AI26" s="34" t="n">
        <v>0.00502855149032174</v>
      </c>
      <c r="AJ26" s="34" t="n">
        <v>0.00720604730971789</v>
      </c>
      <c r="AK26" s="34" t="n">
        <v>0.00911122404674657</v>
      </c>
      <c r="AL26" s="34" t="n">
        <v>0.00479454916679962</v>
      </c>
      <c r="AM26" s="34" t="n">
        <v>0.00157886777118307</v>
      </c>
      <c r="AN26" s="34" t="n">
        <v>0.00290730652278043</v>
      </c>
      <c r="AO26" s="34" t="n">
        <v>0.00185184903331052</v>
      </c>
      <c r="AP26" s="34" t="n">
        <v>0.0117300013260361</v>
      </c>
      <c r="AQ26" s="34" t="n">
        <v>0.00234532748419121</v>
      </c>
      <c r="AR26" s="34" t="n">
        <v>0.0316320055441725</v>
      </c>
      <c r="AS26" s="34" t="n">
        <v>0.00477456915877281</v>
      </c>
      <c r="AT26" s="34" t="n">
        <v>0.0343153933377871</v>
      </c>
      <c r="AU26" s="34" t="n">
        <v>0.0771845394775063</v>
      </c>
      <c r="AV26" s="34" t="n">
        <v>0.0018843591334762</v>
      </c>
      <c r="AW26" s="34" t="n">
        <v>0.00493441527752378</v>
      </c>
      <c r="AX26" s="34" t="n">
        <v>0.00443864685200875</v>
      </c>
      <c r="AY26" s="34" t="n">
        <v>0.000575425646981795</v>
      </c>
      <c r="AZ26" s="34" t="n">
        <v>0.0125309644904038</v>
      </c>
      <c r="BA26" s="34" t="n">
        <v>0.00149977155360062</v>
      </c>
      <c r="BB26" s="34" t="n">
        <v>0.00125365304356887</v>
      </c>
      <c r="BC26" s="34" t="n">
        <v>0.00643140081571467</v>
      </c>
      <c r="BD26" s="34" t="n">
        <v>0.00112537027392322</v>
      </c>
      <c r="BE26" s="34" t="n">
        <v>0.00533538108876922</v>
      </c>
      <c r="BF26" s="34" t="n">
        <v>0.000984063461544121</v>
      </c>
      <c r="BG26" s="34" t="n">
        <v>0.00239464381385606</v>
      </c>
      <c r="BH26" s="34" t="n">
        <v>0.00214196254788405</v>
      </c>
      <c r="BI26" s="34" t="n">
        <v>0.00208851948890961</v>
      </c>
      <c r="BJ26" s="34" t="n">
        <v>0.00106433379052913</v>
      </c>
      <c r="BK26" s="34" t="n">
        <v>0.00327528742378611</v>
      </c>
      <c r="BL26" s="34" t="n">
        <v>0.00119052383453688</v>
      </c>
      <c r="BM26" s="34" t="n">
        <v>0.0232418584427022</v>
      </c>
      <c r="BN26" s="34" t="n">
        <v>0.00470278996117948</v>
      </c>
      <c r="BO26" s="34" t="n">
        <v>0.00148328497841785</v>
      </c>
      <c r="BP26" s="34" t="n">
        <v>0.00376871315664242</v>
      </c>
      <c r="BQ26" s="34" t="n">
        <v>0.00393017875220792</v>
      </c>
      <c r="BR26" s="34" t="n">
        <v>0.000593661432342924</v>
      </c>
      <c r="BS26" s="34" t="n">
        <v>0.00611542479658492</v>
      </c>
      <c r="BT26" s="34" t="n">
        <v>0</v>
      </c>
    </row>
    <row r="27" customFormat="false" ht="11.25" hidden="false" customHeight="true" outlineLevel="0" collapsed="false">
      <c r="B27" s="19" t="s">
        <v>105</v>
      </c>
      <c r="C27" s="20" t="s">
        <v>106</v>
      </c>
      <c r="D27" s="19" t="n">
        <v>21</v>
      </c>
      <c r="E27" s="33" t="n">
        <v>0.25841911892685</v>
      </c>
      <c r="F27" s="33" t="n">
        <v>0.0401113155100362</v>
      </c>
      <c r="G27" s="33" t="n">
        <v>0.0042870560458553</v>
      </c>
      <c r="H27" s="33" t="n">
        <v>0.00683077136769432</v>
      </c>
      <c r="I27" s="33" t="n">
        <v>0.0281312276021547</v>
      </c>
      <c r="J27" s="33" t="n">
        <v>0.0054305932873993</v>
      </c>
      <c r="K27" s="33" t="n">
        <v>0.00222913578398207</v>
      </c>
      <c r="L27" s="33" t="n">
        <v>0.0560033689483477</v>
      </c>
      <c r="M27" s="33" t="n">
        <v>0.0372713301302583</v>
      </c>
      <c r="N27" s="33" t="n">
        <v>0.102039318107273</v>
      </c>
      <c r="O27" s="33" t="n">
        <v>0.0136688720009302</v>
      </c>
      <c r="P27" s="33" t="n">
        <v>0.00694312469043477</v>
      </c>
      <c r="Q27" s="33" t="n">
        <v>0.0647044896848548</v>
      </c>
      <c r="R27" s="33" t="n">
        <v>0.0211041040016212</v>
      </c>
      <c r="S27" s="33" t="n">
        <v>0.0231385807973106</v>
      </c>
      <c r="T27" s="33" t="n">
        <v>0.00795130957639323</v>
      </c>
      <c r="U27" s="33" t="n">
        <v>0.0491314065592499</v>
      </c>
      <c r="V27" s="33" t="n">
        <v>0.00670441200427224</v>
      </c>
      <c r="W27" s="33" t="n">
        <v>0.0503601234315838</v>
      </c>
      <c r="X27" s="33" t="n">
        <v>0.0213886332400625</v>
      </c>
      <c r="Y27" s="33" t="n">
        <v>1.2579328602894</v>
      </c>
      <c r="Z27" s="33" t="n">
        <v>0.123199334546871</v>
      </c>
      <c r="AA27" s="33" t="n">
        <v>0.0419003831251401</v>
      </c>
      <c r="AB27" s="33" t="n">
        <v>0.018641444684869</v>
      </c>
      <c r="AC27" s="33" t="n">
        <v>0.163634000243318</v>
      </c>
      <c r="AD27" s="33" t="n">
        <v>0.0364263903297181</v>
      </c>
      <c r="AE27" s="33" t="n">
        <v>0.0236486284126305</v>
      </c>
      <c r="AF27" s="33" t="n">
        <v>0.0141533124054586</v>
      </c>
      <c r="AG27" s="33" t="n">
        <v>0.0239810607807528</v>
      </c>
      <c r="AH27" s="33" t="n">
        <v>0.0107456568148144</v>
      </c>
      <c r="AI27" s="33" t="n">
        <v>0.0406812999954118</v>
      </c>
      <c r="AJ27" s="33" t="n">
        <v>0.0205839733126072</v>
      </c>
      <c r="AK27" s="33" t="n">
        <v>0.0410841775920192</v>
      </c>
      <c r="AL27" s="33" t="n">
        <v>0.0331205553046733</v>
      </c>
      <c r="AM27" s="33" t="n">
        <v>0.009265872665123</v>
      </c>
      <c r="AN27" s="33" t="n">
        <v>0.0254825606095004</v>
      </c>
      <c r="AO27" s="33" t="n">
        <v>0.00873784632075134</v>
      </c>
      <c r="AP27" s="33" t="n">
        <v>0.0106096427667847</v>
      </c>
      <c r="AQ27" s="33" t="n">
        <v>0.0106817724943599</v>
      </c>
      <c r="AR27" s="33" t="n">
        <v>0.0879219269609296</v>
      </c>
      <c r="AS27" s="33" t="n">
        <v>0.0121113600253711</v>
      </c>
      <c r="AT27" s="33" t="n">
        <v>0.0512261487109413</v>
      </c>
      <c r="AU27" s="33" t="n">
        <v>0.0276105485627092</v>
      </c>
      <c r="AV27" s="33" t="n">
        <v>0.000741671196879701</v>
      </c>
      <c r="AW27" s="33" t="n">
        <v>0.00265693330847985</v>
      </c>
      <c r="AX27" s="33" t="n">
        <v>0.00331526895220258</v>
      </c>
      <c r="AY27" s="33" t="n">
        <v>0.00161994129858997</v>
      </c>
      <c r="AZ27" s="33" t="n">
        <v>0.0177698495266412</v>
      </c>
      <c r="BA27" s="33" t="n">
        <v>0.00435424410097849</v>
      </c>
      <c r="BB27" s="33" t="n">
        <v>0.00247092202721798</v>
      </c>
      <c r="BC27" s="33" t="n">
        <v>0.0124264034573805</v>
      </c>
      <c r="BD27" s="33" t="n">
        <v>0.00233965870749521</v>
      </c>
      <c r="BE27" s="33" t="n">
        <v>0.0096379345736499</v>
      </c>
      <c r="BF27" s="33" t="n">
        <v>0.00404150143319846</v>
      </c>
      <c r="BG27" s="33" t="n">
        <v>0.00520787382505911</v>
      </c>
      <c r="BH27" s="33" t="n">
        <v>0.00257284501566557</v>
      </c>
      <c r="BI27" s="33" t="n">
        <v>0.00461286225157916</v>
      </c>
      <c r="BJ27" s="33" t="n">
        <v>0.00175879098562949</v>
      </c>
      <c r="BK27" s="33" t="n">
        <v>0.00916543815887902</v>
      </c>
      <c r="BL27" s="33" t="n">
        <v>0.000474599140484893</v>
      </c>
      <c r="BM27" s="33" t="n">
        <v>0.0165818985267941</v>
      </c>
      <c r="BN27" s="33" t="n">
        <v>0.00658816552807809</v>
      </c>
      <c r="BO27" s="33" t="n">
        <v>0.00250182631125542</v>
      </c>
      <c r="BP27" s="33" t="n">
        <v>0.00988186908028908</v>
      </c>
      <c r="BQ27" s="33" t="n">
        <v>0.0149884626067295</v>
      </c>
      <c r="BR27" s="33" t="n">
        <v>0.00143447772682792</v>
      </c>
      <c r="BS27" s="33" t="n">
        <v>0.00972534021352527</v>
      </c>
      <c r="BT27" s="33" t="n">
        <v>0</v>
      </c>
    </row>
    <row r="28" customFormat="false" ht="11.25" hidden="false" customHeight="true" outlineLevel="0" collapsed="false">
      <c r="B28" s="24" t="s">
        <v>107</v>
      </c>
      <c r="C28" s="25" t="s">
        <v>108</v>
      </c>
      <c r="D28" s="24" t="n">
        <v>22</v>
      </c>
      <c r="E28" s="34" t="n">
        <v>0.190419971973506</v>
      </c>
      <c r="F28" s="34" t="n">
        <v>0.0291245700816924</v>
      </c>
      <c r="G28" s="34" t="n">
        <v>0.00164935672127846</v>
      </c>
      <c r="H28" s="34" t="n">
        <v>0.0339457206566057</v>
      </c>
      <c r="I28" s="34" t="n">
        <v>0.0136338370779505</v>
      </c>
      <c r="J28" s="34" t="n">
        <v>0.00718393351035578</v>
      </c>
      <c r="K28" s="34" t="n">
        <v>0.00306299545428735</v>
      </c>
      <c r="L28" s="34" t="n">
        <v>0.0566761941070576</v>
      </c>
      <c r="M28" s="34" t="n">
        <v>0.0270997905047727</v>
      </c>
      <c r="N28" s="34" t="n">
        <v>0.110903542350675</v>
      </c>
      <c r="O28" s="34" t="n">
        <v>0.0124913292099785</v>
      </c>
      <c r="P28" s="34" t="n">
        <v>0.00559356739875697</v>
      </c>
      <c r="Q28" s="34" t="n">
        <v>0.0234919734026766</v>
      </c>
      <c r="R28" s="34" t="n">
        <v>0.0103251315104376</v>
      </c>
      <c r="S28" s="34" t="n">
        <v>0.0119714520433624</v>
      </c>
      <c r="T28" s="34" t="n">
        <v>0.0128034175085778</v>
      </c>
      <c r="U28" s="34" t="n">
        <v>0.0464126358093464</v>
      </c>
      <c r="V28" s="34" t="n">
        <v>0.0255357128715984</v>
      </c>
      <c r="W28" s="34" t="n">
        <v>0.030488571505615</v>
      </c>
      <c r="X28" s="34" t="n">
        <v>0.0163918786946148</v>
      </c>
      <c r="Y28" s="34" t="n">
        <v>0.0510161644482585</v>
      </c>
      <c r="Z28" s="34" t="n">
        <v>1.10731187331992</v>
      </c>
      <c r="AA28" s="34" t="n">
        <v>0.0287513595076152</v>
      </c>
      <c r="AB28" s="34" t="n">
        <v>0.0195782909142412</v>
      </c>
      <c r="AC28" s="34" t="n">
        <v>0.0830240961186115</v>
      </c>
      <c r="AD28" s="34" t="n">
        <v>0.0409823958007192</v>
      </c>
      <c r="AE28" s="34" t="n">
        <v>0.0260167501731387</v>
      </c>
      <c r="AF28" s="34" t="n">
        <v>0.00860585007439833</v>
      </c>
      <c r="AG28" s="34" t="n">
        <v>0.025461100436367</v>
      </c>
      <c r="AH28" s="34" t="n">
        <v>0.0169872881662608</v>
      </c>
      <c r="AI28" s="34" t="n">
        <v>0.0173851174977099</v>
      </c>
      <c r="AJ28" s="34" t="n">
        <v>0.0223588453107051</v>
      </c>
      <c r="AK28" s="34" t="n">
        <v>0.0406761522213715</v>
      </c>
      <c r="AL28" s="34" t="n">
        <v>0.0209089254400964</v>
      </c>
      <c r="AM28" s="34" t="n">
        <v>0.0079828250186122</v>
      </c>
      <c r="AN28" s="34" t="n">
        <v>0.0202140146493855</v>
      </c>
      <c r="AO28" s="34" t="n">
        <v>0.0166076585794164</v>
      </c>
      <c r="AP28" s="34" t="n">
        <v>0.00948367354313645</v>
      </c>
      <c r="AQ28" s="34" t="n">
        <v>0.00975478530250513</v>
      </c>
      <c r="AR28" s="34" t="n">
        <v>0.204059074653781</v>
      </c>
      <c r="AS28" s="34" t="n">
        <v>0.0276271069953741</v>
      </c>
      <c r="AT28" s="34" t="n">
        <v>0.0713712957376201</v>
      </c>
      <c r="AU28" s="34" t="n">
        <v>0.0247905752674754</v>
      </c>
      <c r="AV28" s="34" t="n">
        <v>0.000811155174504225</v>
      </c>
      <c r="AW28" s="34" t="n">
        <v>0.00212926453397908</v>
      </c>
      <c r="AX28" s="34" t="n">
        <v>0.00446231811391825</v>
      </c>
      <c r="AY28" s="34" t="n">
        <v>0.00159757596190024</v>
      </c>
      <c r="AZ28" s="34" t="n">
        <v>0.0164078862305031</v>
      </c>
      <c r="BA28" s="34" t="n">
        <v>0.0116712264216894</v>
      </c>
      <c r="BB28" s="34" t="n">
        <v>0.00523482035201861</v>
      </c>
      <c r="BC28" s="34" t="n">
        <v>0.0187250479177571</v>
      </c>
      <c r="BD28" s="34" t="n">
        <v>0.00412227467344204</v>
      </c>
      <c r="BE28" s="34" t="n">
        <v>0.0155382580974463</v>
      </c>
      <c r="BF28" s="34" t="n">
        <v>0.0157007567416704</v>
      </c>
      <c r="BG28" s="34" t="n">
        <v>0.00593936466630019</v>
      </c>
      <c r="BH28" s="34" t="n">
        <v>0.0034098049583311</v>
      </c>
      <c r="BI28" s="34" t="n">
        <v>0.0101627916629663</v>
      </c>
      <c r="BJ28" s="34" t="n">
        <v>0.00217035928057434</v>
      </c>
      <c r="BK28" s="34" t="n">
        <v>0.0224929903356582</v>
      </c>
      <c r="BL28" s="34" t="n">
        <v>0.000561946349843136</v>
      </c>
      <c r="BM28" s="34" t="n">
        <v>0.0252371730722721</v>
      </c>
      <c r="BN28" s="34" t="n">
        <v>0.0119360070382815</v>
      </c>
      <c r="BO28" s="34" t="n">
        <v>0.00335307370768431</v>
      </c>
      <c r="BP28" s="34" t="n">
        <v>0.0189242485012938</v>
      </c>
      <c r="BQ28" s="34" t="n">
        <v>0.0089840161794563</v>
      </c>
      <c r="BR28" s="34" t="n">
        <v>0.00214235278169079</v>
      </c>
      <c r="BS28" s="34" t="n">
        <v>0.00984013651972075</v>
      </c>
      <c r="BT28" s="34" t="n">
        <v>0</v>
      </c>
    </row>
    <row r="29" customFormat="false" ht="11.25" hidden="false" customHeight="true" outlineLevel="0" collapsed="false">
      <c r="B29" s="19" t="s">
        <v>109</v>
      </c>
      <c r="C29" s="20" t="s">
        <v>110</v>
      </c>
      <c r="D29" s="19" t="n">
        <v>23</v>
      </c>
      <c r="E29" s="33" t="n">
        <v>0.0140054842044826</v>
      </c>
      <c r="F29" s="33" t="n">
        <v>0.0043235009796733</v>
      </c>
      <c r="G29" s="33" t="n">
        <v>0.000263367018668885</v>
      </c>
      <c r="H29" s="33" t="n">
        <v>0.00167376163239302</v>
      </c>
      <c r="I29" s="33" t="n">
        <v>0.0043240544350792</v>
      </c>
      <c r="J29" s="33" t="n">
        <v>0.00240578148922295</v>
      </c>
      <c r="K29" s="33" t="n">
        <v>0.00070970053559026</v>
      </c>
      <c r="L29" s="33" t="n">
        <v>0.0189346063768764</v>
      </c>
      <c r="M29" s="33" t="n">
        <v>0.00370726570853756</v>
      </c>
      <c r="N29" s="33" t="n">
        <v>0.0209456197137118</v>
      </c>
      <c r="O29" s="33" t="n">
        <v>0.00351096639394036</v>
      </c>
      <c r="P29" s="33" t="n">
        <v>0.00122728479714608</v>
      </c>
      <c r="Q29" s="33" t="n">
        <v>0.00491355129399386</v>
      </c>
      <c r="R29" s="33" t="n">
        <v>0.00420086425655838</v>
      </c>
      <c r="S29" s="33" t="n">
        <v>0.00359859216531983</v>
      </c>
      <c r="T29" s="33" t="n">
        <v>0.00156591672446261</v>
      </c>
      <c r="U29" s="33" t="n">
        <v>0.00814212156753822</v>
      </c>
      <c r="V29" s="33" t="n">
        <v>0.00123272440862533</v>
      </c>
      <c r="W29" s="33" t="n">
        <v>0.0100256843912936</v>
      </c>
      <c r="X29" s="33" t="n">
        <v>0.00238324032631619</v>
      </c>
      <c r="Y29" s="33" t="n">
        <v>0.0095728697812322</v>
      </c>
      <c r="Z29" s="33" t="n">
        <v>0.0119916278042549</v>
      </c>
      <c r="AA29" s="33" t="n">
        <v>1.02356659991345</v>
      </c>
      <c r="AB29" s="33" t="n">
        <v>0.00568516192955606</v>
      </c>
      <c r="AC29" s="33" t="n">
        <v>0.00851902980447181</v>
      </c>
      <c r="AD29" s="33" t="n">
        <v>0.00637939706660027</v>
      </c>
      <c r="AE29" s="33" t="n">
        <v>0.00819442608094763</v>
      </c>
      <c r="AF29" s="33" t="n">
        <v>0.00351385279413917</v>
      </c>
      <c r="AG29" s="33" t="n">
        <v>0.0133914918038006</v>
      </c>
      <c r="AH29" s="33" t="n">
        <v>0.0054033570397184</v>
      </c>
      <c r="AI29" s="33" t="n">
        <v>0.00559348611654894</v>
      </c>
      <c r="AJ29" s="33" t="n">
        <v>0.0114196506132654</v>
      </c>
      <c r="AK29" s="33" t="n">
        <v>0.0080071404122123</v>
      </c>
      <c r="AL29" s="33" t="n">
        <v>0.00444109072438434</v>
      </c>
      <c r="AM29" s="33" t="n">
        <v>0.00175613633656126</v>
      </c>
      <c r="AN29" s="33" t="n">
        <v>0.00346110382334088</v>
      </c>
      <c r="AO29" s="33" t="n">
        <v>0.00212755465789869</v>
      </c>
      <c r="AP29" s="33" t="n">
        <v>0.00331627479815634</v>
      </c>
      <c r="AQ29" s="33" t="n">
        <v>0.00201951728206721</v>
      </c>
      <c r="AR29" s="33" t="n">
        <v>0.0198839285910137</v>
      </c>
      <c r="AS29" s="33" t="n">
        <v>0.00587458040140473</v>
      </c>
      <c r="AT29" s="33" t="n">
        <v>0.0504293594527112</v>
      </c>
      <c r="AU29" s="33" t="n">
        <v>0.0109556437950112</v>
      </c>
      <c r="AV29" s="33" t="n">
        <v>0.000492328210311605</v>
      </c>
      <c r="AW29" s="33" t="n">
        <v>0.000765126924672994</v>
      </c>
      <c r="AX29" s="33" t="n">
        <v>0.00322128392929011</v>
      </c>
      <c r="AY29" s="33" t="n">
        <v>0.00161348590987713</v>
      </c>
      <c r="AZ29" s="33" t="n">
        <v>0.00525078414510182</v>
      </c>
      <c r="BA29" s="33" t="n">
        <v>0.0028719393760274</v>
      </c>
      <c r="BB29" s="33" t="n">
        <v>0.00326109411445615</v>
      </c>
      <c r="BC29" s="33" t="n">
        <v>0.018336002913642</v>
      </c>
      <c r="BD29" s="33" t="n">
        <v>0.00233966231552886</v>
      </c>
      <c r="BE29" s="33" t="n">
        <v>0.00924147218657742</v>
      </c>
      <c r="BF29" s="33" t="n">
        <v>0.00118699727167241</v>
      </c>
      <c r="BG29" s="33" t="n">
        <v>0.00709631205268118</v>
      </c>
      <c r="BH29" s="33" t="n">
        <v>0.00335909171329434</v>
      </c>
      <c r="BI29" s="33" t="n">
        <v>0.00731226623996737</v>
      </c>
      <c r="BJ29" s="33" t="n">
        <v>0.00216485308641541</v>
      </c>
      <c r="BK29" s="33" t="n">
        <v>0.0274627361697399</v>
      </c>
      <c r="BL29" s="33" t="n">
        <v>0.000344575166994109</v>
      </c>
      <c r="BM29" s="33" t="n">
        <v>0.0118514127004329</v>
      </c>
      <c r="BN29" s="33" t="n">
        <v>0.00599290344504553</v>
      </c>
      <c r="BO29" s="33" t="n">
        <v>0.00360062665068193</v>
      </c>
      <c r="BP29" s="33" t="n">
        <v>0.00530893509727114</v>
      </c>
      <c r="BQ29" s="33" t="n">
        <v>0.0148526314675557</v>
      </c>
      <c r="BR29" s="33" t="n">
        <v>0.00330384183224632</v>
      </c>
      <c r="BS29" s="33" t="n">
        <v>0.0194669842704362</v>
      </c>
      <c r="BT29" s="33" t="n">
        <v>0</v>
      </c>
    </row>
    <row r="30" customFormat="false" ht="11.25" hidden="false" customHeight="true" outlineLevel="0" collapsed="false">
      <c r="B30" s="24" t="s">
        <v>111</v>
      </c>
      <c r="C30" s="25" t="s">
        <v>112</v>
      </c>
      <c r="D30" s="24" t="n">
        <v>24</v>
      </c>
      <c r="E30" s="34" t="n">
        <v>0.010314709657127</v>
      </c>
      <c r="F30" s="34" t="n">
        <v>0.0414074551408603</v>
      </c>
      <c r="G30" s="34" t="n">
        <v>0.000415373677856495</v>
      </c>
      <c r="H30" s="34" t="n">
        <v>0.000367695411314822</v>
      </c>
      <c r="I30" s="34" t="n">
        <v>0.0038148062727857</v>
      </c>
      <c r="J30" s="34" t="n">
        <v>0.000405993806492101</v>
      </c>
      <c r="K30" s="34" t="n">
        <v>0.000130289293754392</v>
      </c>
      <c r="L30" s="34" t="n">
        <v>0.0289652764435893</v>
      </c>
      <c r="M30" s="34" t="n">
        <v>0.00171011479162714</v>
      </c>
      <c r="N30" s="34" t="n">
        <v>0.00936886023906992</v>
      </c>
      <c r="O30" s="34" t="n">
        <v>0.00104603241891721</v>
      </c>
      <c r="P30" s="34" t="n">
        <v>0.000487645238751301</v>
      </c>
      <c r="Q30" s="34" t="n">
        <v>0.00215007944846478</v>
      </c>
      <c r="R30" s="34" t="n">
        <v>0.00200358822165289</v>
      </c>
      <c r="S30" s="34" t="n">
        <v>0.00150121239546237</v>
      </c>
      <c r="T30" s="34" t="n">
        <v>0.000468451953774915</v>
      </c>
      <c r="U30" s="34" t="n">
        <v>0.00207471450563333</v>
      </c>
      <c r="V30" s="34" t="n">
        <v>0.000357950074722475</v>
      </c>
      <c r="W30" s="34" t="n">
        <v>0.00401431317556526</v>
      </c>
      <c r="X30" s="34" t="n">
        <v>0.00107360948821965</v>
      </c>
      <c r="Y30" s="34" t="n">
        <v>0.00355527582397953</v>
      </c>
      <c r="Z30" s="34" t="n">
        <v>0.00624643156419038</v>
      </c>
      <c r="AA30" s="34" t="n">
        <v>0.00127454479691894</v>
      </c>
      <c r="AB30" s="34" t="n">
        <v>1.05028459246907</v>
      </c>
      <c r="AC30" s="34" t="n">
        <v>0.00456843592431015</v>
      </c>
      <c r="AD30" s="34" t="n">
        <v>0.00190222996898049</v>
      </c>
      <c r="AE30" s="34" t="n">
        <v>0.00173708051828734</v>
      </c>
      <c r="AF30" s="34" t="n">
        <v>0.000654412263566681</v>
      </c>
      <c r="AG30" s="34" t="n">
        <v>0.00151803917698158</v>
      </c>
      <c r="AH30" s="34" t="n">
        <v>0.000974048028874208</v>
      </c>
      <c r="AI30" s="34" t="n">
        <v>0.00169099492402227</v>
      </c>
      <c r="AJ30" s="34" t="n">
        <v>0.00270445122375929</v>
      </c>
      <c r="AK30" s="34" t="n">
        <v>0.00248564286096701</v>
      </c>
      <c r="AL30" s="34" t="n">
        <v>0.00141344653424729</v>
      </c>
      <c r="AM30" s="34" t="n">
        <v>0.000460409601704617</v>
      </c>
      <c r="AN30" s="34" t="n">
        <v>0.00120772353373324</v>
      </c>
      <c r="AO30" s="34" t="n">
        <v>0.000674392190924317</v>
      </c>
      <c r="AP30" s="34" t="n">
        <v>0.000885958084027593</v>
      </c>
      <c r="AQ30" s="34" t="n">
        <v>0.000350008900734683</v>
      </c>
      <c r="AR30" s="34" t="n">
        <v>0.0078460487742444</v>
      </c>
      <c r="AS30" s="34" t="n">
        <v>0.000788394863728076</v>
      </c>
      <c r="AT30" s="34" t="n">
        <v>0.00835659322265074</v>
      </c>
      <c r="AU30" s="34" t="n">
        <v>0.00171153576202306</v>
      </c>
      <c r="AV30" s="34" t="n">
        <v>8.22352582517971E-005</v>
      </c>
      <c r="AW30" s="34" t="n">
        <v>0.000178766483114638</v>
      </c>
      <c r="AX30" s="34" t="n">
        <v>0.000435511291172185</v>
      </c>
      <c r="AY30" s="34" t="n">
        <v>0.00026596781156248</v>
      </c>
      <c r="AZ30" s="34" t="n">
        <v>0.002908470794502</v>
      </c>
      <c r="BA30" s="34" t="n">
        <v>0.000547341296077273</v>
      </c>
      <c r="BB30" s="34" t="n">
        <v>0.000470112783123437</v>
      </c>
      <c r="BC30" s="34" t="n">
        <v>0.00300635774372439</v>
      </c>
      <c r="BD30" s="34" t="n">
        <v>0.000422410049993256</v>
      </c>
      <c r="BE30" s="34" t="n">
        <v>0.00146655546719609</v>
      </c>
      <c r="BF30" s="34" t="n">
        <v>0.000401174637949609</v>
      </c>
      <c r="BG30" s="34" t="n">
        <v>0.000757925757327008</v>
      </c>
      <c r="BH30" s="34" t="n">
        <v>0.000860243517884497</v>
      </c>
      <c r="BI30" s="34" t="n">
        <v>0.0009286382084285</v>
      </c>
      <c r="BJ30" s="34" t="n">
        <v>0.000203307342033505</v>
      </c>
      <c r="BK30" s="34" t="n">
        <v>0.00110639218253548</v>
      </c>
      <c r="BL30" s="34" t="n">
        <v>6.69573627725983E-005</v>
      </c>
      <c r="BM30" s="34" t="n">
        <v>0.0065481458378398</v>
      </c>
      <c r="BN30" s="34" t="n">
        <v>0.00592468181336745</v>
      </c>
      <c r="BO30" s="34" t="n">
        <v>0.00220731048780442</v>
      </c>
      <c r="BP30" s="34" t="n">
        <v>0.0450277327673101</v>
      </c>
      <c r="BQ30" s="34" t="n">
        <v>0.0989497272684954</v>
      </c>
      <c r="BR30" s="34" t="n">
        <v>0.000289231165770436</v>
      </c>
      <c r="BS30" s="34" t="n">
        <v>0.00779302240103447</v>
      </c>
      <c r="BT30" s="34" t="n">
        <v>0</v>
      </c>
    </row>
    <row r="31" customFormat="false" ht="11.25" hidden="false" customHeight="true" outlineLevel="0" collapsed="false">
      <c r="B31" s="19" t="s">
        <v>113</v>
      </c>
      <c r="C31" s="20" t="s">
        <v>114</v>
      </c>
      <c r="D31" s="19" t="n">
        <v>25</v>
      </c>
      <c r="E31" s="33" t="n">
        <v>0.0164856124404833</v>
      </c>
      <c r="F31" s="33" t="n">
        <v>0.00847125382611213</v>
      </c>
      <c r="G31" s="33" t="n">
        <v>0.00106758059048358</v>
      </c>
      <c r="H31" s="33" t="n">
        <v>0.00346117779187187</v>
      </c>
      <c r="I31" s="33" t="n">
        <v>0.00958570097499539</v>
      </c>
      <c r="J31" s="33" t="n">
        <v>0.00879433650622861</v>
      </c>
      <c r="K31" s="33" t="n">
        <v>0.00183804014895657</v>
      </c>
      <c r="L31" s="33" t="n">
        <v>0.0461623454580913</v>
      </c>
      <c r="M31" s="33" t="n">
        <v>0.00671471106762034</v>
      </c>
      <c r="N31" s="33" t="n">
        <v>0.0833712565057554</v>
      </c>
      <c r="O31" s="33" t="n">
        <v>0.0363338726478541</v>
      </c>
      <c r="P31" s="33" t="n">
        <v>0.00144598196170825</v>
      </c>
      <c r="Q31" s="33" t="n">
        <v>0.00895909074455495</v>
      </c>
      <c r="R31" s="33" t="n">
        <v>0.00792187645223725</v>
      </c>
      <c r="S31" s="33" t="n">
        <v>0.0134862273724167</v>
      </c>
      <c r="T31" s="33" t="n">
        <v>0.00385840058353557</v>
      </c>
      <c r="U31" s="33" t="n">
        <v>0.0176082830441395</v>
      </c>
      <c r="V31" s="33" t="n">
        <v>0.0134187735003846</v>
      </c>
      <c r="W31" s="33" t="n">
        <v>0.0145860931666398</v>
      </c>
      <c r="X31" s="33" t="n">
        <v>0.00358377834290749</v>
      </c>
      <c r="Y31" s="33" t="n">
        <v>0.0224350162054484</v>
      </c>
      <c r="Z31" s="33" t="n">
        <v>0.0153409729033736</v>
      </c>
      <c r="AA31" s="33" t="n">
        <v>0.0190453485461681</v>
      </c>
      <c r="AB31" s="33" t="n">
        <v>0.00931656955148228</v>
      </c>
      <c r="AC31" s="33" t="n">
        <v>1.14761274549569</v>
      </c>
      <c r="AD31" s="33" t="n">
        <v>0.0293794153573263</v>
      </c>
      <c r="AE31" s="33" t="n">
        <v>0.0200415573936183</v>
      </c>
      <c r="AF31" s="33" t="n">
        <v>0.00527908387072767</v>
      </c>
      <c r="AG31" s="33" t="n">
        <v>0.0171780821682523</v>
      </c>
      <c r="AH31" s="33" t="n">
        <v>0.0244168868963423</v>
      </c>
      <c r="AI31" s="33" t="n">
        <v>0.0329197828208346</v>
      </c>
      <c r="AJ31" s="33" t="n">
        <v>0.0411237153965735</v>
      </c>
      <c r="AK31" s="33" t="n">
        <v>0.139425984582452</v>
      </c>
      <c r="AL31" s="33" t="n">
        <v>0.059276155583719</v>
      </c>
      <c r="AM31" s="33" t="n">
        <v>0.0141735283446394</v>
      </c>
      <c r="AN31" s="33" t="n">
        <v>0.0275001011082048</v>
      </c>
      <c r="AO31" s="33" t="n">
        <v>0.0157283484610171</v>
      </c>
      <c r="AP31" s="33" t="n">
        <v>0.00908142926512533</v>
      </c>
      <c r="AQ31" s="33" t="n">
        <v>0.0069235729604262</v>
      </c>
      <c r="AR31" s="33" t="n">
        <v>0.172235438090119</v>
      </c>
      <c r="AS31" s="33" t="n">
        <v>0.0254104177198458</v>
      </c>
      <c r="AT31" s="33" t="n">
        <v>0.0798257981896599</v>
      </c>
      <c r="AU31" s="33" t="n">
        <v>0.0719853982218816</v>
      </c>
      <c r="AV31" s="33" t="n">
        <v>0.000819067653225025</v>
      </c>
      <c r="AW31" s="33" t="n">
        <v>0.0101598909554696</v>
      </c>
      <c r="AX31" s="33" t="n">
        <v>0.00529039938041217</v>
      </c>
      <c r="AY31" s="33" t="n">
        <v>0.00118300485143052</v>
      </c>
      <c r="AZ31" s="33" t="n">
        <v>0.0212098033359855</v>
      </c>
      <c r="BA31" s="33" t="n">
        <v>0.0045882359720849</v>
      </c>
      <c r="BB31" s="33" t="n">
        <v>0.00293947642463887</v>
      </c>
      <c r="BC31" s="33" t="n">
        <v>0.0161664387821912</v>
      </c>
      <c r="BD31" s="33" t="n">
        <v>0.00344328868864394</v>
      </c>
      <c r="BE31" s="33" t="n">
        <v>0.0120127647487332</v>
      </c>
      <c r="BF31" s="33" t="n">
        <v>0.00339335225822702</v>
      </c>
      <c r="BG31" s="33" t="n">
        <v>0.00923200295071514</v>
      </c>
      <c r="BH31" s="33" t="n">
        <v>0.00253385667949</v>
      </c>
      <c r="BI31" s="33" t="n">
        <v>0.00579492736634442</v>
      </c>
      <c r="BJ31" s="33" t="n">
        <v>0.00412195152401296</v>
      </c>
      <c r="BK31" s="33" t="n">
        <v>0.0112115803458166</v>
      </c>
      <c r="BL31" s="33" t="n">
        <v>0.000504398400776149</v>
      </c>
      <c r="BM31" s="33" t="n">
        <v>0.0180703354497373</v>
      </c>
      <c r="BN31" s="33" t="n">
        <v>0.0068146623012191</v>
      </c>
      <c r="BO31" s="33" t="n">
        <v>0.00272867183206166</v>
      </c>
      <c r="BP31" s="33" t="n">
        <v>0.0109671389800745</v>
      </c>
      <c r="BQ31" s="33" t="n">
        <v>0.0115607305643621</v>
      </c>
      <c r="BR31" s="33" t="n">
        <v>0.0013895087431644</v>
      </c>
      <c r="BS31" s="33" t="n">
        <v>0.00983121998001804</v>
      </c>
      <c r="BT31" s="33" t="n">
        <v>0</v>
      </c>
    </row>
    <row r="32" customFormat="false" ht="11.25" hidden="false" customHeight="true" outlineLevel="0" collapsed="false">
      <c r="B32" s="24" t="s">
        <v>115</v>
      </c>
      <c r="C32" s="25" t="s">
        <v>116</v>
      </c>
      <c r="D32" s="24" t="n">
        <v>26</v>
      </c>
      <c r="E32" s="34" t="n">
        <v>0.0357518092434846</v>
      </c>
      <c r="F32" s="34" t="n">
        <v>0.0265140951343919</v>
      </c>
      <c r="G32" s="34" t="n">
        <v>0.00105708590148021</v>
      </c>
      <c r="H32" s="34" t="n">
        <v>0.0015595596644063</v>
      </c>
      <c r="I32" s="34" t="n">
        <v>0.00747505938315714</v>
      </c>
      <c r="J32" s="34" t="n">
        <v>0.00259262621705195</v>
      </c>
      <c r="K32" s="34" t="n">
        <v>0.000798685533339453</v>
      </c>
      <c r="L32" s="34" t="n">
        <v>0.0232744089193672</v>
      </c>
      <c r="M32" s="34" t="n">
        <v>0.0071005987198519</v>
      </c>
      <c r="N32" s="34" t="n">
        <v>0.0293248311617693</v>
      </c>
      <c r="O32" s="34" t="n">
        <v>0.0209913872084602</v>
      </c>
      <c r="P32" s="34" t="n">
        <v>0.00113070071777717</v>
      </c>
      <c r="Q32" s="34" t="n">
        <v>0.00296200554187914</v>
      </c>
      <c r="R32" s="34" t="n">
        <v>0.00207507005098455</v>
      </c>
      <c r="S32" s="34" t="n">
        <v>0.00169537748614217</v>
      </c>
      <c r="T32" s="34" t="n">
        <v>0.000987766959836109</v>
      </c>
      <c r="U32" s="34" t="n">
        <v>0.00625826769189491</v>
      </c>
      <c r="V32" s="34" t="n">
        <v>0.001207617902116</v>
      </c>
      <c r="W32" s="34" t="n">
        <v>0.0101689759571332</v>
      </c>
      <c r="X32" s="34" t="n">
        <v>0.00306689080170982</v>
      </c>
      <c r="Y32" s="34" t="n">
        <v>0.0108658451980088</v>
      </c>
      <c r="Z32" s="34" t="n">
        <v>0.00588474148704918</v>
      </c>
      <c r="AA32" s="34" t="n">
        <v>0.00493659427051076</v>
      </c>
      <c r="AB32" s="34" t="n">
        <v>0.00231665906485425</v>
      </c>
      <c r="AC32" s="34" t="n">
        <v>0.0106159414032705</v>
      </c>
      <c r="AD32" s="34" t="n">
        <v>1.11249568646556</v>
      </c>
      <c r="AE32" s="34" t="n">
        <v>0.0109125170108789</v>
      </c>
      <c r="AF32" s="34" t="n">
        <v>0.00427833551482744</v>
      </c>
      <c r="AG32" s="34" t="n">
        <v>0.00605493201103803</v>
      </c>
      <c r="AH32" s="34" t="n">
        <v>0.00216441176051565</v>
      </c>
      <c r="AI32" s="34" t="n">
        <v>0.00730779301690102</v>
      </c>
      <c r="AJ32" s="34" t="n">
        <v>0.00957276013861995</v>
      </c>
      <c r="AK32" s="34" t="n">
        <v>0.034998676732576</v>
      </c>
      <c r="AL32" s="34" t="n">
        <v>0.00577577138469418</v>
      </c>
      <c r="AM32" s="34" t="n">
        <v>0.00364470443949305</v>
      </c>
      <c r="AN32" s="34" t="n">
        <v>0.00722732325965754</v>
      </c>
      <c r="AO32" s="34" t="n">
        <v>0.00386736595845818</v>
      </c>
      <c r="AP32" s="34" t="n">
        <v>0.0220281999682432</v>
      </c>
      <c r="AQ32" s="34" t="n">
        <v>0.0164576776723149</v>
      </c>
      <c r="AR32" s="34" t="n">
        <v>0.729981707027355</v>
      </c>
      <c r="AS32" s="34" t="n">
        <v>0.00589516491854146</v>
      </c>
      <c r="AT32" s="34" t="n">
        <v>0.0172528109125163</v>
      </c>
      <c r="AU32" s="34" t="n">
        <v>0.00652541094288098</v>
      </c>
      <c r="AV32" s="34" t="n">
        <v>0.00030598019705885</v>
      </c>
      <c r="AW32" s="34" t="n">
        <v>0.000643672526184547</v>
      </c>
      <c r="AX32" s="34" t="n">
        <v>0.00288068561478853</v>
      </c>
      <c r="AY32" s="34" t="n">
        <v>0.00274085050349438</v>
      </c>
      <c r="AZ32" s="34" t="n">
        <v>0.015331011516892</v>
      </c>
      <c r="BA32" s="34" t="n">
        <v>0.00122350235395944</v>
      </c>
      <c r="BB32" s="34" t="n">
        <v>0.00131800435817446</v>
      </c>
      <c r="BC32" s="34" t="n">
        <v>0.0111762217549249</v>
      </c>
      <c r="BD32" s="34" t="n">
        <v>0.00196287677587724</v>
      </c>
      <c r="BE32" s="34" t="n">
        <v>0.0070386546998065</v>
      </c>
      <c r="BF32" s="34" t="n">
        <v>0.0229841940353584</v>
      </c>
      <c r="BG32" s="34" t="n">
        <v>0.00243744354344671</v>
      </c>
      <c r="BH32" s="34" t="n">
        <v>0.00156336016973554</v>
      </c>
      <c r="BI32" s="34" t="n">
        <v>0.00187090371306604</v>
      </c>
      <c r="BJ32" s="34" t="n">
        <v>0.00078365394655861</v>
      </c>
      <c r="BK32" s="34" t="n">
        <v>0.00658437096972047</v>
      </c>
      <c r="BL32" s="34" t="n">
        <v>0.000202212127113287</v>
      </c>
      <c r="BM32" s="34" t="n">
        <v>0.0280504719885232</v>
      </c>
      <c r="BN32" s="34" t="n">
        <v>0.00519954076859827</v>
      </c>
      <c r="BO32" s="34" t="n">
        <v>0.00181093696116065</v>
      </c>
      <c r="BP32" s="34" t="n">
        <v>0.00716033704227957</v>
      </c>
      <c r="BQ32" s="34" t="n">
        <v>0.00420486151976687</v>
      </c>
      <c r="BR32" s="34" t="n">
        <v>0.000895502698581344</v>
      </c>
      <c r="BS32" s="34" t="n">
        <v>0.0066512619890328</v>
      </c>
      <c r="BT32" s="34" t="n">
        <v>0</v>
      </c>
    </row>
    <row r="33" customFormat="false" ht="11.25" hidden="false" customHeight="true" outlineLevel="0" collapsed="false">
      <c r="B33" s="19" t="s">
        <v>117</v>
      </c>
      <c r="C33" s="20" t="s">
        <v>118</v>
      </c>
      <c r="D33" s="19" t="n">
        <v>27</v>
      </c>
      <c r="E33" s="33" t="n">
        <v>0.00731629153490446</v>
      </c>
      <c r="F33" s="33" t="n">
        <v>0.00636278413201347</v>
      </c>
      <c r="G33" s="33" t="n">
        <v>0.000539293896400506</v>
      </c>
      <c r="H33" s="33" t="n">
        <v>0.0024639477125468</v>
      </c>
      <c r="I33" s="33" t="n">
        <v>0.0321976288837758</v>
      </c>
      <c r="J33" s="33" t="n">
        <v>0.00669998797728419</v>
      </c>
      <c r="K33" s="33" t="n">
        <v>0.00287687233848386</v>
      </c>
      <c r="L33" s="33" t="n">
        <v>0.0177600549810106</v>
      </c>
      <c r="M33" s="33" t="n">
        <v>0.00265982524352203</v>
      </c>
      <c r="N33" s="33" t="n">
        <v>0.0154614162595331</v>
      </c>
      <c r="O33" s="33" t="n">
        <v>0.0104709600051403</v>
      </c>
      <c r="P33" s="33" t="n">
        <v>0.000667466512286619</v>
      </c>
      <c r="Q33" s="33" t="n">
        <v>0.00269655600419662</v>
      </c>
      <c r="R33" s="33" t="n">
        <v>0.00245503261187338</v>
      </c>
      <c r="S33" s="33" t="n">
        <v>0.00215960637829731</v>
      </c>
      <c r="T33" s="33" t="n">
        <v>0.00188499538523613</v>
      </c>
      <c r="U33" s="33" t="n">
        <v>0.00715467765151689</v>
      </c>
      <c r="V33" s="33" t="n">
        <v>0.00157660805268332</v>
      </c>
      <c r="W33" s="33" t="n">
        <v>0.0289694719978457</v>
      </c>
      <c r="X33" s="33" t="n">
        <v>0.00161744779697305</v>
      </c>
      <c r="Y33" s="33" t="n">
        <v>0.00732609213229958</v>
      </c>
      <c r="Z33" s="33" t="n">
        <v>0.00614719322027137</v>
      </c>
      <c r="AA33" s="33" t="n">
        <v>0.00347787842782563</v>
      </c>
      <c r="AB33" s="33" t="n">
        <v>0.00279182408971322</v>
      </c>
      <c r="AC33" s="33" t="n">
        <v>0.0150243013257917</v>
      </c>
      <c r="AD33" s="33" t="n">
        <v>0.0129356186690346</v>
      </c>
      <c r="AE33" s="33" t="n">
        <v>1.16594627635438</v>
      </c>
      <c r="AF33" s="33" t="n">
        <v>0.0211290929700975</v>
      </c>
      <c r="AG33" s="33" t="n">
        <v>0.22044427345513</v>
      </c>
      <c r="AH33" s="33" t="n">
        <v>0.00740183676292366</v>
      </c>
      <c r="AI33" s="33" t="n">
        <v>0.052381290525596</v>
      </c>
      <c r="AJ33" s="33" t="n">
        <v>0.135084307103501</v>
      </c>
      <c r="AK33" s="33" t="n">
        <v>0.159954774131208</v>
      </c>
      <c r="AL33" s="33" t="n">
        <v>0.126607354561403</v>
      </c>
      <c r="AM33" s="33" t="n">
        <v>0.0216899475226006</v>
      </c>
      <c r="AN33" s="33" t="n">
        <v>0.0200063368950237</v>
      </c>
      <c r="AO33" s="33" t="n">
        <v>0.024674147974459</v>
      </c>
      <c r="AP33" s="33" t="n">
        <v>0.0155636414622011</v>
      </c>
      <c r="AQ33" s="33" t="n">
        <v>0.00648614988877761</v>
      </c>
      <c r="AR33" s="33" t="n">
        <v>0.275350698704784</v>
      </c>
      <c r="AS33" s="33" t="n">
        <v>0.0197279125798613</v>
      </c>
      <c r="AT33" s="33" t="n">
        <v>0.0326486233252049</v>
      </c>
      <c r="AU33" s="33" t="n">
        <v>0.0263839664874725</v>
      </c>
      <c r="AV33" s="33" t="n">
        <v>0.000936274055339113</v>
      </c>
      <c r="AW33" s="33" t="n">
        <v>0.00123071100174346</v>
      </c>
      <c r="AX33" s="33" t="n">
        <v>0.00364231410843453</v>
      </c>
      <c r="AY33" s="33" t="n">
        <v>0.000905038451316052</v>
      </c>
      <c r="AZ33" s="33" t="n">
        <v>0.00927248663262113</v>
      </c>
      <c r="BA33" s="33" t="n">
        <v>0.00176900504911035</v>
      </c>
      <c r="BB33" s="33" t="n">
        <v>0.00148053819188927</v>
      </c>
      <c r="BC33" s="33" t="n">
        <v>0.00990847208905369</v>
      </c>
      <c r="BD33" s="33" t="n">
        <v>0.00197898868354228</v>
      </c>
      <c r="BE33" s="33" t="n">
        <v>0.00615167317534356</v>
      </c>
      <c r="BF33" s="33" t="n">
        <v>0.00272518369125763</v>
      </c>
      <c r="BG33" s="33" t="n">
        <v>0.00301181960716381</v>
      </c>
      <c r="BH33" s="33" t="n">
        <v>0.00196014772036634</v>
      </c>
      <c r="BI33" s="33" t="n">
        <v>0.00222429798697642</v>
      </c>
      <c r="BJ33" s="33" t="n">
        <v>0.00308185811524962</v>
      </c>
      <c r="BK33" s="33" t="n">
        <v>0.00550920319338643</v>
      </c>
      <c r="BL33" s="33" t="n">
        <v>0.000475775070916074</v>
      </c>
      <c r="BM33" s="33" t="n">
        <v>0.017703363443184</v>
      </c>
      <c r="BN33" s="33" t="n">
        <v>0.00345770732203059</v>
      </c>
      <c r="BO33" s="33" t="n">
        <v>0.00162530797660551</v>
      </c>
      <c r="BP33" s="33" t="n">
        <v>0.00452143020154634</v>
      </c>
      <c r="BQ33" s="33" t="n">
        <v>0.00419259182921292</v>
      </c>
      <c r="BR33" s="33" t="n">
        <v>0.00101467061420727</v>
      </c>
      <c r="BS33" s="33" t="n">
        <v>0.00437744666067545</v>
      </c>
      <c r="BT33" s="33" t="n">
        <v>0</v>
      </c>
    </row>
    <row r="34" customFormat="false" ht="11.25" hidden="false" customHeight="true" outlineLevel="0" collapsed="false">
      <c r="B34" s="24" t="s">
        <v>119</v>
      </c>
      <c r="C34" s="25" t="s">
        <v>120</v>
      </c>
      <c r="D34" s="24" t="n">
        <v>28</v>
      </c>
      <c r="E34" s="34" t="n">
        <v>0.0117019082007592</v>
      </c>
      <c r="F34" s="34" t="n">
        <v>0.00465220032137268</v>
      </c>
      <c r="G34" s="34" t="n">
        <v>0.000534422355205967</v>
      </c>
      <c r="H34" s="34" t="n">
        <v>0.00192939451488685</v>
      </c>
      <c r="I34" s="34" t="n">
        <v>0.010792082867976</v>
      </c>
      <c r="J34" s="34" t="n">
        <v>0.00524389184970141</v>
      </c>
      <c r="K34" s="34" t="n">
        <v>0.00362581877285018</v>
      </c>
      <c r="L34" s="34" t="n">
        <v>0.0186334505704437</v>
      </c>
      <c r="M34" s="34" t="n">
        <v>0.00346643653354804</v>
      </c>
      <c r="N34" s="34" t="n">
        <v>0.022760175605518</v>
      </c>
      <c r="O34" s="34" t="n">
        <v>0.00556379394577299</v>
      </c>
      <c r="P34" s="34" t="n">
        <v>0.000846812649989295</v>
      </c>
      <c r="Q34" s="34" t="n">
        <v>0.00393462624446668</v>
      </c>
      <c r="R34" s="34" t="n">
        <v>0.00345518281200697</v>
      </c>
      <c r="S34" s="34" t="n">
        <v>0.00272422483597861</v>
      </c>
      <c r="T34" s="34" t="n">
        <v>0.00167168645347987</v>
      </c>
      <c r="U34" s="34" t="n">
        <v>0.0140619971236189</v>
      </c>
      <c r="V34" s="34" t="n">
        <v>0.00858262211169491</v>
      </c>
      <c r="W34" s="34" t="n">
        <v>0.012266649928764</v>
      </c>
      <c r="X34" s="34" t="n">
        <v>0.00210238981399756</v>
      </c>
      <c r="Y34" s="34" t="n">
        <v>0.0224523981220449</v>
      </c>
      <c r="Z34" s="34" t="n">
        <v>0.0130796911151505</v>
      </c>
      <c r="AA34" s="34" t="n">
        <v>0.00370421103601612</v>
      </c>
      <c r="AB34" s="34" t="n">
        <v>0.00347123719465214</v>
      </c>
      <c r="AC34" s="34" t="n">
        <v>0.0106299404040108</v>
      </c>
      <c r="AD34" s="34" t="n">
        <v>0.0100842974749496</v>
      </c>
      <c r="AE34" s="34" t="n">
        <v>0.0510144339208003</v>
      </c>
      <c r="AF34" s="34" t="n">
        <v>1.15177248062037</v>
      </c>
      <c r="AG34" s="34" t="n">
        <v>0.0532660915148332</v>
      </c>
      <c r="AH34" s="34" t="n">
        <v>0.0133107984765869</v>
      </c>
      <c r="AI34" s="34" t="n">
        <v>0.189169654114579</v>
      </c>
      <c r="AJ34" s="34" t="n">
        <v>0.077258767174497</v>
      </c>
      <c r="AK34" s="34" t="n">
        <v>0.10145555384282</v>
      </c>
      <c r="AL34" s="34" t="n">
        <v>0.162804096923001</v>
      </c>
      <c r="AM34" s="34" t="n">
        <v>0.0277254731210084</v>
      </c>
      <c r="AN34" s="34" t="n">
        <v>0.0453525816557342</v>
      </c>
      <c r="AO34" s="34" t="n">
        <v>0.0447835758057051</v>
      </c>
      <c r="AP34" s="34" t="n">
        <v>0.0183573036944548</v>
      </c>
      <c r="AQ34" s="34" t="n">
        <v>0.00793558349642407</v>
      </c>
      <c r="AR34" s="34" t="n">
        <v>0.155661230843267</v>
      </c>
      <c r="AS34" s="34" t="n">
        <v>0.0349665233259614</v>
      </c>
      <c r="AT34" s="34" t="n">
        <v>0.0333787918429304</v>
      </c>
      <c r="AU34" s="34" t="n">
        <v>0.0301135152978726</v>
      </c>
      <c r="AV34" s="34" t="n">
        <v>0.00119924094919194</v>
      </c>
      <c r="AW34" s="34" t="n">
        <v>0.00119990422706092</v>
      </c>
      <c r="AX34" s="34" t="n">
        <v>0.00480211502164063</v>
      </c>
      <c r="AY34" s="34" t="n">
        <v>0.000905864864566071</v>
      </c>
      <c r="AZ34" s="34" t="n">
        <v>0.00678151235271688</v>
      </c>
      <c r="BA34" s="34" t="n">
        <v>0.0031342768456542</v>
      </c>
      <c r="BB34" s="34" t="n">
        <v>0.00198727723190089</v>
      </c>
      <c r="BC34" s="34" t="n">
        <v>0.0116880962747898</v>
      </c>
      <c r="BD34" s="34" t="n">
        <v>0.00261998766529491</v>
      </c>
      <c r="BE34" s="34" t="n">
        <v>0.00913040337243133</v>
      </c>
      <c r="BF34" s="34" t="n">
        <v>0.0039997213835512</v>
      </c>
      <c r="BG34" s="34" t="n">
        <v>0.00526533636568091</v>
      </c>
      <c r="BH34" s="34" t="n">
        <v>0.00225805860181454</v>
      </c>
      <c r="BI34" s="34" t="n">
        <v>0.00401250738337494</v>
      </c>
      <c r="BJ34" s="34" t="n">
        <v>0.00220092190785678</v>
      </c>
      <c r="BK34" s="34" t="n">
        <v>0.00701196948709616</v>
      </c>
      <c r="BL34" s="34" t="n">
        <v>0.000518864537270752</v>
      </c>
      <c r="BM34" s="34" t="n">
        <v>0.0157259912837073</v>
      </c>
      <c r="BN34" s="34" t="n">
        <v>0.00409285735374771</v>
      </c>
      <c r="BO34" s="34" t="n">
        <v>0.00236574062227004</v>
      </c>
      <c r="BP34" s="34" t="n">
        <v>0.00560045762280039</v>
      </c>
      <c r="BQ34" s="34" t="n">
        <v>0.00883605978913653</v>
      </c>
      <c r="BR34" s="34" t="n">
        <v>0.00188616158916496</v>
      </c>
      <c r="BS34" s="34" t="n">
        <v>0.00673524621037324</v>
      </c>
      <c r="BT34" s="34" t="n">
        <v>0</v>
      </c>
    </row>
    <row r="35" customFormat="false" ht="11.25" hidden="false" customHeight="true" outlineLevel="0" collapsed="false">
      <c r="B35" s="19" t="s">
        <v>121</v>
      </c>
      <c r="C35" s="20" t="s">
        <v>122</v>
      </c>
      <c r="D35" s="19" t="n">
        <v>29</v>
      </c>
      <c r="E35" s="33" t="n">
        <v>0.0107138246191028</v>
      </c>
      <c r="F35" s="33" t="n">
        <v>0.00883725654825991</v>
      </c>
      <c r="G35" s="33" t="n">
        <v>0.000815365664382314</v>
      </c>
      <c r="H35" s="33" t="n">
        <v>0.00211444252729358</v>
      </c>
      <c r="I35" s="33" t="n">
        <v>0.0212053458939685</v>
      </c>
      <c r="J35" s="33" t="n">
        <v>0.010436473878162</v>
      </c>
      <c r="K35" s="33" t="n">
        <v>0.00345807053853227</v>
      </c>
      <c r="L35" s="33" t="n">
        <v>0.0317763997111913</v>
      </c>
      <c r="M35" s="33" t="n">
        <v>0.00388661931100879</v>
      </c>
      <c r="N35" s="33" t="n">
        <v>0.0299103410314382</v>
      </c>
      <c r="O35" s="33" t="n">
        <v>0.0379772310187845</v>
      </c>
      <c r="P35" s="33" t="n">
        <v>0.000987092786542683</v>
      </c>
      <c r="Q35" s="33" t="n">
        <v>0.00408664896135131</v>
      </c>
      <c r="R35" s="33" t="n">
        <v>0.00367508593183839</v>
      </c>
      <c r="S35" s="33" t="n">
        <v>0.0030532690583938</v>
      </c>
      <c r="T35" s="33" t="n">
        <v>0.00493778539200744</v>
      </c>
      <c r="U35" s="33" t="n">
        <v>0.00752179546089634</v>
      </c>
      <c r="V35" s="33" t="n">
        <v>0.00212545070535211</v>
      </c>
      <c r="W35" s="33" t="n">
        <v>0.0230930450248647</v>
      </c>
      <c r="X35" s="33" t="n">
        <v>0.00246063326540271</v>
      </c>
      <c r="Y35" s="33" t="n">
        <v>0.0107495776249592</v>
      </c>
      <c r="Z35" s="33" t="n">
        <v>0.0140896850710669</v>
      </c>
      <c r="AA35" s="33" t="n">
        <v>0.0100225236108437</v>
      </c>
      <c r="AB35" s="33" t="n">
        <v>0.00396868352952179</v>
      </c>
      <c r="AC35" s="33" t="n">
        <v>0.00881600078174427</v>
      </c>
      <c r="AD35" s="33" t="n">
        <v>0.00826186802899329</v>
      </c>
      <c r="AE35" s="33" t="n">
        <v>0.0407071601966978</v>
      </c>
      <c r="AF35" s="33" t="n">
        <v>0.00933568972009288</v>
      </c>
      <c r="AG35" s="33" t="n">
        <v>1.08175309745847</v>
      </c>
      <c r="AH35" s="33" t="n">
        <v>0.015018354656055</v>
      </c>
      <c r="AI35" s="33" t="n">
        <v>0.0320296929204463</v>
      </c>
      <c r="AJ35" s="33" t="n">
        <v>0.0775720146227128</v>
      </c>
      <c r="AK35" s="33" t="n">
        <v>0.077745014111052</v>
      </c>
      <c r="AL35" s="33" t="n">
        <v>0.0435872498903884</v>
      </c>
      <c r="AM35" s="33" t="n">
        <v>0.0288144392556886</v>
      </c>
      <c r="AN35" s="33" t="n">
        <v>0.0159952302303998</v>
      </c>
      <c r="AO35" s="33" t="n">
        <v>0.0332238151289831</v>
      </c>
      <c r="AP35" s="33" t="n">
        <v>0.0287115019304114</v>
      </c>
      <c r="AQ35" s="33" t="n">
        <v>0.0113950508049703</v>
      </c>
      <c r="AR35" s="33" t="n">
        <v>0.279659623801873</v>
      </c>
      <c r="AS35" s="33" t="n">
        <v>0.0121888193966015</v>
      </c>
      <c r="AT35" s="33" t="n">
        <v>0.0326098874632772</v>
      </c>
      <c r="AU35" s="33" t="n">
        <v>0.0166221214694299</v>
      </c>
      <c r="AV35" s="33" t="n">
        <v>0.00101983858266201</v>
      </c>
      <c r="AW35" s="33" t="n">
        <v>0.00126227880526753</v>
      </c>
      <c r="AX35" s="33" t="n">
        <v>0.0040074771255018</v>
      </c>
      <c r="AY35" s="33" t="n">
        <v>0.00211483261497211</v>
      </c>
      <c r="AZ35" s="33" t="n">
        <v>0.0293391348097171</v>
      </c>
      <c r="BA35" s="33" t="n">
        <v>0.00210297808254942</v>
      </c>
      <c r="BB35" s="33" t="n">
        <v>0.00180918153015599</v>
      </c>
      <c r="BC35" s="33" t="n">
        <v>0.010889682743604</v>
      </c>
      <c r="BD35" s="33" t="n">
        <v>0.00230435885538172</v>
      </c>
      <c r="BE35" s="33" t="n">
        <v>0.00754222327051157</v>
      </c>
      <c r="BF35" s="33" t="n">
        <v>0.00541798385748186</v>
      </c>
      <c r="BG35" s="33" t="n">
        <v>0.00347392167650866</v>
      </c>
      <c r="BH35" s="33" t="n">
        <v>0.00193576646439273</v>
      </c>
      <c r="BI35" s="33" t="n">
        <v>0.00274059503991247</v>
      </c>
      <c r="BJ35" s="33" t="n">
        <v>0.00141104938395053</v>
      </c>
      <c r="BK35" s="33" t="n">
        <v>0.00778184264936552</v>
      </c>
      <c r="BL35" s="33" t="n">
        <v>0.0010262887133368</v>
      </c>
      <c r="BM35" s="33" t="n">
        <v>0.0267606033047845</v>
      </c>
      <c r="BN35" s="33" t="n">
        <v>0.0044045662854552</v>
      </c>
      <c r="BO35" s="33" t="n">
        <v>0.00188781698366631</v>
      </c>
      <c r="BP35" s="33" t="n">
        <v>0.00595716512480005</v>
      </c>
      <c r="BQ35" s="33" t="n">
        <v>0.00544343440268546</v>
      </c>
      <c r="BR35" s="33" t="n">
        <v>0.00121213256716082</v>
      </c>
      <c r="BS35" s="33" t="n">
        <v>0.00706828407064217</v>
      </c>
      <c r="BT35" s="33" t="n">
        <v>0</v>
      </c>
    </row>
    <row r="36" customFormat="false" ht="11.25" hidden="false" customHeight="true" outlineLevel="0" collapsed="false">
      <c r="B36" s="24" t="s">
        <v>123</v>
      </c>
      <c r="C36" s="25" t="s">
        <v>124</v>
      </c>
      <c r="D36" s="24" t="n">
        <v>30</v>
      </c>
      <c r="E36" s="34" t="n">
        <v>0.00196754903960524</v>
      </c>
      <c r="F36" s="34" t="n">
        <v>0.00103824052541214</v>
      </c>
      <c r="G36" s="34" t="n">
        <v>0.000143195312663049</v>
      </c>
      <c r="H36" s="34" t="n">
        <v>0.00055413009160115</v>
      </c>
      <c r="I36" s="34" t="n">
        <v>0.00549605384152662</v>
      </c>
      <c r="J36" s="34" t="n">
        <v>0.00147971620259398</v>
      </c>
      <c r="K36" s="34" t="n">
        <v>0.000490500668829201</v>
      </c>
      <c r="L36" s="34" t="n">
        <v>0.00673459824763126</v>
      </c>
      <c r="M36" s="34" t="n">
        <v>0.00127622517714596</v>
      </c>
      <c r="N36" s="34" t="n">
        <v>0.00643162048643027</v>
      </c>
      <c r="O36" s="34" t="n">
        <v>0.00187122076265029</v>
      </c>
      <c r="P36" s="34" t="n">
        <v>0.000488256776463077</v>
      </c>
      <c r="Q36" s="34" t="n">
        <v>0.00148361651346129</v>
      </c>
      <c r="R36" s="34" t="n">
        <v>0.00162285787382457</v>
      </c>
      <c r="S36" s="34" t="n">
        <v>0.00137948040487545</v>
      </c>
      <c r="T36" s="34" t="n">
        <v>0.000577917896123068</v>
      </c>
      <c r="U36" s="34" t="n">
        <v>0.0033389678735234</v>
      </c>
      <c r="V36" s="34" t="n">
        <v>0.00337809216623862</v>
      </c>
      <c r="W36" s="34" t="n">
        <v>0.00608641362640429</v>
      </c>
      <c r="X36" s="34" t="n">
        <v>0.000826722392555569</v>
      </c>
      <c r="Y36" s="34" t="n">
        <v>0.00289951544637413</v>
      </c>
      <c r="Z36" s="34" t="n">
        <v>0.00244266352528243</v>
      </c>
      <c r="AA36" s="34" t="n">
        <v>0.000928771926293531</v>
      </c>
      <c r="AB36" s="34" t="n">
        <v>0.00219724022927931</v>
      </c>
      <c r="AC36" s="34" t="n">
        <v>0.00314238796984891</v>
      </c>
      <c r="AD36" s="34" t="n">
        <v>0.00286677398059595</v>
      </c>
      <c r="AE36" s="34" t="n">
        <v>0.00550680577445352</v>
      </c>
      <c r="AF36" s="34" t="n">
        <v>0.00194125778017341</v>
      </c>
      <c r="AG36" s="34" t="n">
        <v>0.00325141982655486</v>
      </c>
      <c r="AH36" s="34" t="n">
        <v>1.18883061628233</v>
      </c>
      <c r="AI36" s="34" t="n">
        <v>0.00776880943928667</v>
      </c>
      <c r="AJ36" s="34" t="n">
        <v>0.012016654632402</v>
      </c>
      <c r="AK36" s="34" t="n">
        <v>0.0107379706992533</v>
      </c>
      <c r="AL36" s="34" t="n">
        <v>0.00442917700460404</v>
      </c>
      <c r="AM36" s="34" t="n">
        <v>0.00194384162447346</v>
      </c>
      <c r="AN36" s="34" t="n">
        <v>0.00226603502446601</v>
      </c>
      <c r="AO36" s="34" t="n">
        <v>0.00661662862678844</v>
      </c>
      <c r="AP36" s="34" t="n">
        <v>0.00622998657774617</v>
      </c>
      <c r="AQ36" s="34" t="n">
        <v>0.00133112523999174</v>
      </c>
      <c r="AR36" s="34" t="n">
        <v>0.0184188819160487</v>
      </c>
      <c r="AS36" s="34" t="n">
        <v>0.00263117392456425</v>
      </c>
      <c r="AT36" s="34" t="n">
        <v>0.0182290252412849</v>
      </c>
      <c r="AU36" s="34" t="n">
        <v>0.00495338496870421</v>
      </c>
      <c r="AV36" s="34" t="n">
        <v>0.000492245705935872</v>
      </c>
      <c r="AW36" s="34" t="n">
        <v>0.00094837610645855</v>
      </c>
      <c r="AX36" s="34" t="n">
        <v>0.00414574335943858</v>
      </c>
      <c r="AY36" s="34" t="n">
        <v>0.000344126650641193</v>
      </c>
      <c r="AZ36" s="34" t="n">
        <v>0.00200475676365689</v>
      </c>
      <c r="BA36" s="34" t="n">
        <v>0.00187126739117378</v>
      </c>
      <c r="BB36" s="34" t="n">
        <v>0.00644539897681466</v>
      </c>
      <c r="BC36" s="34" t="n">
        <v>0.0134200188833322</v>
      </c>
      <c r="BD36" s="34" t="n">
        <v>0.0232519350532797</v>
      </c>
      <c r="BE36" s="34" t="n">
        <v>0.0167962484525089</v>
      </c>
      <c r="BF36" s="34" t="n">
        <v>0.00127169745994559</v>
      </c>
      <c r="BG36" s="34" t="n">
        <v>0.00754123987903564</v>
      </c>
      <c r="BH36" s="34" t="n">
        <v>0.0131331832295701</v>
      </c>
      <c r="BI36" s="34" t="n">
        <v>0.00785020606174268</v>
      </c>
      <c r="BJ36" s="34" t="n">
        <v>0.00120283216429294</v>
      </c>
      <c r="BK36" s="34" t="n">
        <v>0.0163483827830489</v>
      </c>
      <c r="BL36" s="34" t="n">
        <v>0.00152098095097665</v>
      </c>
      <c r="BM36" s="34" t="n">
        <v>0.0155256474007953</v>
      </c>
      <c r="BN36" s="34" t="n">
        <v>0.0125966963890933</v>
      </c>
      <c r="BO36" s="34" t="n">
        <v>0.00288441789449919</v>
      </c>
      <c r="BP36" s="34" t="n">
        <v>0.00621184658914263</v>
      </c>
      <c r="BQ36" s="34" t="n">
        <v>0.00537316741260365</v>
      </c>
      <c r="BR36" s="34" t="n">
        <v>0.00145259487143484</v>
      </c>
      <c r="BS36" s="34" t="n">
        <v>0.0116627076690631</v>
      </c>
      <c r="BT36" s="34" t="n">
        <v>0</v>
      </c>
    </row>
    <row r="37" customFormat="false" ht="11.25" hidden="false" customHeight="true" outlineLevel="0" collapsed="false">
      <c r="B37" s="19" t="s">
        <v>125</v>
      </c>
      <c r="C37" s="20" t="s">
        <v>126</v>
      </c>
      <c r="D37" s="19" t="n">
        <v>31</v>
      </c>
      <c r="E37" s="33" t="n">
        <v>0.00598901944343423</v>
      </c>
      <c r="F37" s="33" t="n">
        <v>0.00408322753780241</v>
      </c>
      <c r="G37" s="33" t="n">
        <v>0.00041993193012505</v>
      </c>
      <c r="H37" s="33" t="n">
        <v>0.00144277111466965</v>
      </c>
      <c r="I37" s="33" t="n">
        <v>0.00867074561280113</v>
      </c>
      <c r="J37" s="33" t="n">
        <v>0.00404811666922809</v>
      </c>
      <c r="K37" s="33" t="n">
        <v>0.00135320884177513</v>
      </c>
      <c r="L37" s="33" t="n">
        <v>0.0112375980659579</v>
      </c>
      <c r="M37" s="33" t="n">
        <v>0.00257340183233882</v>
      </c>
      <c r="N37" s="33" t="n">
        <v>0.0114238866923955</v>
      </c>
      <c r="O37" s="33" t="n">
        <v>0.003392150832615</v>
      </c>
      <c r="P37" s="33" t="n">
        <v>0.000676959325396221</v>
      </c>
      <c r="Q37" s="33" t="n">
        <v>0.00367712434350382</v>
      </c>
      <c r="R37" s="33" t="n">
        <v>0.0026091016595008</v>
      </c>
      <c r="S37" s="33" t="n">
        <v>0.00203374461145349</v>
      </c>
      <c r="T37" s="33" t="n">
        <v>0.00146978178941201</v>
      </c>
      <c r="U37" s="33" t="n">
        <v>0.00639750450607398</v>
      </c>
      <c r="V37" s="33" t="n">
        <v>0.00177768708731042</v>
      </c>
      <c r="W37" s="33" t="n">
        <v>0.00971775987004607</v>
      </c>
      <c r="X37" s="33" t="n">
        <v>0.00147597748320069</v>
      </c>
      <c r="Y37" s="33" t="n">
        <v>0.00718832935388268</v>
      </c>
      <c r="Z37" s="33" t="n">
        <v>0.00394593359371983</v>
      </c>
      <c r="AA37" s="33" t="n">
        <v>0.00167073575124652</v>
      </c>
      <c r="AB37" s="33" t="n">
        <v>0.00271341617521797</v>
      </c>
      <c r="AC37" s="33" t="n">
        <v>0.00663098941616057</v>
      </c>
      <c r="AD37" s="33" t="n">
        <v>0.00732008230422422</v>
      </c>
      <c r="AE37" s="33" t="n">
        <v>0.0124614888546249</v>
      </c>
      <c r="AF37" s="33" t="n">
        <v>0.00670901124165954</v>
      </c>
      <c r="AG37" s="33" t="n">
        <v>0.00739379378870204</v>
      </c>
      <c r="AH37" s="33" t="n">
        <v>0.0312167819922409</v>
      </c>
      <c r="AI37" s="33" t="n">
        <v>1.10572781991529</v>
      </c>
      <c r="AJ37" s="33" t="n">
        <v>0.0493953990037689</v>
      </c>
      <c r="AK37" s="33" t="n">
        <v>0.0328731535250839</v>
      </c>
      <c r="AL37" s="33" t="n">
        <v>0.023022232790619</v>
      </c>
      <c r="AM37" s="33" t="n">
        <v>0.00715387197126638</v>
      </c>
      <c r="AN37" s="33" t="n">
        <v>0.00584694408756795</v>
      </c>
      <c r="AO37" s="33" t="n">
        <v>0.0284076727422255</v>
      </c>
      <c r="AP37" s="33" t="n">
        <v>0.072299957421414</v>
      </c>
      <c r="AQ37" s="33" t="n">
        <v>0.00635725339205365</v>
      </c>
      <c r="AR37" s="33" t="n">
        <v>0.154014321618163</v>
      </c>
      <c r="AS37" s="33" t="n">
        <v>0.0105719203380697</v>
      </c>
      <c r="AT37" s="33" t="n">
        <v>0.031780906471816</v>
      </c>
      <c r="AU37" s="33" t="n">
        <v>0.0232116084203756</v>
      </c>
      <c r="AV37" s="33" t="n">
        <v>0.00108886751116534</v>
      </c>
      <c r="AW37" s="33" t="n">
        <v>0.000953491222314701</v>
      </c>
      <c r="AX37" s="33" t="n">
        <v>0.00446092145227806</v>
      </c>
      <c r="AY37" s="33" t="n">
        <v>0.00112432008466608</v>
      </c>
      <c r="AZ37" s="33" t="n">
        <v>0.00409874537548878</v>
      </c>
      <c r="BA37" s="33" t="n">
        <v>0.0020157232441177</v>
      </c>
      <c r="BB37" s="33" t="n">
        <v>0.00259251200444905</v>
      </c>
      <c r="BC37" s="33" t="n">
        <v>0.021868468383944</v>
      </c>
      <c r="BD37" s="33" t="n">
        <v>0.00274626255897118</v>
      </c>
      <c r="BE37" s="33" t="n">
        <v>0.00916161216101528</v>
      </c>
      <c r="BF37" s="33" t="n">
        <v>0.00585943033821092</v>
      </c>
      <c r="BG37" s="33" t="n">
        <v>0.0100192424697317</v>
      </c>
      <c r="BH37" s="33" t="n">
        <v>0.00283338857797018</v>
      </c>
      <c r="BI37" s="33" t="n">
        <v>0.00359802469629524</v>
      </c>
      <c r="BJ37" s="33" t="n">
        <v>0.00141028986218319</v>
      </c>
      <c r="BK37" s="33" t="n">
        <v>0.0114940591868075</v>
      </c>
      <c r="BL37" s="33" t="n">
        <v>0.000437143433998077</v>
      </c>
      <c r="BM37" s="33" t="n">
        <v>0.0136507770555427</v>
      </c>
      <c r="BN37" s="33" t="n">
        <v>0.00388081010521038</v>
      </c>
      <c r="BO37" s="33" t="n">
        <v>0.00208984226036136</v>
      </c>
      <c r="BP37" s="33" t="n">
        <v>0.00397347700011337</v>
      </c>
      <c r="BQ37" s="33" t="n">
        <v>0.0040810312886131</v>
      </c>
      <c r="BR37" s="33" t="n">
        <v>0.00177597908171046</v>
      </c>
      <c r="BS37" s="33" t="n">
        <v>0.0152290058600359</v>
      </c>
      <c r="BT37" s="33" t="n">
        <v>0</v>
      </c>
    </row>
    <row r="38" customFormat="false" ht="11.25" hidden="false" customHeight="true" outlineLevel="0" collapsed="false">
      <c r="B38" s="24" t="s">
        <v>127</v>
      </c>
      <c r="C38" s="25" t="s">
        <v>128</v>
      </c>
      <c r="D38" s="24" t="n">
        <v>32</v>
      </c>
      <c r="E38" s="34" t="n">
        <v>0.00379590443563248</v>
      </c>
      <c r="F38" s="34" t="n">
        <v>0.00204471624428001</v>
      </c>
      <c r="G38" s="34" t="n">
        <v>0.000390107419993547</v>
      </c>
      <c r="H38" s="34" t="n">
        <v>0.00269546310210626</v>
      </c>
      <c r="I38" s="34" t="n">
        <v>0.0341289414876265</v>
      </c>
      <c r="J38" s="34" t="n">
        <v>0.0244196487541314</v>
      </c>
      <c r="K38" s="34" t="n">
        <v>0.00684547528767838</v>
      </c>
      <c r="L38" s="34" t="n">
        <v>0.00822874663601692</v>
      </c>
      <c r="M38" s="34" t="n">
        <v>0.00214106277172946</v>
      </c>
      <c r="N38" s="34" t="n">
        <v>0.00817042842649438</v>
      </c>
      <c r="O38" s="34" t="n">
        <v>0.00327401469874986</v>
      </c>
      <c r="P38" s="34" t="n">
        <v>0.000439203548916898</v>
      </c>
      <c r="Q38" s="34" t="n">
        <v>0.00199036901020264</v>
      </c>
      <c r="R38" s="34" t="n">
        <v>0.00197980496932223</v>
      </c>
      <c r="S38" s="34" t="n">
        <v>0.0014978928750184</v>
      </c>
      <c r="T38" s="34" t="n">
        <v>0.00165075153318456</v>
      </c>
      <c r="U38" s="34" t="n">
        <v>0.0059517849478035</v>
      </c>
      <c r="V38" s="34" t="n">
        <v>0.00216713443009701</v>
      </c>
      <c r="W38" s="34" t="n">
        <v>0.0288902518248519</v>
      </c>
      <c r="X38" s="34" t="n">
        <v>0.00141849958049905</v>
      </c>
      <c r="Y38" s="34" t="n">
        <v>0.00574644797724044</v>
      </c>
      <c r="Z38" s="34" t="n">
        <v>0.00342434801507181</v>
      </c>
      <c r="AA38" s="34" t="n">
        <v>0.00146724966661284</v>
      </c>
      <c r="AB38" s="34" t="n">
        <v>0.00218409920132156</v>
      </c>
      <c r="AC38" s="34" t="n">
        <v>0.00541725442087068</v>
      </c>
      <c r="AD38" s="34" t="n">
        <v>0.00627574960185223</v>
      </c>
      <c r="AE38" s="34" t="n">
        <v>0.0209403866222486</v>
      </c>
      <c r="AF38" s="34" t="n">
        <v>0.0085555901190613</v>
      </c>
      <c r="AG38" s="34" t="n">
        <v>0.00939795137450626</v>
      </c>
      <c r="AH38" s="34" t="n">
        <v>0.00438299512973526</v>
      </c>
      <c r="AI38" s="34" t="n">
        <v>0.0118233115297527</v>
      </c>
      <c r="AJ38" s="34" t="n">
        <v>1.14987607324916</v>
      </c>
      <c r="AK38" s="34" t="n">
        <v>0.0296014684196359</v>
      </c>
      <c r="AL38" s="34" t="n">
        <v>0.00963493295910179</v>
      </c>
      <c r="AM38" s="34" t="n">
        <v>0.00726504833263004</v>
      </c>
      <c r="AN38" s="34" t="n">
        <v>0.00339608463644042</v>
      </c>
      <c r="AO38" s="34" t="n">
        <v>0.0633928818807918</v>
      </c>
      <c r="AP38" s="34" t="n">
        <v>0.00803065925856986</v>
      </c>
      <c r="AQ38" s="34" t="n">
        <v>0.00308695869733424</v>
      </c>
      <c r="AR38" s="34" t="n">
        <v>0.0585358315600907</v>
      </c>
      <c r="AS38" s="34" t="n">
        <v>0.00687151653888774</v>
      </c>
      <c r="AT38" s="34" t="n">
        <v>0.0195390662108938</v>
      </c>
      <c r="AU38" s="34" t="n">
        <v>0.0121944527415235</v>
      </c>
      <c r="AV38" s="34" t="n">
        <v>0.00243762947144624</v>
      </c>
      <c r="AW38" s="34" t="n">
        <v>0.00142351717770603</v>
      </c>
      <c r="AX38" s="34" t="n">
        <v>0.00520049989581118</v>
      </c>
      <c r="AY38" s="34" t="n">
        <v>0.000369605181492407</v>
      </c>
      <c r="AZ38" s="34" t="n">
        <v>0.00315020358778673</v>
      </c>
      <c r="BA38" s="34" t="n">
        <v>0.00210536505533768</v>
      </c>
      <c r="BB38" s="34" t="n">
        <v>0.00110031451913334</v>
      </c>
      <c r="BC38" s="34" t="n">
        <v>0.00713324982231261</v>
      </c>
      <c r="BD38" s="34" t="n">
        <v>0.00180326273168154</v>
      </c>
      <c r="BE38" s="34" t="n">
        <v>0.0047410594918957</v>
      </c>
      <c r="BF38" s="34" t="n">
        <v>0.00106727792652018</v>
      </c>
      <c r="BG38" s="34" t="n">
        <v>0.00242765423436016</v>
      </c>
      <c r="BH38" s="34" t="n">
        <v>0.00127638914007519</v>
      </c>
      <c r="BI38" s="34" t="n">
        <v>0.00188907982190482</v>
      </c>
      <c r="BJ38" s="34" t="n">
        <v>0.00128469025001422</v>
      </c>
      <c r="BK38" s="34" t="n">
        <v>0.00919320214914563</v>
      </c>
      <c r="BL38" s="34" t="n">
        <v>0.000388194878072424</v>
      </c>
      <c r="BM38" s="34" t="n">
        <v>0.00818836066074452</v>
      </c>
      <c r="BN38" s="34" t="n">
        <v>0.00190174922928417</v>
      </c>
      <c r="BO38" s="34" t="n">
        <v>0.00091132615460294</v>
      </c>
      <c r="BP38" s="34" t="n">
        <v>0.0033636369284045</v>
      </c>
      <c r="BQ38" s="34" t="n">
        <v>0.00239500068192538</v>
      </c>
      <c r="BR38" s="34" t="n">
        <v>0.00077211023447185</v>
      </c>
      <c r="BS38" s="34" t="n">
        <v>0.00287148006498979</v>
      </c>
      <c r="BT38" s="34" t="n">
        <v>0</v>
      </c>
    </row>
    <row r="39" customFormat="false" ht="11.25" hidden="false" customHeight="true" outlineLevel="0" collapsed="false">
      <c r="B39" s="19" t="s">
        <v>129</v>
      </c>
      <c r="C39" s="20" t="s">
        <v>130</v>
      </c>
      <c r="D39" s="19" t="n">
        <v>33</v>
      </c>
      <c r="E39" s="33" t="n">
        <v>0.000290927484933493</v>
      </c>
      <c r="F39" s="33" t="n">
        <v>0.000121885706359181</v>
      </c>
      <c r="G39" s="33" t="n">
        <v>2.63073621696807E-005</v>
      </c>
      <c r="H39" s="33" t="n">
        <v>6.26568752145343E-005</v>
      </c>
      <c r="I39" s="33" t="n">
        <v>0.00028574488995588</v>
      </c>
      <c r="J39" s="33" t="n">
        <v>0.000286590684221287</v>
      </c>
      <c r="K39" s="33" t="n">
        <v>5.32056765125775E-005</v>
      </c>
      <c r="L39" s="33" t="n">
        <v>0.000559942593798299</v>
      </c>
      <c r="M39" s="33" t="n">
        <v>0.000435238298698167</v>
      </c>
      <c r="N39" s="33" t="n">
        <v>0.000676422068357252</v>
      </c>
      <c r="O39" s="33" t="n">
        <v>0.000183998497346039</v>
      </c>
      <c r="P39" s="33" t="n">
        <v>3.17521798223328E-005</v>
      </c>
      <c r="Q39" s="33" t="n">
        <v>0.00015312964948557</v>
      </c>
      <c r="R39" s="33" t="n">
        <v>0.000106162454604037</v>
      </c>
      <c r="S39" s="33" t="n">
        <v>0.000103018382328318</v>
      </c>
      <c r="T39" s="33" t="n">
        <v>5.57957545378222E-005</v>
      </c>
      <c r="U39" s="33" t="n">
        <v>0.00023994596434823</v>
      </c>
      <c r="V39" s="33" t="n">
        <v>4.55531018942362E-005</v>
      </c>
      <c r="W39" s="33" t="n">
        <v>0.000426632850443702</v>
      </c>
      <c r="X39" s="33" t="n">
        <v>7.49843943142E-005</v>
      </c>
      <c r="Y39" s="33" t="n">
        <v>0.000285923287232149</v>
      </c>
      <c r="Z39" s="33" t="n">
        <v>0.000304627853426475</v>
      </c>
      <c r="AA39" s="33" t="n">
        <v>0.000108607187813969</v>
      </c>
      <c r="AB39" s="33" t="n">
        <v>0.000214729972569039</v>
      </c>
      <c r="AC39" s="33" t="n">
        <v>0.000293911631786618</v>
      </c>
      <c r="AD39" s="33" t="n">
        <v>0.000276828163242025</v>
      </c>
      <c r="AE39" s="33" t="n">
        <v>0.000468367885336048</v>
      </c>
      <c r="AF39" s="33" t="n">
        <v>0.000156379023438239</v>
      </c>
      <c r="AG39" s="33" t="n">
        <v>0.000273082667891403</v>
      </c>
      <c r="AH39" s="33" t="n">
        <v>0.000392264129936133</v>
      </c>
      <c r="AI39" s="33" t="n">
        <v>0.000722389864184596</v>
      </c>
      <c r="AJ39" s="33" t="n">
        <v>0.00138282193293444</v>
      </c>
      <c r="AK39" s="33" t="n">
        <v>1.03565812413326</v>
      </c>
      <c r="AL39" s="33" t="n">
        <v>0.00113884821609582</v>
      </c>
      <c r="AM39" s="33" t="n">
        <v>0.000440502754407628</v>
      </c>
      <c r="AN39" s="33" t="n">
        <v>0.00014354704975206</v>
      </c>
      <c r="AO39" s="33" t="n">
        <v>0.000424510674271994</v>
      </c>
      <c r="AP39" s="33" t="n">
        <v>0.000657646638852579</v>
      </c>
      <c r="AQ39" s="33" t="n">
        <v>0.000197691355236257</v>
      </c>
      <c r="AR39" s="33" t="n">
        <v>0.00167585158502028</v>
      </c>
      <c r="AS39" s="33" t="n">
        <v>0.00248282610002244</v>
      </c>
      <c r="AT39" s="33" t="n">
        <v>0.00171663218616274</v>
      </c>
      <c r="AU39" s="33" t="n">
        <v>0.00514809842053384</v>
      </c>
      <c r="AV39" s="33" t="n">
        <v>3.08139338278817E-005</v>
      </c>
      <c r="AW39" s="33" t="n">
        <v>3.90227778689326E-005</v>
      </c>
      <c r="AX39" s="33" t="n">
        <v>0.000251130640543135</v>
      </c>
      <c r="AY39" s="33" t="n">
        <v>2.10540413224206E-005</v>
      </c>
      <c r="AZ39" s="33" t="n">
        <v>0.000188156303944541</v>
      </c>
      <c r="BA39" s="33" t="n">
        <v>7.86038742441144E-005</v>
      </c>
      <c r="BB39" s="33" t="n">
        <v>7.44127654047586E-005</v>
      </c>
      <c r="BC39" s="33" t="n">
        <v>0.000404180549825398</v>
      </c>
      <c r="BD39" s="33" t="n">
        <v>8.7796440501194E-005</v>
      </c>
      <c r="BE39" s="33" t="n">
        <v>0.000262907317078598</v>
      </c>
      <c r="BF39" s="33" t="n">
        <v>6.84401596469508E-005</v>
      </c>
      <c r="BG39" s="33" t="n">
        <v>0.000139768582854297</v>
      </c>
      <c r="BH39" s="33" t="n">
        <v>0.00040739980992026</v>
      </c>
      <c r="BI39" s="33" t="n">
        <v>0.00010113659014052</v>
      </c>
      <c r="BJ39" s="33" t="n">
        <v>0.000166904355136503</v>
      </c>
      <c r="BK39" s="33" t="n">
        <v>0.000176570819584533</v>
      </c>
      <c r="BL39" s="33" t="n">
        <v>3.32984184044548E-005</v>
      </c>
      <c r="BM39" s="33" t="n">
        <v>0.000773340171964496</v>
      </c>
      <c r="BN39" s="33" t="n">
        <v>0.000153429567932972</v>
      </c>
      <c r="BO39" s="33" t="n">
        <v>0.000115715617650957</v>
      </c>
      <c r="BP39" s="33" t="n">
        <v>0.00024501993774605</v>
      </c>
      <c r="BQ39" s="33" t="n">
        <v>0.000203820069984649</v>
      </c>
      <c r="BR39" s="33" t="n">
        <v>3.8447934130544E-005</v>
      </c>
      <c r="BS39" s="33" t="n">
        <v>0.000198549332788916</v>
      </c>
      <c r="BT39" s="33" t="n">
        <v>0</v>
      </c>
    </row>
    <row r="40" customFormat="false" ht="11.25" hidden="false" customHeight="true" outlineLevel="0" collapsed="false">
      <c r="B40" s="24" t="s">
        <v>131</v>
      </c>
      <c r="C40" s="25" t="s">
        <v>132</v>
      </c>
      <c r="D40" s="24" t="n">
        <v>34</v>
      </c>
      <c r="E40" s="34" t="n">
        <v>0.00557282340390373</v>
      </c>
      <c r="F40" s="34" t="n">
        <v>0.00229797509422821</v>
      </c>
      <c r="G40" s="34" t="n">
        <v>0.000563498903950809</v>
      </c>
      <c r="H40" s="34" t="n">
        <v>0.00116738724734581</v>
      </c>
      <c r="I40" s="34" t="n">
        <v>0.00610478115644691</v>
      </c>
      <c r="J40" s="34" t="n">
        <v>0.00504090942133291</v>
      </c>
      <c r="K40" s="34" t="n">
        <v>0.00112157975927684</v>
      </c>
      <c r="L40" s="34" t="n">
        <v>0.0120539065229664</v>
      </c>
      <c r="M40" s="34" t="n">
        <v>0.00320030341377806</v>
      </c>
      <c r="N40" s="34" t="n">
        <v>0.014613211923157</v>
      </c>
      <c r="O40" s="34" t="n">
        <v>0.00435143500739748</v>
      </c>
      <c r="P40" s="34" t="n">
        <v>0.000593320136648274</v>
      </c>
      <c r="Q40" s="34" t="n">
        <v>0.00248330799574099</v>
      </c>
      <c r="R40" s="34" t="n">
        <v>0.00189675327658113</v>
      </c>
      <c r="S40" s="34" t="n">
        <v>0.00210359685408169</v>
      </c>
      <c r="T40" s="34" t="n">
        <v>0.00116713600524681</v>
      </c>
      <c r="U40" s="34" t="n">
        <v>0.00472279771927881</v>
      </c>
      <c r="V40" s="34" t="n">
        <v>0.00102727652277586</v>
      </c>
      <c r="W40" s="34" t="n">
        <v>0.00844627792094882</v>
      </c>
      <c r="X40" s="34" t="n">
        <v>0.00145030077501095</v>
      </c>
      <c r="Y40" s="34" t="n">
        <v>0.00572890090019701</v>
      </c>
      <c r="Z40" s="34" t="n">
        <v>0.00383983057244742</v>
      </c>
      <c r="AA40" s="34" t="n">
        <v>0.00197283636965231</v>
      </c>
      <c r="AB40" s="34" t="n">
        <v>0.00327868211590809</v>
      </c>
      <c r="AC40" s="34" t="n">
        <v>0.00666761821298224</v>
      </c>
      <c r="AD40" s="34" t="n">
        <v>0.00516301401269727</v>
      </c>
      <c r="AE40" s="34" t="n">
        <v>0.00959638345133457</v>
      </c>
      <c r="AF40" s="34" t="n">
        <v>0.00332494327671729</v>
      </c>
      <c r="AG40" s="34" t="n">
        <v>0.006877644127833</v>
      </c>
      <c r="AH40" s="34" t="n">
        <v>0.00589615090380917</v>
      </c>
      <c r="AI40" s="34" t="n">
        <v>0.0072827508189222</v>
      </c>
      <c r="AJ40" s="34" t="n">
        <v>0.0203271388603987</v>
      </c>
      <c r="AK40" s="34" t="n">
        <v>0.490458562846549</v>
      </c>
      <c r="AL40" s="34" t="n">
        <v>1.12892590539215</v>
      </c>
      <c r="AM40" s="34" t="n">
        <v>0.00336789378661575</v>
      </c>
      <c r="AN40" s="34" t="n">
        <v>0.0029816338326836</v>
      </c>
      <c r="AO40" s="34" t="n">
        <v>0.00603048696994302</v>
      </c>
      <c r="AP40" s="34" t="n">
        <v>0.00549053408008096</v>
      </c>
      <c r="AQ40" s="34" t="n">
        <v>0.00263569812399937</v>
      </c>
      <c r="AR40" s="34" t="n">
        <v>0.0240365147366852</v>
      </c>
      <c r="AS40" s="34" t="n">
        <v>0.139788759962637</v>
      </c>
      <c r="AT40" s="34" t="n">
        <v>0.0330984140728062</v>
      </c>
      <c r="AU40" s="34" t="n">
        <v>0.135387615826451</v>
      </c>
      <c r="AV40" s="34" t="n">
        <v>0.000589984755517084</v>
      </c>
      <c r="AW40" s="34" t="n">
        <v>0.000933193525138065</v>
      </c>
      <c r="AX40" s="34" t="n">
        <v>0.00449234452721389</v>
      </c>
      <c r="AY40" s="34" t="n">
        <v>0.000326787105999263</v>
      </c>
      <c r="AZ40" s="34" t="n">
        <v>0.00394047366829381</v>
      </c>
      <c r="BA40" s="34" t="n">
        <v>0.00156406882619531</v>
      </c>
      <c r="BB40" s="34" t="n">
        <v>0.00129372404119484</v>
      </c>
      <c r="BC40" s="34" t="n">
        <v>0.00605839086242628</v>
      </c>
      <c r="BD40" s="34" t="n">
        <v>0.00118024626130137</v>
      </c>
      <c r="BE40" s="34" t="n">
        <v>0.00453010662474556</v>
      </c>
      <c r="BF40" s="34" t="n">
        <v>0.00085452351638548</v>
      </c>
      <c r="BG40" s="34" t="n">
        <v>0.00202599112983857</v>
      </c>
      <c r="BH40" s="34" t="n">
        <v>0.00207398993280347</v>
      </c>
      <c r="BI40" s="34" t="n">
        <v>0.001797357054322</v>
      </c>
      <c r="BJ40" s="34" t="n">
        <v>0.0035127449880202</v>
      </c>
      <c r="BK40" s="34" t="n">
        <v>0.00255079617392767</v>
      </c>
      <c r="BL40" s="34" t="n">
        <v>0.000482658001455027</v>
      </c>
      <c r="BM40" s="34" t="n">
        <v>0.0200310482698388</v>
      </c>
      <c r="BN40" s="34" t="n">
        <v>0.00525260515284814</v>
      </c>
      <c r="BO40" s="34" t="n">
        <v>0.00129549889600352</v>
      </c>
      <c r="BP40" s="34" t="n">
        <v>0.00519348652019115</v>
      </c>
      <c r="BQ40" s="34" t="n">
        <v>0.00299445195904019</v>
      </c>
      <c r="BR40" s="34" t="n">
        <v>0.000594537483146968</v>
      </c>
      <c r="BS40" s="34" t="n">
        <v>0.00311619866263594</v>
      </c>
      <c r="BT40" s="34" t="n">
        <v>0</v>
      </c>
    </row>
    <row r="41" customFormat="false" ht="11.25" hidden="false" customHeight="true" outlineLevel="0" collapsed="false">
      <c r="B41" s="19" t="s">
        <v>133</v>
      </c>
      <c r="C41" s="20" t="s">
        <v>134</v>
      </c>
      <c r="D41" s="19" t="n">
        <v>35</v>
      </c>
      <c r="E41" s="33" t="n">
        <v>0.00165305024730637</v>
      </c>
      <c r="F41" s="33" t="n">
        <v>0.000724026996712452</v>
      </c>
      <c r="G41" s="33" t="n">
        <v>0.000186445610745211</v>
      </c>
      <c r="H41" s="33" t="n">
        <v>0.00067300143571816</v>
      </c>
      <c r="I41" s="33" t="n">
        <v>0.00308808118500426</v>
      </c>
      <c r="J41" s="33" t="n">
        <v>0.00171801601020466</v>
      </c>
      <c r="K41" s="33" t="n">
        <v>0.000609093573102369</v>
      </c>
      <c r="L41" s="33" t="n">
        <v>0.00408204497637424</v>
      </c>
      <c r="M41" s="33" t="n">
        <v>0.00116442514687067</v>
      </c>
      <c r="N41" s="33" t="n">
        <v>0.00436098126643494</v>
      </c>
      <c r="O41" s="33" t="n">
        <v>0.00132357781890579</v>
      </c>
      <c r="P41" s="33" t="n">
        <v>0.000221923811518952</v>
      </c>
      <c r="Q41" s="33" t="n">
        <v>0.000973482656124071</v>
      </c>
      <c r="R41" s="33" t="n">
        <v>0.0009907989620969</v>
      </c>
      <c r="S41" s="33" t="n">
        <v>0.000801386125206466</v>
      </c>
      <c r="T41" s="33" t="n">
        <v>0.000576758541784698</v>
      </c>
      <c r="U41" s="33" t="n">
        <v>0.00283772132543514</v>
      </c>
      <c r="V41" s="33" t="n">
        <v>0.000977388647273741</v>
      </c>
      <c r="W41" s="33" t="n">
        <v>0.0038894320961065</v>
      </c>
      <c r="X41" s="33" t="n">
        <v>0.000701594401602687</v>
      </c>
      <c r="Y41" s="33" t="n">
        <v>0.00239040346623151</v>
      </c>
      <c r="Z41" s="33" t="n">
        <v>0.00158607096122617</v>
      </c>
      <c r="AA41" s="33" t="n">
        <v>0.000686685503704994</v>
      </c>
      <c r="AB41" s="33" t="n">
        <v>0.00131742807368546</v>
      </c>
      <c r="AC41" s="33" t="n">
        <v>0.00211406346371026</v>
      </c>
      <c r="AD41" s="33" t="n">
        <v>0.00270250062548677</v>
      </c>
      <c r="AE41" s="33" t="n">
        <v>0.0071826215772391</v>
      </c>
      <c r="AF41" s="33" t="n">
        <v>0.00200925011844943</v>
      </c>
      <c r="AG41" s="33" t="n">
        <v>0.00300132552253918</v>
      </c>
      <c r="AH41" s="33" t="n">
        <v>0.00109352678917238</v>
      </c>
      <c r="AI41" s="33" t="n">
        <v>0.00204940559308062</v>
      </c>
      <c r="AJ41" s="33" t="n">
        <v>0.00596092946305274</v>
      </c>
      <c r="AK41" s="33" t="n">
        <v>0.00587147962474455</v>
      </c>
      <c r="AL41" s="33" t="n">
        <v>0.00297054262858982</v>
      </c>
      <c r="AM41" s="33" t="n">
        <v>1.24362606384791</v>
      </c>
      <c r="AN41" s="33" t="n">
        <v>0.00164035187673526</v>
      </c>
      <c r="AO41" s="33" t="n">
        <v>0.0305648195473127</v>
      </c>
      <c r="AP41" s="33" t="n">
        <v>0.0021421122217559</v>
      </c>
      <c r="AQ41" s="33" t="n">
        <v>0.000895465633706513</v>
      </c>
      <c r="AR41" s="33" t="n">
        <v>0.00871464567017854</v>
      </c>
      <c r="AS41" s="33" t="n">
        <v>0.00446773464451258</v>
      </c>
      <c r="AT41" s="33" t="n">
        <v>0.00967614486589571</v>
      </c>
      <c r="AU41" s="33" t="n">
        <v>0.0271979165463016</v>
      </c>
      <c r="AV41" s="33" t="n">
        <v>0.000643991763843604</v>
      </c>
      <c r="AW41" s="33" t="n">
        <v>0.000586478081765999</v>
      </c>
      <c r="AX41" s="33" t="n">
        <v>0.00223295297051705</v>
      </c>
      <c r="AY41" s="33" t="n">
        <v>0.000122876230589323</v>
      </c>
      <c r="AZ41" s="33" t="n">
        <v>0.00132438123105627</v>
      </c>
      <c r="BA41" s="33" t="n">
        <v>0.00105119488372053</v>
      </c>
      <c r="BB41" s="33" t="n">
        <v>0.000503676250682219</v>
      </c>
      <c r="BC41" s="33" t="n">
        <v>0.00274597979274692</v>
      </c>
      <c r="BD41" s="33" t="n">
        <v>0.000725520413774021</v>
      </c>
      <c r="BE41" s="33" t="n">
        <v>0.00196285288902905</v>
      </c>
      <c r="BF41" s="33" t="n">
        <v>0.000363277334116883</v>
      </c>
      <c r="BG41" s="33" t="n">
        <v>0.00110563793863749</v>
      </c>
      <c r="BH41" s="33" t="n">
        <v>0.000925860412087776</v>
      </c>
      <c r="BI41" s="33" t="n">
        <v>0.000877425086799595</v>
      </c>
      <c r="BJ41" s="33" t="n">
        <v>0.000657256308992696</v>
      </c>
      <c r="BK41" s="33" t="n">
        <v>0.00131215963452117</v>
      </c>
      <c r="BL41" s="33" t="n">
        <v>0.000171665661582417</v>
      </c>
      <c r="BM41" s="33" t="n">
        <v>0.0074131239215304</v>
      </c>
      <c r="BN41" s="33" t="n">
        <v>0.000733878731522678</v>
      </c>
      <c r="BO41" s="33" t="n">
        <v>0.000540222524552003</v>
      </c>
      <c r="BP41" s="33" t="n">
        <v>0.00111202300883346</v>
      </c>
      <c r="BQ41" s="33" t="n">
        <v>0.00128419457069997</v>
      </c>
      <c r="BR41" s="33" t="n">
        <v>0.000376235733988396</v>
      </c>
      <c r="BS41" s="33" t="n">
        <v>0.00251214155367065</v>
      </c>
      <c r="BT41" s="33" t="n">
        <v>0</v>
      </c>
    </row>
    <row r="42" customFormat="false" ht="11.25" hidden="false" customHeight="true" outlineLevel="0" collapsed="false">
      <c r="B42" s="24" t="s">
        <v>135</v>
      </c>
      <c r="C42" s="25" t="s">
        <v>136</v>
      </c>
      <c r="D42" s="24" t="n">
        <v>36</v>
      </c>
      <c r="E42" s="34" t="n">
        <v>0.00185066589811721</v>
      </c>
      <c r="F42" s="34" t="n">
        <v>0.000939273488901788</v>
      </c>
      <c r="G42" s="34" t="n">
        <v>0.000198192635197134</v>
      </c>
      <c r="H42" s="34" t="n">
        <v>0.000373306878705446</v>
      </c>
      <c r="I42" s="34" t="n">
        <v>0.00287943210952877</v>
      </c>
      <c r="J42" s="34" t="n">
        <v>0.00122125440894342</v>
      </c>
      <c r="K42" s="34" t="n">
        <v>0.000324047336833209</v>
      </c>
      <c r="L42" s="34" t="n">
        <v>0.0044663405961297</v>
      </c>
      <c r="M42" s="34" t="n">
        <v>0.000878815217717286</v>
      </c>
      <c r="N42" s="34" t="n">
        <v>0.00520754556191953</v>
      </c>
      <c r="O42" s="34" t="n">
        <v>0.00197110709940537</v>
      </c>
      <c r="P42" s="34" t="n">
        <v>0.00027024230993398</v>
      </c>
      <c r="Q42" s="34" t="n">
        <v>0.00181883704400155</v>
      </c>
      <c r="R42" s="34" t="n">
        <v>0.015371369660569</v>
      </c>
      <c r="S42" s="34" t="n">
        <v>0.00412629545574981</v>
      </c>
      <c r="T42" s="34" t="n">
        <v>0.000757511529246222</v>
      </c>
      <c r="U42" s="34" t="n">
        <v>0.00220562150154864</v>
      </c>
      <c r="V42" s="34" t="n">
        <v>0.000644650089631553</v>
      </c>
      <c r="W42" s="34" t="n">
        <v>0.00345575250944233</v>
      </c>
      <c r="X42" s="34" t="n">
        <v>0.000497303646657406</v>
      </c>
      <c r="Y42" s="34" t="n">
        <v>0.00292411433461935</v>
      </c>
      <c r="Z42" s="34" t="n">
        <v>0.00211068608252674</v>
      </c>
      <c r="AA42" s="34" t="n">
        <v>0.000977526034164431</v>
      </c>
      <c r="AB42" s="34" t="n">
        <v>0.00160211243242476</v>
      </c>
      <c r="AC42" s="34" t="n">
        <v>0.00470094469845332</v>
      </c>
      <c r="AD42" s="34" t="n">
        <v>0.00331871819199117</v>
      </c>
      <c r="AE42" s="34" t="n">
        <v>0.00311213030475471</v>
      </c>
      <c r="AF42" s="34" t="n">
        <v>0.00103599203506626</v>
      </c>
      <c r="AG42" s="34" t="n">
        <v>0.00260773154746516</v>
      </c>
      <c r="AH42" s="34" t="n">
        <v>0.00188514383232692</v>
      </c>
      <c r="AI42" s="34" t="n">
        <v>0.00234567496465685</v>
      </c>
      <c r="AJ42" s="34" t="n">
        <v>0.0104211507107377</v>
      </c>
      <c r="AK42" s="34" t="n">
        <v>0.0119436023466238</v>
      </c>
      <c r="AL42" s="34" t="n">
        <v>0.0103794255545592</v>
      </c>
      <c r="AM42" s="34" t="n">
        <v>0.00201689165907618</v>
      </c>
      <c r="AN42" s="34" t="n">
        <v>1.03177107937216</v>
      </c>
      <c r="AO42" s="34" t="n">
        <v>0.00279339108555066</v>
      </c>
      <c r="AP42" s="34" t="n">
        <v>0.00233834364213691</v>
      </c>
      <c r="AQ42" s="34" t="n">
        <v>0.00116968671429063</v>
      </c>
      <c r="AR42" s="34" t="n">
        <v>0.0210871969349905</v>
      </c>
      <c r="AS42" s="34" t="n">
        <v>0.0028207532619219</v>
      </c>
      <c r="AT42" s="34" t="n">
        <v>0.0117268331324066</v>
      </c>
      <c r="AU42" s="34" t="n">
        <v>0.00482214412754938</v>
      </c>
      <c r="AV42" s="34" t="n">
        <v>0.00124458666887703</v>
      </c>
      <c r="AW42" s="34" t="n">
        <v>0.000564678024533939</v>
      </c>
      <c r="AX42" s="34" t="n">
        <v>0.00260723373033172</v>
      </c>
      <c r="AY42" s="34" t="n">
        <v>0.000258010190373527</v>
      </c>
      <c r="AZ42" s="34" t="n">
        <v>0.00176257626447611</v>
      </c>
      <c r="BA42" s="34" t="n">
        <v>0.000771258166718292</v>
      </c>
      <c r="BB42" s="34" t="n">
        <v>0.00138625333467759</v>
      </c>
      <c r="BC42" s="34" t="n">
        <v>0.00372684762655746</v>
      </c>
      <c r="BD42" s="34" t="n">
        <v>0.00139381117786157</v>
      </c>
      <c r="BE42" s="34" t="n">
        <v>0.00548301174813435</v>
      </c>
      <c r="BF42" s="34" t="n">
        <v>0.00155104112176315</v>
      </c>
      <c r="BG42" s="34" t="n">
        <v>0.00327424442697542</v>
      </c>
      <c r="BH42" s="34" t="n">
        <v>0.00410809535561338</v>
      </c>
      <c r="BI42" s="34" t="n">
        <v>0.00385316753432409</v>
      </c>
      <c r="BJ42" s="34" t="n">
        <v>0.0045294276209415</v>
      </c>
      <c r="BK42" s="34" t="n">
        <v>0.0030645223590306</v>
      </c>
      <c r="BL42" s="34" t="n">
        <v>0.000318121433536566</v>
      </c>
      <c r="BM42" s="34" t="n">
        <v>0.0102346226491137</v>
      </c>
      <c r="BN42" s="34" t="n">
        <v>0.0108514287367543</v>
      </c>
      <c r="BO42" s="34" t="n">
        <v>0.000877827561831192</v>
      </c>
      <c r="BP42" s="34" t="n">
        <v>0.0239341668534582</v>
      </c>
      <c r="BQ42" s="34" t="n">
        <v>0.0881386838855422</v>
      </c>
      <c r="BR42" s="34" t="n">
        <v>0.00189242209139862</v>
      </c>
      <c r="BS42" s="34" t="n">
        <v>0.00254206004282401</v>
      </c>
      <c r="BT42" s="34" t="n">
        <v>0</v>
      </c>
    </row>
    <row r="43" customFormat="false" ht="11.25" hidden="false" customHeight="true" outlineLevel="0" collapsed="false">
      <c r="B43" s="19" t="s">
        <v>137</v>
      </c>
      <c r="C43" s="20" t="s">
        <v>138</v>
      </c>
      <c r="D43" s="19" t="n">
        <v>37</v>
      </c>
      <c r="E43" s="33" t="n">
        <v>0.0195453392656364</v>
      </c>
      <c r="F43" s="33" t="n">
        <v>0.0090126007919967</v>
      </c>
      <c r="G43" s="33" t="n">
        <v>0.00270187651675036</v>
      </c>
      <c r="H43" s="33" t="n">
        <v>0.0147242755919198</v>
      </c>
      <c r="I43" s="33" t="n">
        <v>0.0567085611872827</v>
      </c>
      <c r="J43" s="33" t="n">
        <v>0.025824898343796</v>
      </c>
      <c r="K43" s="33" t="n">
        <v>0.0123578676830059</v>
      </c>
      <c r="L43" s="33" t="n">
        <v>0.0427846051910466</v>
      </c>
      <c r="M43" s="33" t="n">
        <v>0.0170978159752033</v>
      </c>
      <c r="N43" s="33" t="n">
        <v>0.0404743613338691</v>
      </c>
      <c r="O43" s="33" t="n">
        <v>0.0156563080539942</v>
      </c>
      <c r="P43" s="33" t="n">
        <v>0.00251321369092125</v>
      </c>
      <c r="Q43" s="33" t="n">
        <v>0.013240142104534</v>
      </c>
      <c r="R43" s="33" t="n">
        <v>0.0152259927577657</v>
      </c>
      <c r="S43" s="33" t="n">
        <v>0.00869543256442878</v>
      </c>
      <c r="T43" s="33" t="n">
        <v>0.0102258543285181</v>
      </c>
      <c r="U43" s="33" t="n">
        <v>0.0550568129244986</v>
      </c>
      <c r="V43" s="33" t="n">
        <v>0.0248498972710602</v>
      </c>
      <c r="W43" s="33" t="n">
        <v>0.0666012372935299</v>
      </c>
      <c r="X43" s="33" t="n">
        <v>0.0122381992506766</v>
      </c>
      <c r="Y43" s="33" t="n">
        <v>0.0372753124396992</v>
      </c>
      <c r="Z43" s="33" t="n">
        <v>0.0226677137677997</v>
      </c>
      <c r="AA43" s="33" t="n">
        <v>0.00829204987277675</v>
      </c>
      <c r="AB43" s="33" t="n">
        <v>0.0156631302645892</v>
      </c>
      <c r="AC43" s="33" t="n">
        <v>0.025460540676732</v>
      </c>
      <c r="AD43" s="33" t="n">
        <v>0.0546897992767117</v>
      </c>
      <c r="AE43" s="33" t="n">
        <v>0.163010803697535</v>
      </c>
      <c r="AF43" s="33" t="n">
        <v>0.0457926907619011</v>
      </c>
      <c r="AG43" s="33" t="n">
        <v>0.0494427751131516</v>
      </c>
      <c r="AH43" s="33" t="n">
        <v>0.0110715348964228</v>
      </c>
      <c r="AI43" s="33" t="n">
        <v>0.0307112770329251</v>
      </c>
      <c r="AJ43" s="33" t="n">
        <v>0.0621736807025602</v>
      </c>
      <c r="AK43" s="33" t="n">
        <v>0.0515824530326972</v>
      </c>
      <c r="AL43" s="33" t="n">
        <v>0.0435924440436687</v>
      </c>
      <c r="AM43" s="33" t="n">
        <v>0.0147486483756667</v>
      </c>
      <c r="AN43" s="33" t="n">
        <v>0.0209864322153272</v>
      </c>
      <c r="AO43" s="33" t="n">
        <v>1.02076786942518</v>
      </c>
      <c r="AP43" s="33" t="n">
        <v>0.0390458611253194</v>
      </c>
      <c r="AQ43" s="33" t="n">
        <v>0.0195360409173597</v>
      </c>
      <c r="AR43" s="33" t="n">
        <v>0.144938732110061</v>
      </c>
      <c r="AS43" s="33" t="n">
        <v>0.0211637856846612</v>
      </c>
      <c r="AT43" s="33" t="n">
        <v>0.109483076027101</v>
      </c>
      <c r="AU43" s="33" t="n">
        <v>0.0425408987881055</v>
      </c>
      <c r="AV43" s="33" t="n">
        <v>0.0163141683354913</v>
      </c>
      <c r="AW43" s="33" t="n">
        <v>0.0122285925205933</v>
      </c>
      <c r="AX43" s="33" t="n">
        <v>0.0446170058129644</v>
      </c>
      <c r="AY43" s="33" t="n">
        <v>0.00154785029326056</v>
      </c>
      <c r="AZ43" s="33" t="n">
        <v>0.0159451942220938</v>
      </c>
      <c r="BA43" s="33" t="n">
        <v>0.0213810358095776</v>
      </c>
      <c r="BB43" s="33" t="n">
        <v>0.00687417897005445</v>
      </c>
      <c r="BC43" s="33" t="n">
        <v>0.0361863117889136</v>
      </c>
      <c r="BD43" s="33" t="n">
        <v>0.0134377431679683</v>
      </c>
      <c r="BE43" s="33" t="n">
        <v>0.0301240837893992</v>
      </c>
      <c r="BF43" s="33" t="n">
        <v>0.00585631870438049</v>
      </c>
      <c r="BG43" s="33" t="n">
        <v>0.0195915299238535</v>
      </c>
      <c r="BH43" s="33" t="n">
        <v>0.00638447308219553</v>
      </c>
      <c r="BI43" s="33" t="n">
        <v>0.0146472496834015</v>
      </c>
      <c r="BJ43" s="33" t="n">
        <v>0.0136015950723148</v>
      </c>
      <c r="BK43" s="33" t="n">
        <v>0.0232107805793062</v>
      </c>
      <c r="BL43" s="33" t="n">
        <v>0.00364534430441532</v>
      </c>
      <c r="BM43" s="33" t="n">
        <v>0.0395536500004741</v>
      </c>
      <c r="BN43" s="33" t="n">
        <v>0.00945629254169951</v>
      </c>
      <c r="BO43" s="33" t="n">
        <v>0.00510892048455699</v>
      </c>
      <c r="BP43" s="33" t="n">
        <v>0.0188873640081656</v>
      </c>
      <c r="BQ43" s="33" t="n">
        <v>0.0179258796805457</v>
      </c>
      <c r="BR43" s="33" t="n">
        <v>0.00722936620346912</v>
      </c>
      <c r="BS43" s="33" t="n">
        <v>0.0193971482697814</v>
      </c>
      <c r="BT43" s="33" t="n">
        <v>0</v>
      </c>
    </row>
    <row r="44" customFormat="false" ht="11.25" hidden="false" customHeight="true" outlineLevel="0" collapsed="false">
      <c r="B44" s="24" t="s">
        <v>139</v>
      </c>
      <c r="C44" s="25" t="s">
        <v>140</v>
      </c>
      <c r="D44" s="24" t="n">
        <v>38</v>
      </c>
      <c r="E44" s="34" t="n">
        <v>0.0500250995431303</v>
      </c>
      <c r="F44" s="34" t="n">
        <v>0.0305101542424336</v>
      </c>
      <c r="G44" s="34" t="n">
        <v>0.00254451607780828</v>
      </c>
      <c r="H44" s="34" t="n">
        <v>0.00535064533506435</v>
      </c>
      <c r="I44" s="34" t="n">
        <v>0.00755485150098978</v>
      </c>
      <c r="J44" s="34" t="n">
        <v>0.00843937337153945</v>
      </c>
      <c r="K44" s="34" t="n">
        <v>0.00297806536511122</v>
      </c>
      <c r="L44" s="34" t="n">
        <v>0.0472684264058202</v>
      </c>
      <c r="M44" s="34" t="n">
        <v>0.00923606900210276</v>
      </c>
      <c r="N44" s="34" t="n">
        <v>0.0483127088380841</v>
      </c>
      <c r="O44" s="34" t="n">
        <v>0.00992963467229341</v>
      </c>
      <c r="P44" s="34" t="n">
        <v>0.00282993629093484</v>
      </c>
      <c r="Q44" s="34" t="n">
        <v>0.0200455080429903</v>
      </c>
      <c r="R44" s="34" t="n">
        <v>0.00929883838781608</v>
      </c>
      <c r="S44" s="34" t="n">
        <v>0.00749988720756197</v>
      </c>
      <c r="T44" s="34" t="n">
        <v>0.00668410683456999</v>
      </c>
      <c r="U44" s="34" t="n">
        <v>0.0257922287462101</v>
      </c>
      <c r="V44" s="34" t="n">
        <v>0.00294851637008476</v>
      </c>
      <c r="W44" s="34" t="n">
        <v>0.0141157834584748</v>
      </c>
      <c r="X44" s="34" t="n">
        <v>0.00590866024120467</v>
      </c>
      <c r="Y44" s="34" t="n">
        <v>0.03929672756429</v>
      </c>
      <c r="Z44" s="34" t="n">
        <v>0.0137933522335514</v>
      </c>
      <c r="AA44" s="34" t="n">
        <v>0.00504176782868824</v>
      </c>
      <c r="AB44" s="34" t="n">
        <v>0.00726149889256913</v>
      </c>
      <c r="AC44" s="34" t="n">
        <v>0.0265779013955536</v>
      </c>
      <c r="AD44" s="34" t="n">
        <v>0.0323077910511889</v>
      </c>
      <c r="AE44" s="34" t="n">
        <v>0.0441908702548727</v>
      </c>
      <c r="AF44" s="34" t="n">
        <v>0.0225505613681651</v>
      </c>
      <c r="AG44" s="34" t="n">
        <v>0.0220617673664203</v>
      </c>
      <c r="AH44" s="34" t="n">
        <v>0.00708335594492163</v>
      </c>
      <c r="AI44" s="34" t="n">
        <v>0.0160936757841073</v>
      </c>
      <c r="AJ44" s="34" t="n">
        <v>0.0224477366260597</v>
      </c>
      <c r="AK44" s="34" t="n">
        <v>0.0264167679984962</v>
      </c>
      <c r="AL44" s="34" t="n">
        <v>0.0227201319537344</v>
      </c>
      <c r="AM44" s="34" t="n">
        <v>0.00552384532465516</v>
      </c>
      <c r="AN44" s="34" t="n">
        <v>0.00936150319398767</v>
      </c>
      <c r="AO44" s="34" t="n">
        <v>0.00525957012996018</v>
      </c>
      <c r="AP44" s="34" t="n">
        <v>1.33216489145892</v>
      </c>
      <c r="AQ44" s="34" t="n">
        <v>0.0240205867884674</v>
      </c>
      <c r="AR44" s="34" t="n">
        <v>0.0555658935314494</v>
      </c>
      <c r="AS44" s="34" t="n">
        <v>0.0140752012382166</v>
      </c>
      <c r="AT44" s="34" t="n">
        <v>0.117875208349311</v>
      </c>
      <c r="AU44" s="34" t="n">
        <v>0.020740125102065</v>
      </c>
      <c r="AV44" s="34" t="n">
        <v>0.000960151822554515</v>
      </c>
      <c r="AW44" s="34" t="n">
        <v>0.00166493536431446</v>
      </c>
      <c r="AX44" s="34" t="n">
        <v>0.00865283256398607</v>
      </c>
      <c r="AY44" s="34" t="n">
        <v>0.00710477814376559</v>
      </c>
      <c r="AZ44" s="34" t="n">
        <v>0.017075358412214</v>
      </c>
      <c r="BA44" s="34" t="n">
        <v>0.00505480104477409</v>
      </c>
      <c r="BB44" s="34" t="n">
        <v>0.00580199110645777</v>
      </c>
      <c r="BC44" s="34" t="n">
        <v>0.0334735730161462</v>
      </c>
      <c r="BD44" s="34" t="n">
        <v>0.00538992250981267</v>
      </c>
      <c r="BE44" s="34" t="n">
        <v>0.027972006681613</v>
      </c>
      <c r="BF44" s="34" t="n">
        <v>0.00488934641021762</v>
      </c>
      <c r="BG44" s="34" t="n">
        <v>0.0101756086516783</v>
      </c>
      <c r="BH44" s="34" t="n">
        <v>0.00330754996178195</v>
      </c>
      <c r="BI44" s="34" t="n">
        <v>0.00767544050873159</v>
      </c>
      <c r="BJ44" s="34" t="n">
        <v>0.00183993973167945</v>
      </c>
      <c r="BK44" s="34" t="n">
        <v>0.0332813547608588</v>
      </c>
      <c r="BL44" s="34" t="n">
        <v>0.000923459387005649</v>
      </c>
      <c r="BM44" s="34" t="n">
        <v>0.0467765818669897</v>
      </c>
      <c r="BN44" s="34" t="n">
        <v>0.0150286229801813</v>
      </c>
      <c r="BO44" s="34" t="n">
        <v>0.0132706704799527</v>
      </c>
      <c r="BP44" s="34" t="n">
        <v>0.0122896773056473</v>
      </c>
      <c r="BQ44" s="34" t="n">
        <v>0.0149316017724955</v>
      </c>
      <c r="BR44" s="34" t="n">
        <v>0.00497328231981869</v>
      </c>
      <c r="BS44" s="34" t="n">
        <v>0.0268920811713255</v>
      </c>
      <c r="BT44" s="34" t="n">
        <v>0</v>
      </c>
    </row>
    <row r="45" customFormat="false" ht="11.25" hidden="false" customHeight="true" outlineLevel="0" collapsed="false">
      <c r="B45" s="19" t="s">
        <v>141</v>
      </c>
      <c r="C45" s="20" t="s">
        <v>142</v>
      </c>
      <c r="D45" s="19" t="n">
        <v>39</v>
      </c>
      <c r="E45" s="33" t="n">
        <v>0.00740363322340285</v>
      </c>
      <c r="F45" s="33" t="n">
        <v>0.00333985772014071</v>
      </c>
      <c r="G45" s="33" t="n">
        <v>0.000382975063218785</v>
      </c>
      <c r="H45" s="33" t="n">
        <v>0.0017138805784842</v>
      </c>
      <c r="I45" s="33" t="n">
        <v>0.00714163216699885</v>
      </c>
      <c r="J45" s="33" t="n">
        <v>0.00453520873468387</v>
      </c>
      <c r="K45" s="33" t="n">
        <v>0.00155616475933422</v>
      </c>
      <c r="L45" s="33" t="n">
        <v>0.0182889556378274</v>
      </c>
      <c r="M45" s="33" t="n">
        <v>0.00409521027516871</v>
      </c>
      <c r="N45" s="33" t="n">
        <v>0.0214018849533045</v>
      </c>
      <c r="O45" s="33" t="n">
        <v>0.0101747050935872</v>
      </c>
      <c r="P45" s="33" t="n">
        <v>0.0010770641349185</v>
      </c>
      <c r="Q45" s="33" t="n">
        <v>0.00538297226109383</v>
      </c>
      <c r="R45" s="33" t="n">
        <v>0.0039198782066254</v>
      </c>
      <c r="S45" s="33" t="n">
        <v>0.00368017429143866</v>
      </c>
      <c r="T45" s="33" t="n">
        <v>0.00378747644513916</v>
      </c>
      <c r="U45" s="33" t="n">
        <v>0.0127730131452965</v>
      </c>
      <c r="V45" s="33" t="n">
        <v>0.00167309629360651</v>
      </c>
      <c r="W45" s="33" t="n">
        <v>0.0147699507497075</v>
      </c>
      <c r="X45" s="33" t="n">
        <v>0.00228741108743882</v>
      </c>
      <c r="Y45" s="33" t="n">
        <v>0.0151936552626373</v>
      </c>
      <c r="Z45" s="33" t="n">
        <v>0.0102983390976598</v>
      </c>
      <c r="AA45" s="33" t="n">
        <v>0.00436296462223306</v>
      </c>
      <c r="AB45" s="33" t="n">
        <v>0.00519624527825225</v>
      </c>
      <c r="AC45" s="33" t="n">
        <v>0.017013398671126</v>
      </c>
      <c r="AD45" s="33" t="n">
        <v>0.0181042587125406</v>
      </c>
      <c r="AE45" s="33" t="n">
        <v>0.0955042571141923</v>
      </c>
      <c r="AF45" s="33" t="n">
        <v>0.0390052317388105</v>
      </c>
      <c r="AG45" s="33" t="n">
        <v>0.02576326489637</v>
      </c>
      <c r="AH45" s="33" t="n">
        <v>0.00558316261096783</v>
      </c>
      <c r="AI45" s="33" t="n">
        <v>0.0156050130431626</v>
      </c>
      <c r="AJ45" s="33" t="n">
        <v>0.0230344481012139</v>
      </c>
      <c r="AK45" s="33" t="n">
        <v>0.0282036358560386</v>
      </c>
      <c r="AL45" s="33" t="n">
        <v>0.0239890749074597</v>
      </c>
      <c r="AM45" s="33" t="n">
        <v>0.00666690375148165</v>
      </c>
      <c r="AN45" s="33" t="n">
        <v>0.00734662642992881</v>
      </c>
      <c r="AO45" s="33" t="n">
        <v>0.00532795157567223</v>
      </c>
      <c r="AP45" s="33" t="n">
        <v>0.00744376928372496</v>
      </c>
      <c r="AQ45" s="33" t="n">
        <v>1.00934043247964</v>
      </c>
      <c r="AR45" s="33" t="n">
        <v>0.0547494180452631</v>
      </c>
      <c r="AS45" s="33" t="n">
        <v>0.0126906374065314</v>
      </c>
      <c r="AT45" s="33" t="n">
        <v>0.0747871212737226</v>
      </c>
      <c r="AU45" s="33" t="n">
        <v>0.0186950343975866</v>
      </c>
      <c r="AV45" s="33" t="n">
        <v>0.000928249579903377</v>
      </c>
      <c r="AW45" s="33" t="n">
        <v>0.0016940987479937</v>
      </c>
      <c r="AX45" s="33" t="n">
        <v>0.011159091707114</v>
      </c>
      <c r="AY45" s="33" t="n">
        <v>0.00559312161710556</v>
      </c>
      <c r="AZ45" s="33" t="n">
        <v>0.0184012312515653</v>
      </c>
      <c r="BA45" s="33" t="n">
        <v>0.00344158414543316</v>
      </c>
      <c r="BB45" s="33" t="n">
        <v>0.00355650567861155</v>
      </c>
      <c r="BC45" s="33" t="n">
        <v>0.0187819321539751</v>
      </c>
      <c r="BD45" s="33" t="n">
        <v>0.00453860963281303</v>
      </c>
      <c r="BE45" s="33" t="n">
        <v>0.0230886988937069</v>
      </c>
      <c r="BF45" s="33" t="n">
        <v>0.00576214354066881</v>
      </c>
      <c r="BG45" s="33" t="n">
        <v>0.0117733150834105</v>
      </c>
      <c r="BH45" s="33" t="n">
        <v>0.00273172220433991</v>
      </c>
      <c r="BI45" s="33" t="n">
        <v>0.00487020383620706</v>
      </c>
      <c r="BJ45" s="33" t="n">
        <v>0.00185453548985402</v>
      </c>
      <c r="BK45" s="33" t="n">
        <v>0.0602104849141411</v>
      </c>
      <c r="BL45" s="33" t="n">
        <v>0.000945595670338985</v>
      </c>
      <c r="BM45" s="33" t="n">
        <v>0.169983907923628</v>
      </c>
      <c r="BN45" s="33" t="n">
        <v>0.0255310643462701</v>
      </c>
      <c r="BO45" s="33" t="n">
        <v>0.0057458057034293</v>
      </c>
      <c r="BP45" s="33" t="n">
        <v>0.0244487769937747</v>
      </c>
      <c r="BQ45" s="33" t="n">
        <v>0.0278718582491595</v>
      </c>
      <c r="BR45" s="33" t="n">
        <v>0.00252003012506218</v>
      </c>
      <c r="BS45" s="33" t="n">
        <v>0.0399071230166262</v>
      </c>
      <c r="BT45" s="33" t="n">
        <v>0</v>
      </c>
    </row>
    <row r="46" customFormat="false" ht="11.25" hidden="false" customHeight="true" outlineLevel="0" collapsed="false">
      <c r="B46" s="24" t="s">
        <v>143</v>
      </c>
      <c r="C46" s="25" t="s">
        <v>144</v>
      </c>
      <c r="D46" s="24" t="n">
        <v>40</v>
      </c>
      <c r="E46" s="34" t="n">
        <v>0.000787839138624061</v>
      </c>
      <c r="F46" s="34" t="n">
        <v>0.000588895840060025</v>
      </c>
      <c r="G46" s="34" t="n">
        <v>6.00979913654601E-005</v>
      </c>
      <c r="H46" s="34" t="n">
        <v>0.000125090582190658</v>
      </c>
      <c r="I46" s="34" t="n">
        <v>0.00556560283991789</v>
      </c>
      <c r="J46" s="34" t="n">
        <v>0.00257588736629108</v>
      </c>
      <c r="K46" s="34" t="n">
        <v>0.000613098272229854</v>
      </c>
      <c r="L46" s="34" t="n">
        <v>0.00169692575324894</v>
      </c>
      <c r="M46" s="34" t="n">
        <v>0.000395363460128507</v>
      </c>
      <c r="N46" s="34" t="n">
        <v>0.00170615800408889</v>
      </c>
      <c r="O46" s="34" t="n">
        <v>0.00051629554623068</v>
      </c>
      <c r="P46" s="34" t="n">
        <v>0.000106574190770817</v>
      </c>
      <c r="Q46" s="34" t="n">
        <v>0.00043884924768646</v>
      </c>
      <c r="R46" s="34" t="n">
        <v>0.000345035333743051</v>
      </c>
      <c r="S46" s="34" t="n">
        <v>0.00029679597567225</v>
      </c>
      <c r="T46" s="34" t="n">
        <v>0.000143728900963846</v>
      </c>
      <c r="U46" s="34" t="n">
        <v>0.000784184558706022</v>
      </c>
      <c r="V46" s="34" t="n">
        <v>0.000183991572452002</v>
      </c>
      <c r="W46" s="34" t="n">
        <v>0.00481791185939707</v>
      </c>
      <c r="X46" s="34" t="n">
        <v>0.000258068822223435</v>
      </c>
      <c r="Y46" s="34" t="n">
        <v>0.00105569214197668</v>
      </c>
      <c r="Z46" s="34" t="n">
        <v>0.000612341184606558</v>
      </c>
      <c r="AA46" s="34" t="n">
        <v>0.000238047929105998</v>
      </c>
      <c r="AB46" s="34" t="n">
        <v>0.000441570402812379</v>
      </c>
      <c r="AC46" s="34" t="n">
        <v>0.000789437376829229</v>
      </c>
      <c r="AD46" s="34" t="n">
        <v>0.000759265906553038</v>
      </c>
      <c r="AE46" s="34" t="n">
        <v>0.00263736489631069</v>
      </c>
      <c r="AF46" s="34" t="n">
        <v>0.00346386052916656</v>
      </c>
      <c r="AG46" s="34" t="n">
        <v>0.00115834904664068</v>
      </c>
      <c r="AH46" s="34" t="n">
        <v>0.000642307240493244</v>
      </c>
      <c r="AI46" s="34" t="n">
        <v>0.00116031456256338</v>
      </c>
      <c r="AJ46" s="34" t="n">
        <v>0.00154373838060699</v>
      </c>
      <c r="AK46" s="34" t="n">
        <v>0.00231337158358736</v>
      </c>
      <c r="AL46" s="34" t="n">
        <v>0.00128940403196984</v>
      </c>
      <c r="AM46" s="34" t="n">
        <v>0.000979989727240008</v>
      </c>
      <c r="AN46" s="34" t="n">
        <v>0.000496385077786011</v>
      </c>
      <c r="AO46" s="34" t="n">
        <v>0.00036552130242624</v>
      </c>
      <c r="AP46" s="34" t="n">
        <v>0.00108456310079968</v>
      </c>
      <c r="AQ46" s="34" t="n">
        <v>0.00903932895861642</v>
      </c>
      <c r="AR46" s="34" t="n">
        <v>1.11073886164769</v>
      </c>
      <c r="AS46" s="34" t="n">
        <v>0.00180306339579716</v>
      </c>
      <c r="AT46" s="34" t="n">
        <v>0.00608454557434574</v>
      </c>
      <c r="AU46" s="34" t="n">
        <v>0.0029417476265647</v>
      </c>
      <c r="AV46" s="34" t="n">
        <v>0.000163290338284086</v>
      </c>
      <c r="AW46" s="34" t="n">
        <v>0.000308529650296949</v>
      </c>
      <c r="AX46" s="34" t="n">
        <v>0.00262406765434013</v>
      </c>
      <c r="AY46" s="34" t="n">
        <v>0.000596944077553166</v>
      </c>
      <c r="AZ46" s="34" t="n">
        <v>0.00121430226660231</v>
      </c>
      <c r="BA46" s="34" t="n">
        <v>0.000319193187689021</v>
      </c>
      <c r="BB46" s="34" t="n">
        <v>0.000873927811950229</v>
      </c>
      <c r="BC46" s="34" t="n">
        <v>0.0112732575863154</v>
      </c>
      <c r="BD46" s="34" t="n">
        <v>0.00188134608128039</v>
      </c>
      <c r="BE46" s="34" t="n">
        <v>0.00548087500144405</v>
      </c>
      <c r="BF46" s="34" t="n">
        <v>0.00290337739091598</v>
      </c>
      <c r="BG46" s="34" t="n">
        <v>0.00119621296306577</v>
      </c>
      <c r="BH46" s="34" t="n">
        <v>0.00147474564976288</v>
      </c>
      <c r="BI46" s="34" t="n">
        <v>0.000994396539160446</v>
      </c>
      <c r="BJ46" s="34" t="n">
        <v>0.000482381081060645</v>
      </c>
      <c r="BK46" s="34" t="n">
        <v>0.00493965471032928</v>
      </c>
      <c r="BL46" s="34" t="n">
        <v>9.49249525937538E-005</v>
      </c>
      <c r="BM46" s="34" t="n">
        <v>0.0257781972847377</v>
      </c>
      <c r="BN46" s="34" t="n">
        <v>0.00255468385703129</v>
      </c>
      <c r="BO46" s="34" t="n">
        <v>0.00113837816165131</v>
      </c>
      <c r="BP46" s="34" t="n">
        <v>0.00558898514248832</v>
      </c>
      <c r="BQ46" s="34" t="n">
        <v>0.000738676249508385</v>
      </c>
      <c r="BR46" s="34" t="n">
        <v>0.000360565911716033</v>
      </c>
      <c r="BS46" s="34" t="n">
        <v>0.00217381262601246</v>
      </c>
      <c r="BT46" s="34" t="n">
        <v>0</v>
      </c>
    </row>
    <row r="47" customFormat="false" ht="11.25" hidden="false" customHeight="true" outlineLevel="0" collapsed="false">
      <c r="B47" s="19" t="s">
        <v>145</v>
      </c>
      <c r="C47" s="20" t="s">
        <v>146</v>
      </c>
      <c r="D47" s="19" t="n">
        <v>41</v>
      </c>
      <c r="E47" s="33" t="n">
        <v>0.00816166712983609</v>
      </c>
      <c r="F47" s="33" t="n">
        <v>0.00327345063050876</v>
      </c>
      <c r="G47" s="33" t="n">
        <v>0.000892230773225632</v>
      </c>
      <c r="H47" s="33" t="n">
        <v>0.00211510734715219</v>
      </c>
      <c r="I47" s="33" t="n">
        <v>0.00808204035974012</v>
      </c>
      <c r="J47" s="33" t="n">
        <v>0.0149499419197889</v>
      </c>
      <c r="K47" s="33" t="n">
        <v>0.00211081426260393</v>
      </c>
      <c r="L47" s="33" t="n">
        <v>0.0162468148322464</v>
      </c>
      <c r="M47" s="33" t="n">
        <v>0.00376164281349132</v>
      </c>
      <c r="N47" s="33" t="n">
        <v>0.0176836304010539</v>
      </c>
      <c r="O47" s="33" t="n">
        <v>0.00455931508838629</v>
      </c>
      <c r="P47" s="33" t="n">
        <v>0.000896636268722566</v>
      </c>
      <c r="Q47" s="33" t="n">
        <v>0.00328928654206619</v>
      </c>
      <c r="R47" s="33" t="n">
        <v>0.00264934362101118</v>
      </c>
      <c r="S47" s="33" t="n">
        <v>0.00292010433712096</v>
      </c>
      <c r="T47" s="33" t="n">
        <v>0.00135650477837989</v>
      </c>
      <c r="U47" s="33" t="n">
        <v>0.00639331929985961</v>
      </c>
      <c r="V47" s="33" t="n">
        <v>0.00097909386247399</v>
      </c>
      <c r="W47" s="33" t="n">
        <v>0.0108288568391837</v>
      </c>
      <c r="X47" s="33" t="n">
        <v>0.0019675380081403</v>
      </c>
      <c r="Y47" s="33" t="n">
        <v>0.00663332632811204</v>
      </c>
      <c r="Z47" s="33" t="n">
        <v>0.00489037901340595</v>
      </c>
      <c r="AA47" s="33" t="n">
        <v>0.00190535719735432</v>
      </c>
      <c r="AB47" s="33" t="n">
        <v>0.0046663557072445</v>
      </c>
      <c r="AC47" s="33" t="n">
        <v>0.00963476352708079</v>
      </c>
      <c r="AD47" s="33" t="n">
        <v>0.0102997304322117</v>
      </c>
      <c r="AE47" s="33" t="n">
        <v>0.0129781231764377</v>
      </c>
      <c r="AF47" s="33" t="n">
        <v>0.00477830934868403</v>
      </c>
      <c r="AG47" s="33" t="n">
        <v>0.00683930819284349</v>
      </c>
      <c r="AH47" s="33" t="n">
        <v>0.00781618925930463</v>
      </c>
      <c r="AI47" s="33" t="n">
        <v>0.00590980493637325</v>
      </c>
      <c r="AJ47" s="33" t="n">
        <v>0.0504354191215674</v>
      </c>
      <c r="AK47" s="33" t="n">
        <v>0.0185753306800411</v>
      </c>
      <c r="AL47" s="33" t="n">
        <v>0.00537428085647759</v>
      </c>
      <c r="AM47" s="33" t="n">
        <v>0.00208577171766673</v>
      </c>
      <c r="AN47" s="33" t="n">
        <v>0.00358837103798837</v>
      </c>
      <c r="AO47" s="33" t="n">
        <v>0.00449243407049787</v>
      </c>
      <c r="AP47" s="33" t="n">
        <v>0.00892754652734212</v>
      </c>
      <c r="AQ47" s="33" t="n">
        <v>0.0114065886356488</v>
      </c>
      <c r="AR47" s="33" t="n">
        <v>0.0305543131800653</v>
      </c>
      <c r="AS47" s="33" t="n">
        <v>1.02556672302493</v>
      </c>
      <c r="AT47" s="33" t="n">
        <v>0.068735201825673</v>
      </c>
      <c r="AU47" s="33" t="n">
        <v>0.113458231587983</v>
      </c>
      <c r="AV47" s="33" t="n">
        <v>0.000925812529526004</v>
      </c>
      <c r="AW47" s="33" t="n">
        <v>0.00159857634966734</v>
      </c>
      <c r="AX47" s="33" t="n">
        <v>0.00920226910773809</v>
      </c>
      <c r="AY47" s="33" t="n">
        <v>0.000412218946304914</v>
      </c>
      <c r="AZ47" s="33" t="n">
        <v>0.00542270490817342</v>
      </c>
      <c r="BA47" s="33" t="n">
        <v>0.00240455613052908</v>
      </c>
      <c r="BB47" s="33" t="n">
        <v>0.00284059390994026</v>
      </c>
      <c r="BC47" s="33" t="n">
        <v>0.0115111682124618</v>
      </c>
      <c r="BD47" s="33" t="n">
        <v>0.00179094629631944</v>
      </c>
      <c r="BE47" s="33" t="n">
        <v>0.00801030309630075</v>
      </c>
      <c r="BF47" s="33" t="n">
        <v>0.00123482456787865</v>
      </c>
      <c r="BG47" s="33" t="n">
        <v>0.00255328436516923</v>
      </c>
      <c r="BH47" s="33" t="n">
        <v>0.00281302913904384</v>
      </c>
      <c r="BI47" s="33" t="n">
        <v>0.00345562250170004</v>
      </c>
      <c r="BJ47" s="33" t="n">
        <v>0.0111963313696986</v>
      </c>
      <c r="BK47" s="33" t="n">
        <v>0.00455895824127365</v>
      </c>
      <c r="BL47" s="33" t="n">
        <v>0.00219194220285215</v>
      </c>
      <c r="BM47" s="33" t="n">
        <v>0.0344299894777871</v>
      </c>
      <c r="BN47" s="33" t="n">
        <v>0.00601932279392422</v>
      </c>
      <c r="BO47" s="33" t="n">
        <v>0.00167130137817396</v>
      </c>
      <c r="BP47" s="33" t="n">
        <v>0.0144280550650047</v>
      </c>
      <c r="BQ47" s="33" t="n">
        <v>0.0120761570363893</v>
      </c>
      <c r="BR47" s="33" t="n">
        <v>0.00114224275041359</v>
      </c>
      <c r="BS47" s="33" t="n">
        <v>0.00403541281607065</v>
      </c>
      <c r="BT47" s="33" t="n">
        <v>0</v>
      </c>
    </row>
    <row r="48" customFormat="false" ht="11.25" hidden="false" customHeight="true" outlineLevel="0" collapsed="false">
      <c r="B48" s="24" t="s">
        <v>147</v>
      </c>
      <c r="C48" s="25" t="s">
        <v>148</v>
      </c>
      <c r="D48" s="24" t="n">
        <v>42</v>
      </c>
      <c r="E48" s="34" t="n">
        <v>0.0190912199478092</v>
      </c>
      <c r="F48" s="34" t="n">
        <v>0.0122963521226997</v>
      </c>
      <c r="G48" s="34" t="n">
        <v>0.000871887219666995</v>
      </c>
      <c r="H48" s="34" t="n">
        <v>0.00326711770943395</v>
      </c>
      <c r="I48" s="34" t="n">
        <v>0.011502853494302</v>
      </c>
      <c r="J48" s="34" t="n">
        <v>0.00619760969418004</v>
      </c>
      <c r="K48" s="34" t="n">
        <v>0.00248697222804481</v>
      </c>
      <c r="L48" s="34" t="n">
        <v>0.146593853084633</v>
      </c>
      <c r="M48" s="34" t="n">
        <v>0.0148972637540704</v>
      </c>
      <c r="N48" s="34" t="n">
        <v>0.120060684421721</v>
      </c>
      <c r="O48" s="34" t="n">
        <v>0.0143420770461595</v>
      </c>
      <c r="P48" s="34" t="n">
        <v>0.00824272853622848</v>
      </c>
      <c r="Q48" s="34" t="n">
        <v>0.0281440851808187</v>
      </c>
      <c r="R48" s="34" t="n">
        <v>0.0270507346629298</v>
      </c>
      <c r="S48" s="34" t="n">
        <v>0.0305986387363491</v>
      </c>
      <c r="T48" s="34" t="n">
        <v>0.00827801314558696</v>
      </c>
      <c r="U48" s="34" t="n">
        <v>0.0563837384369944</v>
      </c>
      <c r="V48" s="34" t="n">
        <v>0.00602058481542128</v>
      </c>
      <c r="W48" s="34" t="n">
        <v>0.0402297676928944</v>
      </c>
      <c r="X48" s="34" t="n">
        <v>0.0123013357649867</v>
      </c>
      <c r="Y48" s="34" t="n">
        <v>0.0338099250889707</v>
      </c>
      <c r="Z48" s="34" t="n">
        <v>0.0388939058014452</v>
      </c>
      <c r="AA48" s="34" t="n">
        <v>0.0084288865436977</v>
      </c>
      <c r="AB48" s="34" t="n">
        <v>0.0345119321906397</v>
      </c>
      <c r="AC48" s="34" t="n">
        <v>0.0526837045171863</v>
      </c>
      <c r="AD48" s="34" t="n">
        <v>0.0372217678990918</v>
      </c>
      <c r="AE48" s="34" t="n">
        <v>0.0585942177279028</v>
      </c>
      <c r="AF48" s="34" t="n">
        <v>0.0188743977718423</v>
      </c>
      <c r="AG48" s="34" t="n">
        <v>0.049069466720912</v>
      </c>
      <c r="AH48" s="34" t="n">
        <v>0.0301469255520081</v>
      </c>
      <c r="AI48" s="34" t="n">
        <v>0.0401830917779627</v>
      </c>
      <c r="AJ48" s="34" t="n">
        <v>0.0857935528936444</v>
      </c>
      <c r="AK48" s="34" t="n">
        <v>0.0339250186931051</v>
      </c>
      <c r="AL48" s="34" t="n">
        <v>0.0196727345384114</v>
      </c>
      <c r="AM48" s="34" t="n">
        <v>0.0102130019555382</v>
      </c>
      <c r="AN48" s="34" t="n">
        <v>0.0228920662566518</v>
      </c>
      <c r="AO48" s="34" t="n">
        <v>0.0100728378224259</v>
      </c>
      <c r="AP48" s="34" t="n">
        <v>0.0104794044000748</v>
      </c>
      <c r="AQ48" s="34" t="n">
        <v>0.00392648069393987</v>
      </c>
      <c r="AR48" s="34" t="n">
        <v>0.0795939519298189</v>
      </c>
      <c r="AS48" s="34" t="n">
        <v>0.00912942275059625</v>
      </c>
      <c r="AT48" s="34" t="n">
        <v>1.14419481969932</v>
      </c>
      <c r="AU48" s="34" t="n">
        <v>0.0200044420847579</v>
      </c>
      <c r="AV48" s="34" t="n">
        <v>0.00106255215049754</v>
      </c>
      <c r="AW48" s="34" t="n">
        <v>0.00233879750391767</v>
      </c>
      <c r="AX48" s="34" t="n">
        <v>0.00455928075029462</v>
      </c>
      <c r="AY48" s="34" t="n">
        <v>0.00158336135062663</v>
      </c>
      <c r="AZ48" s="34" t="n">
        <v>0.0204802684377592</v>
      </c>
      <c r="BA48" s="34" t="n">
        <v>0.022401254328868</v>
      </c>
      <c r="BB48" s="34" t="n">
        <v>0.0186027300374472</v>
      </c>
      <c r="BC48" s="34" t="n">
        <v>0.12861222535116</v>
      </c>
      <c r="BD48" s="34" t="n">
        <v>0.0109797004861168</v>
      </c>
      <c r="BE48" s="34" t="n">
        <v>0.0261506335142032</v>
      </c>
      <c r="BF48" s="34" t="n">
        <v>0.00400202231541226</v>
      </c>
      <c r="BG48" s="34" t="n">
        <v>0.0166191661311701</v>
      </c>
      <c r="BH48" s="34" t="n">
        <v>0.00394164274671134</v>
      </c>
      <c r="BI48" s="34" t="n">
        <v>0.022747515451855</v>
      </c>
      <c r="BJ48" s="34" t="n">
        <v>0.00191060120092635</v>
      </c>
      <c r="BK48" s="34" t="n">
        <v>0.0169257697140964</v>
      </c>
      <c r="BL48" s="34" t="n">
        <v>0.0016701222710315</v>
      </c>
      <c r="BM48" s="34" t="n">
        <v>0.0231800787773471</v>
      </c>
      <c r="BN48" s="34" t="n">
        <v>0.00879811299233684</v>
      </c>
      <c r="BO48" s="34" t="n">
        <v>0.00526588986084401</v>
      </c>
      <c r="BP48" s="34" t="n">
        <v>0.00860018080243792</v>
      </c>
      <c r="BQ48" s="34" t="n">
        <v>0.0113460098692742</v>
      </c>
      <c r="BR48" s="34" t="n">
        <v>0.00194432927529339</v>
      </c>
      <c r="BS48" s="34" t="n">
        <v>0.0101736054135314</v>
      </c>
      <c r="BT48" s="34" t="n">
        <v>0</v>
      </c>
    </row>
    <row r="49" customFormat="false" ht="11.25" hidden="false" customHeight="true" outlineLevel="0" collapsed="false">
      <c r="B49" s="19" t="s">
        <v>149</v>
      </c>
      <c r="C49" s="20" t="s">
        <v>150</v>
      </c>
      <c r="D49" s="19" t="n">
        <v>43</v>
      </c>
      <c r="E49" s="33" t="n">
        <v>0.0365067160560664</v>
      </c>
      <c r="F49" s="33" t="n">
        <v>0.0136182422437255</v>
      </c>
      <c r="G49" s="33" t="n">
        <v>0.00381952664530144</v>
      </c>
      <c r="H49" s="33" t="n">
        <v>0.00598090360168688</v>
      </c>
      <c r="I49" s="33" t="n">
        <v>0.0290630019924667</v>
      </c>
      <c r="J49" s="33" t="n">
        <v>0.0172459703434453</v>
      </c>
      <c r="K49" s="33" t="n">
        <v>0.00404160465640057</v>
      </c>
      <c r="L49" s="33" t="n">
        <v>0.079801713682951</v>
      </c>
      <c r="M49" s="33" t="n">
        <v>0.0217839868118417</v>
      </c>
      <c r="N49" s="33" t="n">
        <v>0.0994205693626568</v>
      </c>
      <c r="O49" s="33" t="n">
        <v>0.0250160675360917</v>
      </c>
      <c r="P49" s="33" t="n">
        <v>0.00383342557931965</v>
      </c>
      <c r="Q49" s="33" t="n">
        <v>0.0156504146109703</v>
      </c>
      <c r="R49" s="33" t="n">
        <v>0.0116259345999207</v>
      </c>
      <c r="S49" s="33" t="n">
        <v>0.0129167110478892</v>
      </c>
      <c r="T49" s="33" t="n">
        <v>0.00738841134067038</v>
      </c>
      <c r="U49" s="33" t="n">
        <v>0.0294772760601528</v>
      </c>
      <c r="V49" s="33" t="n">
        <v>0.00415682594045459</v>
      </c>
      <c r="W49" s="33" t="n">
        <v>0.0486371053530828</v>
      </c>
      <c r="X49" s="33" t="n">
        <v>0.00956107307541197</v>
      </c>
      <c r="Y49" s="33" t="n">
        <v>0.0386559668870282</v>
      </c>
      <c r="Z49" s="33" t="n">
        <v>0.0231842510246078</v>
      </c>
      <c r="AA49" s="33" t="n">
        <v>0.0119319125299083</v>
      </c>
      <c r="AB49" s="33" t="n">
        <v>0.0215359023267078</v>
      </c>
      <c r="AC49" s="33" t="n">
        <v>0.0308403802386894</v>
      </c>
      <c r="AD49" s="33" t="n">
        <v>0.026039566974015</v>
      </c>
      <c r="AE49" s="33" t="n">
        <v>0.0470008528216026</v>
      </c>
      <c r="AF49" s="33" t="n">
        <v>0.0108951119465028</v>
      </c>
      <c r="AG49" s="33" t="n">
        <v>0.0292486825796566</v>
      </c>
      <c r="AH49" s="33" t="n">
        <v>0.0167473379114493</v>
      </c>
      <c r="AI49" s="33" t="n">
        <v>0.0208185693298695</v>
      </c>
      <c r="AJ49" s="33" t="n">
        <v>0.034768226374156</v>
      </c>
      <c r="AK49" s="33" t="n">
        <v>0.0533635079492186</v>
      </c>
      <c r="AL49" s="33" t="n">
        <v>0.0227176684989208</v>
      </c>
      <c r="AM49" s="33" t="n">
        <v>0.00872462586090466</v>
      </c>
      <c r="AN49" s="33" t="n">
        <v>0.0148693371053666</v>
      </c>
      <c r="AO49" s="33" t="n">
        <v>0.00559700168924904</v>
      </c>
      <c r="AP49" s="33" t="n">
        <v>0.0226807556977366</v>
      </c>
      <c r="AQ49" s="33" t="n">
        <v>0.00464301761560009</v>
      </c>
      <c r="AR49" s="33" t="n">
        <v>0.0665488044221164</v>
      </c>
      <c r="AS49" s="33" t="n">
        <v>0.0142416942811083</v>
      </c>
      <c r="AT49" s="33" t="n">
        <v>0.191998412846179</v>
      </c>
      <c r="AU49" s="33" t="n">
        <v>1.18053788422587</v>
      </c>
      <c r="AV49" s="33" t="n">
        <v>0.00254507192913561</v>
      </c>
      <c r="AW49" s="33" t="n">
        <v>0.00327654247948474</v>
      </c>
      <c r="AX49" s="33" t="n">
        <v>0.0250909140233281</v>
      </c>
      <c r="AY49" s="33" t="n">
        <v>0.00139056781338851</v>
      </c>
      <c r="AZ49" s="33" t="n">
        <v>0.0209742337504172</v>
      </c>
      <c r="BA49" s="33" t="n">
        <v>0.00913634524300099</v>
      </c>
      <c r="BB49" s="33" t="n">
        <v>0.00637162015243228</v>
      </c>
      <c r="BC49" s="33" t="n">
        <v>0.0300895733299892</v>
      </c>
      <c r="BD49" s="33" t="n">
        <v>0.00518988856611112</v>
      </c>
      <c r="BE49" s="33" t="n">
        <v>0.0224643304604436</v>
      </c>
      <c r="BF49" s="33" t="n">
        <v>0.00312762539397418</v>
      </c>
      <c r="BG49" s="33" t="n">
        <v>0.0101286969506333</v>
      </c>
      <c r="BH49" s="33" t="n">
        <v>0.00609520512340328</v>
      </c>
      <c r="BI49" s="33" t="n">
        <v>0.00893219435415898</v>
      </c>
      <c r="BJ49" s="33" t="n">
        <v>0.00334875733486235</v>
      </c>
      <c r="BK49" s="33" t="n">
        <v>0.00898333534155205</v>
      </c>
      <c r="BL49" s="33" t="n">
        <v>0.00105731454788749</v>
      </c>
      <c r="BM49" s="33" t="n">
        <v>0.026770241128723</v>
      </c>
      <c r="BN49" s="33" t="n">
        <v>0.0097700758142466</v>
      </c>
      <c r="BO49" s="33" t="n">
        <v>0.00677845435663713</v>
      </c>
      <c r="BP49" s="33" t="n">
        <v>0.00912358878172037</v>
      </c>
      <c r="BQ49" s="33" t="n">
        <v>0.00703577326303154</v>
      </c>
      <c r="BR49" s="33" t="n">
        <v>0.00196318550010649</v>
      </c>
      <c r="BS49" s="33" t="n">
        <v>0.0175391060824203</v>
      </c>
      <c r="BT49" s="33" t="n">
        <v>0</v>
      </c>
    </row>
    <row r="50" customFormat="false" ht="11.25" hidden="false" customHeight="true" outlineLevel="0" collapsed="false">
      <c r="B50" s="24" t="s">
        <v>151</v>
      </c>
      <c r="C50" s="25" t="s">
        <v>152</v>
      </c>
      <c r="D50" s="24" t="n">
        <v>44</v>
      </c>
      <c r="E50" s="34" t="n">
        <v>0.0231449763229628</v>
      </c>
      <c r="F50" s="34" t="n">
        <v>0.00889110605309055</v>
      </c>
      <c r="G50" s="34" t="n">
        <v>0.00107211939111369</v>
      </c>
      <c r="H50" s="34" t="n">
        <v>0.00192822731450577</v>
      </c>
      <c r="I50" s="34" t="n">
        <v>0.249129216017642</v>
      </c>
      <c r="J50" s="34" t="n">
        <v>0.00453820805008855</v>
      </c>
      <c r="K50" s="34" t="n">
        <v>0.00208424532770545</v>
      </c>
      <c r="L50" s="34" t="n">
        <v>0.0757264526117285</v>
      </c>
      <c r="M50" s="34" t="n">
        <v>0.0118596611150829</v>
      </c>
      <c r="N50" s="34" t="n">
        <v>0.0514235393563343</v>
      </c>
      <c r="O50" s="34" t="n">
        <v>0.00608296593934074</v>
      </c>
      <c r="P50" s="34" t="n">
        <v>0.00222217717488893</v>
      </c>
      <c r="Q50" s="34" t="n">
        <v>0.00847152430833192</v>
      </c>
      <c r="R50" s="34" t="n">
        <v>0.00563789714712165</v>
      </c>
      <c r="S50" s="34" t="n">
        <v>0.00593305382044759</v>
      </c>
      <c r="T50" s="34" t="n">
        <v>0.00883448977285365</v>
      </c>
      <c r="U50" s="34" t="n">
        <v>0.0731930922124046</v>
      </c>
      <c r="V50" s="34" t="n">
        <v>0.00399388038314544</v>
      </c>
      <c r="W50" s="34" t="n">
        <v>0.200776260697728</v>
      </c>
      <c r="X50" s="34" t="n">
        <v>0.00425633775123543</v>
      </c>
      <c r="Y50" s="34" t="n">
        <v>0.0626799155769543</v>
      </c>
      <c r="Z50" s="34" t="n">
        <v>0.0125203925202182</v>
      </c>
      <c r="AA50" s="34" t="n">
        <v>0.00757856876892853</v>
      </c>
      <c r="AB50" s="34" t="n">
        <v>0.00598847254489066</v>
      </c>
      <c r="AC50" s="34" t="n">
        <v>0.019317385544544</v>
      </c>
      <c r="AD50" s="34" t="n">
        <v>0.01748239022424</v>
      </c>
      <c r="AE50" s="34" t="n">
        <v>0.0355076815642282</v>
      </c>
      <c r="AF50" s="34" t="n">
        <v>0.00697806313897817</v>
      </c>
      <c r="AG50" s="34" t="n">
        <v>0.0151334378236852</v>
      </c>
      <c r="AH50" s="34" t="n">
        <v>0.0120225549019369</v>
      </c>
      <c r="AI50" s="34" t="n">
        <v>0.0122112786369625</v>
      </c>
      <c r="AJ50" s="34" t="n">
        <v>0.0287400034129276</v>
      </c>
      <c r="AK50" s="34" t="n">
        <v>0.0309945175371847</v>
      </c>
      <c r="AL50" s="34" t="n">
        <v>0.0156220712907148</v>
      </c>
      <c r="AM50" s="34" t="n">
        <v>0.0134369715645647</v>
      </c>
      <c r="AN50" s="34" t="n">
        <v>0.00726843183745608</v>
      </c>
      <c r="AO50" s="34" t="n">
        <v>0.0044278049610612</v>
      </c>
      <c r="AP50" s="34" t="n">
        <v>0.0238631854320515</v>
      </c>
      <c r="AQ50" s="34" t="n">
        <v>0.00318189077195587</v>
      </c>
      <c r="AR50" s="34" t="n">
        <v>0.0424974819700869</v>
      </c>
      <c r="AS50" s="34" t="n">
        <v>0.00640807898975391</v>
      </c>
      <c r="AT50" s="34" t="n">
        <v>0.0814658942684392</v>
      </c>
      <c r="AU50" s="34" t="n">
        <v>0.0827644149105366</v>
      </c>
      <c r="AV50" s="34" t="n">
        <v>1.05802732452044</v>
      </c>
      <c r="AW50" s="34" t="n">
        <v>0.00361217602831271</v>
      </c>
      <c r="AX50" s="34" t="n">
        <v>0.0069788180358397</v>
      </c>
      <c r="AY50" s="34" t="n">
        <v>0.00101315663583802</v>
      </c>
      <c r="AZ50" s="34" t="n">
        <v>0.0115233626500247</v>
      </c>
      <c r="BA50" s="34" t="n">
        <v>0.00439728690096286</v>
      </c>
      <c r="BB50" s="34" t="n">
        <v>0.00268191285326863</v>
      </c>
      <c r="BC50" s="34" t="n">
        <v>0.0139894076566114</v>
      </c>
      <c r="BD50" s="34" t="n">
        <v>0.00320819160675795</v>
      </c>
      <c r="BE50" s="34" t="n">
        <v>0.0113241787341359</v>
      </c>
      <c r="BF50" s="34" t="n">
        <v>0.00206521092722551</v>
      </c>
      <c r="BG50" s="34" t="n">
        <v>0.00515400273872975</v>
      </c>
      <c r="BH50" s="34" t="n">
        <v>0.00231934490534274</v>
      </c>
      <c r="BI50" s="34" t="n">
        <v>0.0044435809092713</v>
      </c>
      <c r="BJ50" s="34" t="n">
        <v>0.00154329279831565</v>
      </c>
      <c r="BK50" s="34" t="n">
        <v>0.0171003683018105</v>
      </c>
      <c r="BL50" s="34" t="n">
        <v>0.000620809478100149</v>
      </c>
      <c r="BM50" s="34" t="n">
        <v>0.0139543702010633</v>
      </c>
      <c r="BN50" s="34" t="n">
        <v>0.00464591127594174</v>
      </c>
      <c r="BO50" s="34" t="n">
        <v>0.00276257592917078</v>
      </c>
      <c r="BP50" s="34" t="n">
        <v>0.00399043481976901</v>
      </c>
      <c r="BQ50" s="34" t="n">
        <v>0.00468870520796383</v>
      </c>
      <c r="BR50" s="34" t="n">
        <v>0.00127644566765675</v>
      </c>
      <c r="BS50" s="34" t="n">
        <v>0.00658440001966748</v>
      </c>
      <c r="BT50" s="34" t="n">
        <v>0</v>
      </c>
    </row>
    <row r="51" customFormat="false" ht="11.25" hidden="false" customHeight="true" outlineLevel="0" collapsed="false">
      <c r="B51" s="19" t="s">
        <v>153</v>
      </c>
      <c r="C51" s="20" t="s">
        <v>154</v>
      </c>
      <c r="D51" s="19" t="n">
        <v>45</v>
      </c>
      <c r="E51" s="33" t="n">
        <v>0.0092702890549087</v>
      </c>
      <c r="F51" s="33" t="n">
        <v>0.00413559082228272</v>
      </c>
      <c r="G51" s="33" t="n">
        <v>0.000611357695199859</v>
      </c>
      <c r="H51" s="33" t="n">
        <v>0.00154784360033322</v>
      </c>
      <c r="I51" s="33" t="n">
        <v>0.0414122198432183</v>
      </c>
      <c r="J51" s="33" t="n">
        <v>0.00362355262006077</v>
      </c>
      <c r="K51" s="33" t="n">
        <v>0.00168657144157468</v>
      </c>
      <c r="L51" s="33" t="n">
        <v>0.0256121406662177</v>
      </c>
      <c r="M51" s="33" t="n">
        <v>0.00440059537735707</v>
      </c>
      <c r="N51" s="33" t="n">
        <v>0.0252363485825208</v>
      </c>
      <c r="O51" s="33" t="n">
        <v>0.00639378582626182</v>
      </c>
      <c r="P51" s="33" t="n">
        <v>0.00230005576331133</v>
      </c>
      <c r="Q51" s="33" t="n">
        <v>0.00596531575422517</v>
      </c>
      <c r="R51" s="33" t="n">
        <v>0.00514804237621485</v>
      </c>
      <c r="S51" s="33" t="n">
        <v>0.00566063385758631</v>
      </c>
      <c r="T51" s="33" t="n">
        <v>0.00259478381264042</v>
      </c>
      <c r="U51" s="33" t="n">
        <v>0.0115577119804972</v>
      </c>
      <c r="V51" s="33" t="n">
        <v>0.00232422789291932</v>
      </c>
      <c r="W51" s="33" t="n">
        <v>0.0389934228524891</v>
      </c>
      <c r="X51" s="33" t="n">
        <v>0.00262847293707959</v>
      </c>
      <c r="Y51" s="33" t="n">
        <v>0.0159511156308379</v>
      </c>
      <c r="Z51" s="33" t="n">
        <v>0.0133238804684595</v>
      </c>
      <c r="AA51" s="33" t="n">
        <v>0.00307550971233623</v>
      </c>
      <c r="AB51" s="33" t="n">
        <v>0.00848891605070589</v>
      </c>
      <c r="AC51" s="33" t="n">
        <v>0.0106066918580023</v>
      </c>
      <c r="AD51" s="33" t="n">
        <v>0.0101891497811355</v>
      </c>
      <c r="AE51" s="33" t="n">
        <v>0.0144750342490391</v>
      </c>
      <c r="AF51" s="33" t="n">
        <v>0.00491652594209199</v>
      </c>
      <c r="AG51" s="33" t="n">
        <v>0.00979372701312086</v>
      </c>
      <c r="AH51" s="33" t="n">
        <v>0.0157585003497659</v>
      </c>
      <c r="AI51" s="33" t="n">
        <v>0.0118824555518196</v>
      </c>
      <c r="AJ51" s="33" t="n">
        <v>0.0185781165159388</v>
      </c>
      <c r="AK51" s="33" t="n">
        <v>0.0220230179241937</v>
      </c>
      <c r="AL51" s="33" t="n">
        <v>0.01002425163454</v>
      </c>
      <c r="AM51" s="33" t="n">
        <v>0.00357444373916722</v>
      </c>
      <c r="AN51" s="33" t="n">
        <v>0.00528618009583761</v>
      </c>
      <c r="AO51" s="33" t="n">
        <v>0.00389272008087463</v>
      </c>
      <c r="AP51" s="33" t="n">
        <v>0.0212244762392621</v>
      </c>
      <c r="AQ51" s="33" t="n">
        <v>0.00363249444351143</v>
      </c>
      <c r="AR51" s="33" t="n">
        <v>0.0656205449060025</v>
      </c>
      <c r="AS51" s="33" t="n">
        <v>0.0108568689722876</v>
      </c>
      <c r="AT51" s="33" t="n">
        <v>0.0959595354934926</v>
      </c>
      <c r="AU51" s="33" t="n">
        <v>0.023664871695504</v>
      </c>
      <c r="AV51" s="33" t="n">
        <v>0.00370900766201332</v>
      </c>
      <c r="AW51" s="33" t="n">
        <v>1.00261574112974</v>
      </c>
      <c r="AX51" s="33" t="n">
        <v>0.0236870205007187</v>
      </c>
      <c r="AY51" s="33" t="n">
        <v>0.00230953206100202</v>
      </c>
      <c r="AZ51" s="33" t="n">
        <v>0.00749949415474248</v>
      </c>
      <c r="BA51" s="33" t="n">
        <v>0.00420536720407448</v>
      </c>
      <c r="BB51" s="33" t="n">
        <v>0.00823371814998861</v>
      </c>
      <c r="BC51" s="33" t="n">
        <v>0.0317162281904723</v>
      </c>
      <c r="BD51" s="33" t="n">
        <v>0.0165059796171622</v>
      </c>
      <c r="BE51" s="33" t="n">
        <v>0.0864514705507415</v>
      </c>
      <c r="BF51" s="33" t="n">
        <v>0.00496620729142948</v>
      </c>
      <c r="BG51" s="33" t="n">
        <v>0.0254391579683722</v>
      </c>
      <c r="BH51" s="33" t="n">
        <v>0.0102547699003651</v>
      </c>
      <c r="BI51" s="33" t="n">
        <v>0.0208488667481102</v>
      </c>
      <c r="BJ51" s="33" t="n">
        <v>0.00304759107524618</v>
      </c>
      <c r="BK51" s="33" t="n">
        <v>0.0155965601226988</v>
      </c>
      <c r="BL51" s="33" t="n">
        <v>0.00125353722698862</v>
      </c>
      <c r="BM51" s="33" t="n">
        <v>0.0513873811998468</v>
      </c>
      <c r="BN51" s="33" t="n">
        <v>0.0108367609768929</v>
      </c>
      <c r="BO51" s="33" t="n">
        <v>0.0425939804502416</v>
      </c>
      <c r="BP51" s="33" t="n">
        <v>0.013484169601112</v>
      </c>
      <c r="BQ51" s="33" t="n">
        <v>0.00715667057202026</v>
      </c>
      <c r="BR51" s="33" t="n">
        <v>0.00329113747337917</v>
      </c>
      <c r="BS51" s="33" t="n">
        <v>0.251964347272055</v>
      </c>
      <c r="BT51" s="33" t="n">
        <v>0</v>
      </c>
    </row>
    <row r="52" customFormat="false" ht="11.25" hidden="false" customHeight="true" outlineLevel="0" collapsed="false">
      <c r="B52" s="24" t="s">
        <v>155</v>
      </c>
      <c r="C52" s="25" t="s">
        <v>156</v>
      </c>
      <c r="D52" s="24" t="n">
        <v>46</v>
      </c>
      <c r="E52" s="34" t="n">
        <v>0.021332094011239</v>
      </c>
      <c r="F52" s="34" t="n">
        <v>0.00782057318212004</v>
      </c>
      <c r="G52" s="34" t="n">
        <v>0.00215913774334769</v>
      </c>
      <c r="H52" s="34" t="n">
        <v>0.00221288743988328</v>
      </c>
      <c r="I52" s="34" t="n">
        <v>0.0492237175752593</v>
      </c>
      <c r="J52" s="34" t="n">
        <v>0.0250032736742723</v>
      </c>
      <c r="K52" s="34" t="n">
        <v>0.00668044511533595</v>
      </c>
      <c r="L52" s="34" t="n">
        <v>0.0561467702402516</v>
      </c>
      <c r="M52" s="34" t="n">
        <v>0.0262074240325668</v>
      </c>
      <c r="N52" s="34" t="n">
        <v>0.0635506131194694</v>
      </c>
      <c r="O52" s="34" t="n">
        <v>0.025585116453832</v>
      </c>
      <c r="P52" s="34" t="n">
        <v>0.00253090410475971</v>
      </c>
      <c r="Q52" s="34" t="n">
        <v>0.00994769146949373</v>
      </c>
      <c r="R52" s="34" t="n">
        <v>0.00765454678690629</v>
      </c>
      <c r="S52" s="34" t="n">
        <v>0.00829997514846757</v>
      </c>
      <c r="T52" s="34" t="n">
        <v>0.00494700542671365</v>
      </c>
      <c r="U52" s="34" t="n">
        <v>0.0281904305168131</v>
      </c>
      <c r="V52" s="34" t="n">
        <v>0.00468932569514565</v>
      </c>
      <c r="W52" s="34" t="n">
        <v>0.0577230164381469</v>
      </c>
      <c r="X52" s="34" t="n">
        <v>0.00999050722563373</v>
      </c>
      <c r="Y52" s="34" t="n">
        <v>0.0259939534468331</v>
      </c>
      <c r="Z52" s="34" t="n">
        <v>0.019200733618791</v>
      </c>
      <c r="AA52" s="34" t="n">
        <v>0.00790903268181911</v>
      </c>
      <c r="AB52" s="34" t="n">
        <v>0.0130708654630896</v>
      </c>
      <c r="AC52" s="34" t="n">
        <v>0.0171580838616645</v>
      </c>
      <c r="AD52" s="34" t="n">
        <v>0.0144231359232793</v>
      </c>
      <c r="AE52" s="34" t="n">
        <v>0.0530908875778377</v>
      </c>
      <c r="AF52" s="34" t="n">
        <v>0.0105524851793771</v>
      </c>
      <c r="AG52" s="34" t="n">
        <v>0.0265562211574463</v>
      </c>
      <c r="AH52" s="34" t="n">
        <v>0.0178114882409243</v>
      </c>
      <c r="AI52" s="34" t="n">
        <v>0.0217073726944172</v>
      </c>
      <c r="AJ52" s="34" t="n">
        <v>0.02699849593748</v>
      </c>
      <c r="AK52" s="34" t="n">
        <v>0.0646701465864138</v>
      </c>
      <c r="AL52" s="34" t="n">
        <v>0.0215566370889721</v>
      </c>
      <c r="AM52" s="34" t="n">
        <v>0.00899025942570024</v>
      </c>
      <c r="AN52" s="34" t="n">
        <v>0.0100558385094137</v>
      </c>
      <c r="AO52" s="34" t="n">
        <v>0.00592064718609145</v>
      </c>
      <c r="AP52" s="34" t="n">
        <v>0.0181664374401823</v>
      </c>
      <c r="AQ52" s="34" t="n">
        <v>0.00308874243123561</v>
      </c>
      <c r="AR52" s="34" t="n">
        <v>0.0523363028488424</v>
      </c>
      <c r="AS52" s="34" t="n">
        <v>0.0156450057223279</v>
      </c>
      <c r="AT52" s="34" t="n">
        <v>0.144573490667959</v>
      </c>
      <c r="AU52" s="34" t="n">
        <v>0.0997314988993496</v>
      </c>
      <c r="AV52" s="34" t="n">
        <v>0.0301513320679023</v>
      </c>
      <c r="AW52" s="34" t="n">
        <v>0.0354798151530667</v>
      </c>
      <c r="AX52" s="34" t="n">
        <v>1.04050388672207</v>
      </c>
      <c r="AY52" s="34" t="n">
        <v>0.00167203398580579</v>
      </c>
      <c r="AZ52" s="34" t="n">
        <v>0.0176796006217474</v>
      </c>
      <c r="BA52" s="34" t="n">
        <v>0.00619941425198855</v>
      </c>
      <c r="BB52" s="34" t="n">
        <v>0.0050970934489457</v>
      </c>
      <c r="BC52" s="34" t="n">
        <v>0.0316968372135462</v>
      </c>
      <c r="BD52" s="34" t="n">
        <v>0.00543102593765602</v>
      </c>
      <c r="BE52" s="34" t="n">
        <v>0.0750922417384492</v>
      </c>
      <c r="BF52" s="34" t="n">
        <v>0.00592878192499992</v>
      </c>
      <c r="BG52" s="34" t="n">
        <v>0.0122935024004293</v>
      </c>
      <c r="BH52" s="34" t="n">
        <v>0.00524515836715701</v>
      </c>
      <c r="BI52" s="34" t="n">
        <v>0.00957535225351891</v>
      </c>
      <c r="BJ52" s="34" t="n">
        <v>0.00362936235524854</v>
      </c>
      <c r="BK52" s="34" t="n">
        <v>0.0151541074671054</v>
      </c>
      <c r="BL52" s="34" t="n">
        <v>0.00137802645671061</v>
      </c>
      <c r="BM52" s="34" t="n">
        <v>0.0615536500493777</v>
      </c>
      <c r="BN52" s="34" t="n">
        <v>0.00785610430057734</v>
      </c>
      <c r="BO52" s="34" t="n">
        <v>0.00870075199995154</v>
      </c>
      <c r="BP52" s="34" t="n">
        <v>0.00891901265096709</v>
      </c>
      <c r="BQ52" s="34" t="n">
        <v>0.00900022468667194</v>
      </c>
      <c r="BR52" s="34" t="n">
        <v>0.00199493724774267</v>
      </c>
      <c r="BS52" s="34" t="n">
        <v>0.0327943888700356</v>
      </c>
      <c r="BT52" s="34" t="n">
        <v>0</v>
      </c>
    </row>
    <row r="53" customFormat="false" ht="11.25" hidden="false" customHeight="true" outlineLevel="0" collapsed="false">
      <c r="B53" s="19" t="s">
        <v>157</v>
      </c>
      <c r="C53" s="20" t="s">
        <v>158</v>
      </c>
      <c r="D53" s="19" t="n">
        <v>47</v>
      </c>
      <c r="E53" s="33" t="n">
        <v>0.00702280107462417</v>
      </c>
      <c r="F53" s="33" t="n">
        <v>0.00366711251102064</v>
      </c>
      <c r="G53" s="33" t="n">
        <v>0.00051045960550398</v>
      </c>
      <c r="H53" s="33" t="n">
        <v>0.00140324505317468</v>
      </c>
      <c r="I53" s="33" t="n">
        <v>0.0121765321012515</v>
      </c>
      <c r="J53" s="33" t="n">
        <v>0.00491221413537545</v>
      </c>
      <c r="K53" s="33" t="n">
        <v>0.00130222482161773</v>
      </c>
      <c r="L53" s="33" t="n">
        <v>0.0285607704570685</v>
      </c>
      <c r="M53" s="33" t="n">
        <v>0.0046583638321523</v>
      </c>
      <c r="N53" s="33" t="n">
        <v>0.0276441182253444</v>
      </c>
      <c r="O53" s="33" t="n">
        <v>0.00621002957373281</v>
      </c>
      <c r="P53" s="33" t="n">
        <v>0.00261232779655214</v>
      </c>
      <c r="Q53" s="33" t="n">
        <v>0.00603238178079005</v>
      </c>
      <c r="R53" s="33" t="n">
        <v>0.00523588867636804</v>
      </c>
      <c r="S53" s="33" t="n">
        <v>0.00552934214694217</v>
      </c>
      <c r="T53" s="33" t="n">
        <v>0.00182649116028865</v>
      </c>
      <c r="U53" s="33" t="n">
        <v>0.0116484513639006</v>
      </c>
      <c r="V53" s="33" t="n">
        <v>0.00191048828315717</v>
      </c>
      <c r="W53" s="33" t="n">
        <v>0.0161623493894235</v>
      </c>
      <c r="X53" s="33" t="n">
        <v>0.00270997486121089</v>
      </c>
      <c r="Y53" s="33" t="n">
        <v>0.0116139063249202</v>
      </c>
      <c r="Z53" s="33" t="n">
        <v>0.0113897966375284</v>
      </c>
      <c r="AA53" s="33" t="n">
        <v>0.00353042566549427</v>
      </c>
      <c r="AB53" s="33" t="n">
        <v>0.0112826584498573</v>
      </c>
      <c r="AC53" s="33" t="n">
        <v>0.0127285285788281</v>
      </c>
      <c r="AD53" s="33" t="n">
        <v>0.0095830014686245</v>
      </c>
      <c r="AE53" s="33" t="n">
        <v>0.0182973683189024</v>
      </c>
      <c r="AF53" s="33" t="n">
        <v>0.00516104514503307</v>
      </c>
      <c r="AG53" s="33" t="n">
        <v>0.0144366604535484</v>
      </c>
      <c r="AH53" s="33" t="n">
        <v>0.0112403742983356</v>
      </c>
      <c r="AI53" s="33" t="n">
        <v>0.0119616284598368</v>
      </c>
      <c r="AJ53" s="33" t="n">
        <v>0.025982493515981</v>
      </c>
      <c r="AK53" s="33" t="n">
        <v>0.0190711322488035</v>
      </c>
      <c r="AL53" s="33" t="n">
        <v>0.0100964771263504</v>
      </c>
      <c r="AM53" s="33" t="n">
        <v>0.00461612073065855</v>
      </c>
      <c r="AN53" s="33" t="n">
        <v>0.00730001082202079</v>
      </c>
      <c r="AO53" s="33" t="n">
        <v>0.00454041557708378</v>
      </c>
      <c r="AP53" s="33" t="n">
        <v>0.0128685878004798</v>
      </c>
      <c r="AQ53" s="33" t="n">
        <v>0.00267207288779162</v>
      </c>
      <c r="AR53" s="33" t="n">
        <v>0.0710080378245505</v>
      </c>
      <c r="AS53" s="33" t="n">
        <v>0.0158577505459059</v>
      </c>
      <c r="AT53" s="33" t="n">
        <v>0.0972019632757525</v>
      </c>
      <c r="AU53" s="33" t="n">
        <v>0.0182478064748537</v>
      </c>
      <c r="AV53" s="33" t="n">
        <v>0.000917010006174447</v>
      </c>
      <c r="AW53" s="33" t="n">
        <v>0.00408052146697822</v>
      </c>
      <c r="AX53" s="33" t="n">
        <v>0.0100246690631192</v>
      </c>
      <c r="AY53" s="33" t="n">
        <v>1.00081272546599</v>
      </c>
      <c r="AZ53" s="33" t="n">
        <v>0.00684321279063584</v>
      </c>
      <c r="BA53" s="33" t="n">
        <v>0.00774202897864606</v>
      </c>
      <c r="BB53" s="33" t="n">
        <v>0.00893289754750889</v>
      </c>
      <c r="BC53" s="33" t="n">
        <v>0.0318658604143137</v>
      </c>
      <c r="BD53" s="33" t="n">
        <v>0.0155994355362177</v>
      </c>
      <c r="BE53" s="33" t="n">
        <v>0.048581749128056</v>
      </c>
      <c r="BF53" s="33" t="n">
        <v>0.00404467261723173</v>
      </c>
      <c r="BG53" s="33" t="n">
        <v>0.0132631643104056</v>
      </c>
      <c r="BH53" s="33" t="n">
        <v>0.0103645786065015</v>
      </c>
      <c r="BI53" s="33" t="n">
        <v>0.013053097848131</v>
      </c>
      <c r="BJ53" s="33" t="n">
        <v>0.00478336706004812</v>
      </c>
      <c r="BK53" s="33" t="n">
        <v>0.0108516297735082</v>
      </c>
      <c r="BL53" s="33" t="n">
        <v>0.00173645462695237</v>
      </c>
      <c r="BM53" s="33" t="n">
        <v>0.0699830264319301</v>
      </c>
      <c r="BN53" s="33" t="n">
        <v>0.0130800103402978</v>
      </c>
      <c r="BO53" s="33" t="n">
        <v>0.0119370546184813</v>
      </c>
      <c r="BP53" s="33" t="n">
        <v>0.0130736303640084</v>
      </c>
      <c r="BQ53" s="33" t="n">
        <v>0.00722315000618237</v>
      </c>
      <c r="BR53" s="33" t="n">
        <v>0.00477957884636258</v>
      </c>
      <c r="BS53" s="33" t="n">
        <v>0.276075746382106</v>
      </c>
      <c r="BT53" s="33" t="n">
        <v>0</v>
      </c>
    </row>
    <row r="54" customFormat="false" ht="11.25" hidden="false" customHeight="true" outlineLevel="0" collapsed="false">
      <c r="B54" s="24" t="s">
        <v>159</v>
      </c>
      <c r="C54" s="25" t="s">
        <v>160</v>
      </c>
      <c r="D54" s="24" t="n">
        <v>48</v>
      </c>
      <c r="E54" s="34" t="n">
        <v>0.00112348513503971</v>
      </c>
      <c r="F54" s="34" t="n">
        <v>0.000575048048180387</v>
      </c>
      <c r="G54" s="34" t="n">
        <v>8.87282911132593E-005</v>
      </c>
      <c r="H54" s="34" t="n">
        <v>0.000219188790542376</v>
      </c>
      <c r="I54" s="34" t="n">
        <v>0.00223744813959774</v>
      </c>
      <c r="J54" s="34" t="n">
        <v>0.000507505836694128</v>
      </c>
      <c r="K54" s="34" t="n">
        <v>0.000175543018837542</v>
      </c>
      <c r="L54" s="34" t="n">
        <v>0.00329514304574109</v>
      </c>
      <c r="M54" s="34" t="n">
        <v>0.000610312801675138</v>
      </c>
      <c r="N54" s="34" t="n">
        <v>0.00373746949147069</v>
      </c>
      <c r="O54" s="34" t="n">
        <v>0.000846939794521512</v>
      </c>
      <c r="P54" s="34" t="n">
        <v>0.000252190737923254</v>
      </c>
      <c r="Q54" s="34" t="n">
        <v>0.000780972337114385</v>
      </c>
      <c r="R54" s="34" t="n">
        <v>0.000688599741616684</v>
      </c>
      <c r="S54" s="34" t="n">
        <v>0.000667260226209006</v>
      </c>
      <c r="T54" s="34" t="n">
        <v>0.000253023940226345</v>
      </c>
      <c r="U54" s="34" t="n">
        <v>0.00144475681589518</v>
      </c>
      <c r="V54" s="34" t="n">
        <v>0.00029096745357623</v>
      </c>
      <c r="W54" s="34" t="n">
        <v>0.00274891620263332</v>
      </c>
      <c r="X54" s="34" t="n">
        <v>0.000384459133560999</v>
      </c>
      <c r="Y54" s="34" t="n">
        <v>0.00171276227748665</v>
      </c>
      <c r="Z54" s="34" t="n">
        <v>0.00168502683035153</v>
      </c>
      <c r="AA54" s="34" t="n">
        <v>0.000428975903145377</v>
      </c>
      <c r="AB54" s="34" t="n">
        <v>0.00198141598344824</v>
      </c>
      <c r="AC54" s="34" t="n">
        <v>0.00148946458551192</v>
      </c>
      <c r="AD54" s="34" t="n">
        <v>0.00113971044797496</v>
      </c>
      <c r="AE54" s="34" t="n">
        <v>0.00190566341213557</v>
      </c>
      <c r="AF54" s="34" t="n">
        <v>0.000887865887562369</v>
      </c>
      <c r="AG54" s="34" t="n">
        <v>0.00145035286221999</v>
      </c>
      <c r="AH54" s="34" t="n">
        <v>0.00114379521146357</v>
      </c>
      <c r="AI54" s="34" t="n">
        <v>0.00125261333673554</v>
      </c>
      <c r="AJ54" s="34" t="n">
        <v>0.00250250218825573</v>
      </c>
      <c r="AK54" s="34" t="n">
        <v>0.00393704092128951</v>
      </c>
      <c r="AL54" s="34" t="n">
        <v>0.001032626648021</v>
      </c>
      <c r="AM54" s="34" t="n">
        <v>0.000407902428856824</v>
      </c>
      <c r="AN54" s="34" t="n">
        <v>0.000654820123863727</v>
      </c>
      <c r="AO54" s="34" t="n">
        <v>0.000616947906181462</v>
      </c>
      <c r="AP54" s="34" t="n">
        <v>0.00232074168495395</v>
      </c>
      <c r="AQ54" s="34" t="n">
        <v>0.000400045853605227</v>
      </c>
      <c r="AR54" s="34" t="n">
        <v>0.00401579468894883</v>
      </c>
      <c r="AS54" s="34" t="n">
        <v>0.00169170634438071</v>
      </c>
      <c r="AT54" s="34" t="n">
        <v>0.00964492208475334</v>
      </c>
      <c r="AU54" s="34" t="n">
        <v>0.00220973263760465</v>
      </c>
      <c r="AV54" s="34" t="n">
        <v>0.000174873213237119</v>
      </c>
      <c r="AW54" s="34" t="n">
        <v>0.00523428270772782</v>
      </c>
      <c r="AX54" s="34" t="n">
        <v>0.00115352444839756</v>
      </c>
      <c r="AY54" s="34" t="n">
        <v>0.000955297436888648</v>
      </c>
      <c r="AZ54" s="34" t="n">
        <v>1.00107263597085</v>
      </c>
      <c r="BA54" s="34" t="n">
        <v>0.000618413416042499</v>
      </c>
      <c r="BB54" s="34" t="n">
        <v>0.00255853530116519</v>
      </c>
      <c r="BC54" s="34" t="n">
        <v>0.00561493495832368</v>
      </c>
      <c r="BD54" s="34" t="n">
        <v>0.00104739008129028</v>
      </c>
      <c r="BE54" s="34" t="n">
        <v>0.0184533663688133</v>
      </c>
      <c r="BF54" s="34" t="n">
        <v>0.00100888393918377</v>
      </c>
      <c r="BG54" s="34" t="n">
        <v>0.0065265254938658</v>
      </c>
      <c r="BH54" s="34" t="n">
        <v>0.00056030056634166</v>
      </c>
      <c r="BI54" s="34" t="n">
        <v>0.003273541361886</v>
      </c>
      <c r="BJ54" s="34" t="n">
        <v>0.000324004541929533</v>
      </c>
      <c r="BK54" s="34" t="n">
        <v>0.00603241717631334</v>
      </c>
      <c r="BL54" s="34" t="n">
        <v>0.000177995650509665</v>
      </c>
      <c r="BM54" s="34" t="n">
        <v>0.0517994867552306</v>
      </c>
      <c r="BN54" s="34" t="n">
        <v>0.00870928836045523</v>
      </c>
      <c r="BO54" s="34" t="n">
        <v>0.00173336370182161</v>
      </c>
      <c r="BP54" s="34" t="n">
        <v>0.0213298683939216</v>
      </c>
      <c r="BQ54" s="34" t="n">
        <v>0.0150207457828519</v>
      </c>
      <c r="BR54" s="34" t="n">
        <v>0.000507186307323196</v>
      </c>
      <c r="BS54" s="34" t="n">
        <v>0.0496895035370034</v>
      </c>
      <c r="BT54" s="34" t="n">
        <v>0</v>
      </c>
    </row>
    <row r="55" customFormat="false" ht="11.25" hidden="false" customHeight="true" outlineLevel="0" collapsed="false">
      <c r="B55" s="19" t="s">
        <v>161</v>
      </c>
      <c r="C55" s="20" t="s">
        <v>162</v>
      </c>
      <c r="D55" s="19" t="n">
        <v>49</v>
      </c>
      <c r="E55" s="33" t="n">
        <v>0.00489120248622754</v>
      </c>
      <c r="F55" s="33" t="n">
        <v>0.00264307345284596</v>
      </c>
      <c r="G55" s="33" t="n">
        <v>0.000338720443557072</v>
      </c>
      <c r="H55" s="33" t="n">
        <v>0.000693349853665317</v>
      </c>
      <c r="I55" s="33" t="n">
        <v>0.00438676596763294</v>
      </c>
      <c r="J55" s="33" t="n">
        <v>0.00162870403459927</v>
      </c>
      <c r="K55" s="33" t="n">
        <v>0.000459633608544185</v>
      </c>
      <c r="L55" s="33" t="n">
        <v>0.0137977108156748</v>
      </c>
      <c r="M55" s="33" t="n">
        <v>0.00241701475191628</v>
      </c>
      <c r="N55" s="33" t="n">
        <v>0.0144956755229486</v>
      </c>
      <c r="O55" s="33" t="n">
        <v>0.00898418582822157</v>
      </c>
      <c r="P55" s="33" t="n">
        <v>0.00137163023310651</v>
      </c>
      <c r="Q55" s="33" t="n">
        <v>0.00289529482272426</v>
      </c>
      <c r="R55" s="33" t="n">
        <v>0.0027827545899049</v>
      </c>
      <c r="S55" s="33" t="n">
        <v>0.00329041157520446</v>
      </c>
      <c r="T55" s="33" t="n">
        <v>0.00091791003809257</v>
      </c>
      <c r="U55" s="33" t="n">
        <v>0.0059347187300343</v>
      </c>
      <c r="V55" s="33" t="n">
        <v>0.00494492972000451</v>
      </c>
      <c r="W55" s="33" t="n">
        <v>0.00739495769640603</v>
      </c>
      <c r="X55" s="33" t="n">
        <v>0.0014819384628917</v>
      </c>
      <c r="Y55" s="33" t="n">
        <v>0.010883795255735</v>
      </c>
      <c r="Z55" s="33" t="n">
        <v>0.00496441209068474</v>
      </c>
      <c r="AA55" s="33" t="n">
        <v>0.00284625739989801</v>
      </c>
      <c r="AB55" s="33" t="n">
        <v>0.00528702328844558</v>
      </c>
      <c r="AC55" s="33" t="n">
        <v>0.0060498119363887</v>
      </c>
      <c r="AD55" s="33" t="n">
        <v>0.00422631084755669</v>
      </c>
      <c r="AE55" s="33" t="n">
        <v>0.00637207973346637</v>
      </c>
      <c r="AF55" s="33" t="n">
        <v>0.00218358389699416</v>
      </c>
      <c r="AG55" s="33" t="n">
        <v>0.00498571728789849</v>
      </c>
      <c r="AH55" s="33" t="n">
        <v>0.00555068952072224</v>
      </c>
      <c r="AI55" s="33" t="n">
        <v>0.00506422850102943</v>
      </c>
      <c r="AJ55" s="33" t="n">
        <v>0.00764961211764617</v>
      </c>
      <c r="AK55" s="33" t="n">
        <v>0.0128528128402858</v>
      </c>
      <c r="AL55" s="33" t="n">
        <v>0.00365902888500319</v>
      </c>
      <c r="AM55" s="33" t="n">
        <v>0.00173299970743624</v>
      </c>
      <c r="AN55" s="33" t="n">
        <v>0.00270105665972464</v>
      </c>
      <c r="AO55" s="33" t="n">
        <v>0.00177922820697919</v>
      </c>
      <c r="AP55" s="33" t="n">
        <v>0.0109090800791747</v>
      </c>
      <c r="AQ55" s="33" t="n">
        <v>0.00173915135850069</v>
      </c>
      <c r="AR55" s="33" t="n">
        <v>0.0158454435804793</v>
      </c>
      <c r="AS55" s="33" t="n">
        <v>0.00652375339924798</v>
      </c>
      <c r="AT55" s="33" t="n">
        <v>0.0569329802212446</v>
      </c>
      <c r="AU55" s="33" t="n">
        <v>0.00810366980998194</v>
      </c>
      <c r="AV55" s="33" t="n">
        <v>0.000488312060211867</v>
      </c>
      <c r="AW55" s="33" t="n">
        <v>0.00134037904500961</v>
      </c>
      <c r="AX55" s="33" t="n">
        <v>0.00371151481804574</v>
      </c>
      <c r="AY55" s="33" t="n">
        <v>0.00268784921701164</v>
      </c>
      <c r="AZ55" s="33" t="n">
        <v>0.0060279178893547</v>
      </c>
      <c r="BA55" s="33" t="n">
        <v>1.01192527715907</v>
      </c>
      <c r="BB55" s="33" t="n">
        <v>0.00596089146756238</v>
      </c>
      <c r="BC55" s="33" t="n">
        <v>0.0252208630596618</v>
      </c>
      <c r="BD55" s="33" t="n">
        <v>0.00642953000970366</v>
      </c>
      <c r="BE55" s="33" t="n">
        <v>0.101848337091345</v>
      </c>
      <c r="BF55" s="33" t="n">
        <v>0.00600746756066549</v>
      </c>
      <c r="BG55" s="33" t="n">
        <v>0.0208170159412513</v>
      </c>
      <c r="BH55" s="33" t="n">
        <v>0.00597563286165129</v>
      </c>
      <c r="BI55" s="33" t="n">
        <v>0.107886093657532</v>
      </c>
      <c r="BJ55" s="33" t="n">
        <v>0.00253434789349467</v>
      </c>
      <c r="BK55" s="33" t="n">
        <v>0.00984102974364692</v>
      </c>
      <c r="BL55" s="33" t="n">
        <v>0.000698974780309021</v>
      </c>
      <c r="BM55" s="33" t="n">
        <v>0.0540055760925603</v>
      </c>
      <c r="BN55" s="33" t="n">
        <v>0.0801817588251301</v>
      </c>
      <c r="BO55" s="33" t="n">
        <v>0.0644629675335691</v>
      </c>
      <c r="BP55" s="33" t="n">
        <v>0.00484702126029001</v>
      </c>
      <c r="BQ55" s="33" t="n">
        <v>0.00797305639585808</v>
      </c>
      <c r="BR55" s="33" t="n">
        <v>0.00315424335665873</v>
      </c>
      <c r="BS55" s="33" t="n">
        <v>0.0160867954994014</v>
      </c>
      <c r="BT55" s="33" t="n">
        <v>0</v>
      </c>
    </row>
    <row r="56" customFormat="false" ht="11.25" hidden="false" customHeight="true" outlineLevel="0" collapsed="false">
      <c r="B56" s="24" t="s">
        <v>163</v>
      </c>
      <c r="C56" s="25" t="s">
        <v>164</v>
      </c>
      <c r="D56" s="24" t="n">
        <v>50</v>
      </c>
      <c r="E56" s="34" t="n">
        <v>0.0107604766201066</v>
      </c>
      <c r="F56" s="34" t="n">
        <v>0.0103462636609869</v>
      </c>
      <c r="G56" s="34" t="n">
        <v>0.00129056672088185</v>
      </c>
      <c r="H56" s="34" t="n">
        <v>0.00216192490881461</v>
      </c>
      <c r="I56" s="34" t="n">
        <v>0.0142967397673759</v>
      </c>
      <c r="J56" s="34" t="n">
        <v>0.0043222145091475</v>
      </c>
      <c r="K56" s="34" t="n">
        <v>0.00125063182658446</v>
      </c>
      <c r="L56" s="34" t="n">
        <v>0.0546364556452154</v>
      </c>
      <c r="M56" s="34" t="n">
        <v>0.00750925043171074</v>
      </c>
      <c r="N56" s="34" t="n">
        <v>0.0597667038728489</v>
      </c>
      <c r="O56" s="34" t="n">
        <v>0.0556691444211848</v>
      </c>
      <c r="P56" s="34" t="n">
        <v>0.00666962147424042</v>
      </c>
      <c r="Q56" s="34" t="n">
        <v>0.00885045602573831</v>
      </c>
      <c r="R56" s="34" t="n">
        <v>0.0110763530714953</v>
      </c>
      <c r="S56" s="34" t="n">
        <v>0.0152195941651016</v>
      </c>
      <c r="T56" s="34" t="n">
        <v>0.0028506342283811</v>
      </c>
      <c r="U56" s="34" t="n">
        <v>0.0201451602069505</v>
      </c>
      <c r="V56" s="34" t="n">
        <v>0.00347979785325433</v>
      </c>
      <c r="W56" s="34" t="n">
        <v>0.0231268789535356</v>
      </c>
      <c r="X56" s="34" t="n">
        <v>0.00461985232129959</v>
      </c>
      <c r="Y56" s="34" t="n">
        <v>0.0137943411081534</v>
      </c>
      <c r="Z56" s="34" t="n">
        <v>0.016283202588896</v>
      </c>
      <c r="AA56" s="34" t="n">
        <v>0.0146475482848046</v>
      </c>
      <c r="AB56" s="34" t="n">
        <v>0.0261383455905662</v>
      </c>
      <c r="AC56" s="34" t="n">
        <v>0.0193367936394928</v>
      </c>
      <c r="AD56" s="34" t="n">
        <v>0.014173262369675</v>
      </c>
      <c r="AE56" s="34" t="n">
        <v>0.0197079722582806</v>
      </c>
      <c r="AF56" s="34" t="n">
        <v>0.00621513452944695</v>
      </c>
      <c r="AG56" s="34" t="n">
        <v>0.0176833545463775</v>
      </c>
      <c r="AH56" s="34" t="n">
        <v>0.0256207288060776</v>
      </c>
      <c r="AI56" s="34" t="n">
        <v>0.0200371146244079</v>
      </c>
      <c r="AJ56" s="34" t="n">
        <v>0.0274301700243768</v>
      </c>
      <c r="AK56" s="34" t="n">
        <v>0.0701710495803679</v>
      </c>
      <c r="AL56" s="34" t="n">
        <v>0.0125575094232808</v>
      </c>
      <c r="AM56" s="34" t="n">
        <v>0.00730960397332786</v>
      </c>
      <c r="AN56" s="34" t="n">
        <v>0.0103118402964941</v>
      </c>
      <c r="AO56" s="34" t="n">
        <v>0.00499208820245664</v>
      </c>
      <c r="AP56" s="34" t="n">
        <v>0.035640704899238</v>
      </c>
      <c r="AQ56" s="34" t="n">
        <v>0.00562017875101171</v>
      </c>
      <c r="AR56" s="34" t="n">
        <v>0.0600855788672178</v>
      </c>
      <c r="AS56" s="34" t="n">
        <v>0.0339438874412282</v>
      </c>
      <c r="AT56" s="34" t="n">
        <v>0.18116539915885</v>
      </c>
      <c r="AU56" s="34" t="n">
        <v>0.0265111017672067</v>
      </c>
      <c r="AV56" s="34" t="n">
        <v>0.00156278961337111</v>
      </c>
      <c r="AW56" s="34" t="n">
        <v>0.00494896197406488</v>
      </c>
      <c r="AX56" s="34" t="n">
        <v>0.0145542644243912</v>
      </c>
      <c r="AY56" s="34" t="n">
        <v>0.00415564695776448</v>
      </c>
      <c r="AZ56" s="34" t="n">
        <v>0.0293757369886289</v>
      </c>
      <c r="BA56" s="34" t="n">
        <v>0.0199815724719387</v>
      </c>
      <c r="BB56" s="34" t="n">
        <v>1.15577345483874</v>
      </c>
      <c r="BC56" s="34" t="n">
        <v>0.225177602657004</v>
      </c>
      <c r="BD56" s="34" t="n">
        <v>0.0197183124238267</v>
      </c>
      <c r="BE56" s="34" t="n">
        <v>0.151079079827428</v>
      </c>
      <c r="BF56" s="34" t="n">
        <v>0.0130480888300877</v>
      </c>
      <c r="BG56" s="34" t="n">
        <v>0.0494431767474332</v>
      </c>
      <c r="BH56" s="34" t="n">
        <v>0.00751916342903954</v>
      </c>
      <c r="BI56" s="34" t="n">
        <v>0.846809099138621</v>
      </c>
      <c r="BJ56" s="34" t="n">
        <v>0.00984219830626349</v>
      </c>
      <c r="BK56" s="34" t="n">
        <v>0.0245652462482893</v>
      </c>
      <c r="BL56" s="34" t="n">
        <v>0.00278913637833177</v>
      </c>
      <c r="BM56" s="34" t="n">
        <v>0.0752980561479352</v>
      </c>
      <c r="BN56" s="34" t="n">
        <v>0.0143588778520565</v>
      </c>
      <c r="BO56" s="34" t="n">
        <v>0.0259192007989691</v>
      </c>
      <c r="BP56" s="34" t="n">
        <v>0.0164379429483116</v>
      </c>
      <c r="BQ56" s="34" t="n">
        <v>0.010613213473683</v>
      </c>
      <c r="BR56" s="34" t="n">
        <v>0.0152284627670519</v>
      </c>
      <c r="BS56" s="34" t="n">
        <v>0.0303985207244084</v>
      </c>
      <c r="BT56" s="34" t="n">
        <v>0</v>
      </c>
    </row>
    <row r="57" customFormat="false" ht="11.25" hidden="false" customHeight="true" outlineLevel="0" collapsed="false">
      <c r="B57" s="19" t="s">
        <v>165</v>
      </c>
      <c r="C57" s="20" t="s">
        <v>166</v>
      </c>
      <c r="D57" s="19" t="n">
        <v>51</v>
      </c>
      <c r="E57" s="33" t="n">
        <v>0.00502265885071097</v>
      </c>
      <c r="F57" s="33" t="n">
        <v>0.00274776222570882</v>
      </c>
      <c r="G57" s="33" t="n">
        <v>0.000369375866384441</v>
      </c>
      <c r="H57" s="33" t="n">
        <v>0.00104606699430834</v>
      </c>
      <c r="I57" s="33" t="n">
        <v>0.00835900469568445</v>
      </c>
      <c r="J57" s="33" t="n">
        <v>0.0025974622898702</v>
      </c>
      <c r="K57" s="33" t="n">
        <v>0.000768483835097083</v>
      </c>
      <c r="L57" s="33" t="n">
        <v>0.0179393753036809</v>
      </c>
      <c r="M57" s="33" t="n">
        <v>0.00422413079040585</v>
      </c>
      <c r="N57" s="33" t="n">
        <v>0.0220567961118969</v>
      </c>
      <c r="O57" s="33" t="n">
        <v>0.00764790544134048</v>
      </c>
      <c r="P57" s="33" t="n">
        <v>0.00120107381757246</v>
      </c>
      <c r="Q57" s="33" t="n">
        <v>0.00537922350522937</v>
      </c>
      <c r="R57" s="33" t="n">
        <v>0.00751712764141856</v>
      </c>
      <c r="S57" s="33" t="n">
        <v>0.00419091411390001</v>
      </c>
      <c r="T57" s="33" t="n">
        <v>0.00164055086033562</v>
      </c>
      <c r="U57" s="33" t="n">
        <v>0.00851592800802609</v>
      </c>
      <c r="V57" s="33" t="n">
        <v>0.00420131719197489</v>
      </c>
      <c r="W57" s="33" t="n">
        <v>0.0128741286077008</v>
      </c>
      <c r="X57" s="33" t="n">
        <v>0.00240339373627558</v>
      </c>
      <c r="Y57" s="33" t="n">
        <v>0.00756266200912557</v>
      </c>
      <c r="Z57" s="33" t="n">
        <v>0.00674971055986827</v>
      </c>
      <c r="AA57" s="33" t="n">
        <v>0.00213153504151024</v>
      </c>
      <c r="AB57" s="33" t="n">
        <v>0.00562107776201164</v>
      </c>
      <c r="AC57" s="33" t="n">
        <v>0.00850754326974842</v>
      </c>
      <c r="AD57" s="33" t="n">
        <v>0.00817788710580982</v>
      </c>
      <c r="AE57" s="33" t="n">
        <v>0.00898323115184994</v>
      </c>
      <c r="AF57" s="33" t="n">
        <v>0.00313396521643267</v>
      </c>
      <c r="AG57" s="33" t="n">
        <v>0.00826805579086778</v>
      </c>
      <c r="AH57" s="33" t="n">
        <v>0.00972244692501998</v>
      </c>
      <c r="AI57" s="33" t="n">
        <v>0.00876295777517195</v>
      </c>
      <c r="AJ57" s="33" t="n">
        <v>0.0129644599405885</v>
      </c>
      <c r="AK57" s="33" t="n">
        <v>0.0276212557469769</v>
      </c>
      <c r="AL57" s="33" t="n">
        <v>0.0166633251096082</v>
      </c>
      <c r="AM57" s="33" t="n">
        <v>0.00365613318051525</v>
      </c>
      <c r="AN57" s="33" t="n">
        <v>0.00601587551225855</v>
      </c>
      <c r="AO57" s="33" t="n">
        <v>0.00261947016042611</v>
      </c>
      <c r="AP57" s="33" t="n">
        <v>0.00837353417669006</v>
      </c>
      <c r="AQ57" s="33" t="n">
        <v>0.00291213590345589</v>
      </c>
      <c r="AR57" s="33" t="n">
        <v>0.0295863133041321</v>
      </c>
      <c r="AS57" s="33" t="n">
        <v>0.0136593380251245</v>
      </c>
      <c r="AT57" s="33" t="n">
        <v>0.0674890812440446</v>
      </c>
      <c r="AU57" s="33" t="n">
        <v>0.0180444889143059</v>
      </c>
      <c r="AV57" s="33" t="n">
        <v>0.000852744445805886</v>
      </c>
      <c r="AW57" s="33" t="n">
        <v>0.00188740665225214</v>
      </c>
      <c r="AX57" s="33" t="n">
        <v>0.00801580673076105</v>
      </c>
      <c r="AY57" s="33" t="n">
        <v>0.00208137183489343</v>
      </c>
      <c r="AZ57" s="33" t="n">
        <v>0.00918762995495328</v>
      </c>
      <c r="BA57" s="33" t="n">
        <v>0.00456385891339921</v>
      </c>
      <c r="BB57" s="33" t="n">
        <v>0.00554528788320023</v>
      </c>
      <c r="BC57" s="33" t="n">
        <v>1.19208201263272</v>
      </c>
      <c r="BD57" s="33" t="n">
        <v>0.0108137477177006</v>
      </c>
      <c r="BE57" s="33" t="n">
        <v>0.0866507634957564</v>
      </c>
      <c r="BF57" s="33" t="n">
        <v>0.00696305167697396</v>
      </c>
      <c r="BG57" s="33" t="n">
        <v>0.0218808259624202</v>
      </c>
      <c r="BH57" s="33" t="n">
        <v>0.00477734430462364</v>
      </c>
      <c r="BI57" s="33" t="n">
        <v>0.0190380929522379</v>
      </c>
      <c r="BJ57" s="33" t="n">
        <v>0.00188637106274979</v>
      </c>
      <c r="BK57" s="33" t="n">
        <v>0.0160124011397719</v>
      </c>
      <c r="BL57" s="33" t="n">
        <v>0.00227127503396081</v>
      </c>
      <c r="BM57" s="33" t="n">
        <v>0.0480038264827524</v>
      </c>
      <c r="BN57" s="33" t="n">
        <v>0.0100829053274156</v>
      </c>
      <c r="BO57" s="33" t="n">
        <v>0.0103730801858456</v>
      </c>
      <c r="BP57" s="33" t="n">
        <v>0.0068274441629626</v>
      </c>
      <c r="BQ57" s="33" t="n">
        <v>0.0116053923804293</v>
      </c>
      <c r="BR57" s="33" t="n">
        <v>0.00269059170059435</v>
      </c>
      <c r="BS57" s="33" t="n">
        <v>0.0189344794278953</v>
      </c>
      <c r="BT57" s="33" t="n">
        <v>0</v>
      </c>
    </row>
    <row r="58" customFormat="false" ht="11.25" hidden="false" customHeight="true" outlineLevel="0" collapsed="false">
      <c r="B58" s="24" t="s">
        <v>167</v>
      </c>
      <c r="C58" s="25" t="s">
        <v>168</v>
      </c>
      <c r="D58" s="24" t="n">
        <v>52</v>
      </c>
      <c r="E58" s="34" t="n">
        <v>0.00698921366614817</v>
      </c>
      <c r="F58" s="34" t="n">
        <v>0.00381298049558741</v>
      </c>
      <c r="G58" s="34" t="n">
        <v>0.000457613288034655</v>
      </c>
      <c r="H58" s="34" t="n">
        <v>0.00107844388463941</v>
      </c>
      <c r="I58" s="34" t="n">
        <v>0.00690298671018026</v>
      </c>
      <c r="J58" s="34" t="n">
        <v>0.00458621231962289</v>
      </c>
      <c r="K58" s="34" t="n">
        <v>0.00101940465853952</v>
      </c>
      <c r="L58" s="34" t="n">
        <v>0.0232722734541217</v>
      </c>
      <c r="M58" s="34" t="n">
        <v>0.00367878967986837</v>
      </c>
      <c r="N58" s="34" t="n">
        <v>0.026056232804156</v>
      </c>
      <c r="O58" s="34" t="n">
        <v>0.00654147886661394</v>
      </c>
      <c r="P58" s="34" t="n">
        <v>0.00193356950768821</v>
      </c>
      <c r="Q58" s="34" t="n">
        <v>0.00478682528434834</v>
      </c>
      <c r="R58" s="34" t="n">
        <v>0.00444996058706051</v>
      </c>
      <c r="S58" s="34" t="n">
        <v>0.00413608832583567</v>
      </c>
      <c r="T58" s="34" t="n">
        <v>0.00152175377825547</v>
      </c>
      <c r="U58" s="34" t="n">
        <v>0.00958594434013318</v>
      </c>
      <c r="V58" s="34" t="n">
        <v>0.00141135177314026</v>
      </c>
      <c r="W58" s="34" t="n">
        <v>0.0117983472677441</v>
      </c>
      <c r="X58" s="34" t="n">
        <v>0.00224556729514801</v>
      </c>
      <c r="Y58" s="34" t="n">
        <v>0.0109079915826743</v>
      </c>
      <c r="Z58" s="34" t="n">
        <v>0.00881262900549932</v>
      </c>
      <c r="AA58" s="34" t="n">
        <v>0.00279765774691658</v>
      </c>
      <c r="AB58" s="34" t="n">
        <v>0.00911832863221781</v>
      </c>
      <c r="AC58" s="34" t="n">
        <v>0.00954961617114926</v>
      </c>
      <c r="AD58" s="34" t="n">
        <v>0.00719330072947184</v>
      </c>
      <c r="AE58" s="34" t="n">
        <v>0.0126163037143255</v>
      </c>
      <c r="AF58" s="34" t="n">
        <v>0.00387006022557069</v>
      </c>
      <c r="AG58" s="34" t="n">
        <v>0.00865048135500822</v>
      </c>
      <c r="AH58" s="34" t="n">
        <v>0.00845140523374901</v>
      </c>
      <c r="AI58" s="34" t="n">
        <v>0.0106051843850458</v>
      </c>
      <c r="AJ58" s="34" t="n">
        <v>0.0137413748036045</v>
      </c>
      <c r="AK58" s="34" t="n">
        <v>0.0235870152253889</v>
      </c>
      <c r="AL58" s="34" t="n">
        <v>0.0072061824065264</v>
      </c>
      <c r="AM58" s="34" t="n">
        <v>0.00318081472346633</v>
      </c>
      <c r="AN58" s="34" t="n">
        <v>0.00475341203349883</v>
      </c>
      <c r="AO58" s="34" t="n">
        <v>0.00288482484085781</v>
      </c>
      <c r="AP58" s="34" t="n">
        <v>0.0172273718376652</v>
      </c>
      <c r="AQ58" s="34" t="n">
        <v>0.00443177475857075</v>
      </c>
      <c r="AR58" s="34" t="n">
        <v>0.0279581893023556</v>
      </c>
      <c r="AS58" s="34" t="n">
        <v>0.0100117057242437</v>
      </c>
      <c r="AT58" s="34" t="n">
        <v>0.0943707231422217</v>
      </c>
      <c r="AU58" s="34" t="n">
        <v>0.0202152416845877</v>
      </c>
      <c r="AV58" s="34" t="n">
        <v>0.000856914767472493</v>
      </c>
      <c r="AW58" s="34" t="n">
        <v>0.0100119308299742</v>
      </c>
      <c r="AX58" s="34" t="n">
        <v>0.012138961417459</v>
      </c>
      <c r="AY58" s="34" t="n">
        <v>0.00148009996368741</v>
      </c>
      <c r="AZ58" s="34" t="n">
        <v>0.00693063701213588</v>
      </c>
      <c r="BA58" s="34" t="n">
        <v>0.0116785651784236</v>
      </c>
      <c r="BB58" s="34" t="n">
        <v>0.0139095578453967</v>
      </c>
      <c r="BC58" s="34" t="n">
        <v>0.0545527643407619</v>
      </c>
      <c r="BD58" s="34" t="n">
        <v>1.05559507216222</v>
      </c>
      <c r="BE58" s="34" t="n">
        <v>0.160993028392757</v>
      </c>
      <c r="BF58" s="34" t="n">
        <v>0.00812121125871911</v>
      </c>
      <c r="BG58" s="34" t="n">
        <v>0.0262735729305628</v>
      </c>
      <c r="BH58" s="34" t="n">
        <v>0.00297044379221473</v>
      </c>
      <c r="BI58" s="34" t="n">
        <v>0.0384144209307542</v>
      </c>
      <c r="BJ58" s="34" t="n">
        <v>0.00444831955036679</v>
      </c>
      <c r="BK58" s="34" t="n">
        <v>0.0138759887832894</v>
      </c>
      <c r="BL58" s="34" t="n">
        <v>0.00187148005523408</v>
      </c>
      <c r="BM58" s="34" t="n">
        <v>0.117804020337689</v>
      </c>
      <c r="BN58" s="34" t="n">
        <v>0.0147834367845196</v>
      </c>
      <c r="BO58" s="34" t="n">
        <v>0.00741606283518837</v>
      </c>
      <c r="BP58" s="34" t="n">
        <v>0.0213107869463294</v>
      </c>
      <c r="BQ58" s="34" t="n">
        <v>0.00504518480865328</v>
      </c>
      <c r="BR58" s="34" t="n">
        <v>0.00264920263570922</v>
      </c>
      <c r="BS58" s="34" t="n">
        <v>0.0214866155787331</v>
      </c>
      <c r="BT58" s="34" t="n">
        <v>0</v>
      </c>
    </row>
    <row r="59" customFormat="false" ht="11.25" hidden="false" customHeight="true" outlineLevel="0" collapsed="false">
      <c r="B59" s="19" t="s">
        <v>169</v>
      </c>
      <c r="C59" s="20" t="s">
        <v>170</v>
      </c>
      <c r="D59" s="19" t="n">
        <v>53</v>
      </c>
      <c r="E59" s="33" t="n">
        <v>0.0159889518281761</v>
      </c>
      <c r="F59" s="33" t="n">
        <v>0.00778137014028664</v>
      </c>
      <c r="G59" s="33" t="n">
        <v>0.00124525824729061</v>
      </c>
      <c r="H59" s="33" t="n">
        <v>0.00229242387376075</v>
      </c>
      <c r="I59" s="33" t="n">
        <v>0.0133418670287382</v>
      </c>
      <c r="J59" s="33" t="n">
        <v>0.00681770937309097</v>
      </c>
      <c r="K59" s="33" t="n">
        <v>0.00167306194815071</v>
      </c>
      <c r="L59" s="33" t="n">
        <v>0.0292435840352006</v>
      </c>
      <c r="M59" s="33" t="n">
        <v>0.00815799416353725</v>
      </c>
      <c r="N59" s="33" t="n">
        <v>0.0290166287256951</v>
      </c>
      <c r="O59" s="33" t="n">
        <v>0.00757537463129639</v>
      </c>
      <c r="P59" s="33" t="n">
        <v>0.00227814247838821</v>
      </c>
      <c r="Q59" s="33" t="n">
        <v>0.00675804962186087</v>
      </c>
      <c r="R59" s="33" t="n">
        <v>0.00614514090772159</v>
      </c>
      <c r="S59" s="33" t="n">
        <v>0.0052433309689487</v>
      </c>
      <c r="T59" s="33" t="n">
        <v>0.00268108069906524</v>
      </c>
      <c r="U59" s="33" t="n">
        <v>0.0122518470493884</v>
      </c>
      <c r="V59" s="33" t="n">
        <v>0.00221497587162895</v>
      </c>
      <c r="W59" s="33" t="n">
        <v>0.0229474722697947</v>
      </c>
      <c r="X59" s="33" t="n">
        <v>0.00448820447827532</v>
      </c>
      <c r="Y59" s="33" t="n">
        <v>0.0150447423126273</v>
      </c>
      <c r="Z59" s="33" t="n">
        <v>0.00889559389670245</v>
      </c>
      <c r="AA59" s="33" t="n">
        <v>0.00399411770375293</v>
      </c>
      <c r="AB59" s="33" t="n">
        <v>0.0061415335967758</v>
      </c>
      <c r="AC59" s="33" t="n">
        <v>0.0122720373038513</v>
      </c>
      <c r="AD59" s="33" t="n">
        <v>0.0108151833607011</v>
      </c>
      <c r="AE59" s="33" t="n">
        <v>0.0185747960879338</v>
      </c>
      <c r="AF59" s="33" t="n">
        <v>0.00672473370096288</v>
      </c>
      <c r="AG59" s="33" t="n">
        <v>0.0122230047288723</v>
      </c>
      <c r="AH59" s="33" t="n">
        <v>0.00821922391577633</v>
      </c>
      <c r="AI59" s="33" t="n">
        <v>0.0103012943268888</v>
      </c>
      <c r="AJ59" s="33" t="n">
        <v>0.0169663501739002</v>
      </c>
      <c r="AK59" s="33" t="n">
        <v>0.021840946606223</v>
      </c>
      <c r="AL59" s="33" t="n">
        <v>0.0104094739282375</v>
      </c>
      <c r="AM59" s="33" t="n">
        <v>0.00474088269853242</v>
      </c>
      <c r="AN59" s="33" t="n">
        <v>0.00600609682541689</v>
      </c>
      <c r="AO59" s="33" t="n">
        <v>0.0038334014110439</v>
      </c>
      <c r="AP59" s="33" t="n">
        <v>0.0204712595124831</v>
      </c>
      <c r="AQ59" s="33" t="n">
        <v>0.00422643941303892</v>
      </c>
      <c r="AR59" s="33" t="n">
        <v>0.0474864918698706</v>
      </c>
      <c r="AS59" s="33" t="n">
        <v>0.0106571411026574</v>
      </c>
      <c r="AT59" s="33" t="n">
        <v>0.0746090931105876</v>
      </c>
      <c r="AU59" s="33" t="n">
        <v>0.0299985631864965</v>
      </c>
      <c r="AV59" s="33" t="n">
        <v>0.00168007166344078</v>
      </c>
      <c r="AW59" s="33" t="n">
        <v>0.00392930703401264</v>
      </c>
      <c r="AX59" s="33" t="n">
        <v>0.00896244725277649</v>
      </c>
      <c r="AY59" s="33" t="n">
        <v>0.00180599595105038</v>
      </c>
      <c r="AZ59" s="33" t="n">
        <v>0.0118616688981526</v>
      </c>
      <c r="BA59" s="33" t="n">
        <v>0.00412661789398684</v>
      </c>
      <c r="BB59" s="33" t="n">
        <v>0.00479210353532736</v>
      </c>
      <c r="BC59" s="33" t="n">
        <v>0.0287217776244678</v>
      </c>
      <c r="BD59" s="33" t="n">
        <v>0.00621056479625301</v>
      </c>
      <c r="BE59" s="33" t="n">
        <v>1.14601629734304</v>
      </c>
      <c r="BF59" s="33" t="n">
        <v>0.0294516625896373</v>
      </c>
      <c r="BG59" s="33" t="n">
        <v>0.0125100137366553</v>
      </c>
      <c r="BH59" s="33" t="n">
        <v>0.00444599720145179</v>
      </c>
      <c r="BI59" s="33" t="n">
        <v>0.00695423839223172</v>
      </c>
      <c r="BJ59" s="33" t="n">
        <v>0.00326352331866508</v>
      </c>
      <c r="BK59" s="33" t="n">
        <v>0.0126002041338996</v>
      </c>
      <c r="BL59" s="33" t="n">
        <v>0.00195130280409375</v>
      </c>
      <c r="BM59" s="33" t="n">
        <v>0.12171676015004</v>
      </c>
      <c r="BN59" s="33" t="n">
        <v>0.0038236787886987</v>
      </c>
      <c r="BO59" s="33" t="n">
        <v>0.00499601538041162</v>
      </c>
      <c r="BP59" s="33" t="n">
        <v>0.00400618011903204</v>
      </c>
      <c r="BQ59" s="33" t="n">
        <v>0.0132322544169247</v>
      </c>
      <c r="BR59" s="33" t="n">
        <v>0.00296489941856233</v>
      </c>
      <c r="BS59" s="33" t="n">
        <v>0.0118665334523817</v>
      </c>
      <c r="BT59" s="33" t="n">
        <v>0</v>
      </c>
    </row>
    <row r="60" customFormat="false" ht="11.25" hidden="false" customHeight="true" outlineLevel="0" collapsed="false">
      <c r="B60" s="24" t="s">
        <v>171</v>
      </c>
      <c r="C60" s="25" t="s">
        <v>172</v>
      </c>
      <c r="D60" s="24" t="n">
        <v>54</v>
      </c>
      <c r="E60" s="34" t="n">
        <v>0.00205461989579501</v>
      </c>
      <c r="F60" s="34" t="n">
        <v>0.00116162669310001</v>
      </c>
      <c r="G60" s="34" t="n">
        <v>0.000134599259266242</v>
      </c>
      <c r="H60" s="34" t="n">
        <v>0.000409857848160026</v>
      </c>
      <c r="I60" s="34" t="n">
        <v>0.00257758932146549</v>
      </c>
      <c r="J60" s="34" t="n">
        <v>0.000971883693374885</v>
      </c>
      <c r="K60" s="34" t="n">
        <v>0.00031346542887762</v>
      </c>
      <c r="L60" s="34" t="n">
        <v>0.0104950925790917</v>
      </c>
      <c r="M60" s="34" t="n">
        <v>0.00170930914427783</v>
      </c>
      <c r="N60" s="34" t="n">
        <v>0.00935690797751555</v>
      </c>
      <c r="O60" s="34" t="n">
        <v>0.00174627686728531</v>
      </c>
      <c r="P60" s="34" t="n">
        <v>0.00067459490003112</v>
      </c>
      <c r="Q60" s="34" t="n">
        <v>0.00269115129619496</v>
      </c>
      <c r="R60" s="34" t="n">
        <v>0.00272602264755597</v>
      </c>
      <c r="S60" s="34" t="n">
        <v>0.00219698749967968</v>
      </c>
      <c r="T60" s="34" t="n">
        <v>0.000669815097286225</v>
      </c>
      <c r="U60" s="34" t="n">
        <v>0.00415247151873064</v>
      </c>
      <c r="V60" s="34" t="n">
        <v>0.00061692462819552</v>
      </c>
      <c r="W60" s="34" t="n">
        <v>0.00493057396212222</v>
      </c>
      <c r="X60" s="34" t="n">
        <v>0.00119383980689526</v>
      </c>
      <c r="Y60" s="34" t="n">
        <v>0.00324531359599208</v>
      </c>
      <c r="Z60" s="34" t="n">
        <v>0.00310886969428133</v>
      </c>
      <c r="AA60" s="34" t="n">
        <v>0.00112308371032808</v>
      </c>
      <c r="AB60" s="34" t="n">
        <v>0.0029541839307713</v>
      </c>
      <c r="AC60" s="34" t="n">
        <v>0.00445262691606991</v>
      </c>
      <c r="AD60" s="34" t="n">
        <v>0.00318794282149487</v>
      </c>
      <c r="AE60" s="34" t="n">
        <v>0.00511300032087874</v>
      </c>
      <c r="AF60" s="34" t="n">
        <v>0.00153072970774078</v>
      </c>
      <c r="AG60" s="34" t="n">
        <v>0.00394480175731425</v>
      </c>
      <c r="AH60" s="34" t="n">
        <v>0.00278603197312373</v>
      </c>
      <c r="AI60" s="34" t="n">
        <v>0.00324528106281269</v>
      </c>
      <c r="AJ60" s="34" t="n">
        <v>0.00650229351427717</v>
      </c>
      <c r="AK60" s="34" t="n">
        <v>0.00452771556643949</v>
      </c>
      <c r="AL60" s="34" t="n">
        <v>0.00251097415835867</v>
      </c>
      <c r="AM60" s="34" t="n">
        <v>0.00101931470635838</v>
      </c>
      <c r="AN60" s="34" t="n">
        <v>0.00208072195044156</v>
      </c>
      <c r="AO60" s="34" t="n">
        <v>0.000970596654247522</v>
      </c>
      <c r="AP60" s="34" t="n">
        <v>0.00372150933586508</v>
      </c>
      <c r="AQ60" s="34" t="n">
        <v>0.00120690446573368</v>
      </c>
      <c r="AR60" s="34" t="n">
        <v>0.0110456189164982</v>
      </c>
      <c r="AS60" s="34" t="n">
        <v>0.00818787155423149</v>
      </c>
      <c r="AT60" s="34" t="n">
        <v>0.0635407806789957</v>
      </c>
      <c r="AU60" s="34" t="n">
        <v>0.00626993226511484</v>
      </c>
      <c r="AV60" s="34" t="n">
        <v>0.000416808856139068</v>
      </c>
      <c r="AW60" s="34" t="n">
        <v>0.000860133425084409</v>
      </c>
      <c r="AX60" s="34" t="n">
        <v>0.0049289953767925</v>
      </c>
      <c r="AY60" s="34" t="n">
        <v>0.00190124556408188</v>
      </c>
      <c r="AZ60" s="34" t="n">
        <v>0.00873937503138463</v>
      </c>
      <c r="BA60" s="34" t="n">
        <v>0.00229748957980086</v>
      </c>
      <c r="BB60" s="34" t="n">
        <v>0.00287013437608058</v>
      </c>
      <c r="BC60" s="34" t="n">
        <v>0.0150688459581423</v>
      </c>
      <c r="BD60" s="34" t="n">
        <v>0.00337394496294039</v>
      </c>
      <c r="BE60" s="34" t="n">
        <v>0.0183441594534251</v>
      </c>
      <c r="BF60" s="34" t="n">
        <v>1.0040774121051</v>
      </c>
      <c r="BG60" s="34" t="n">
        <v>0.0096079200304088</v>
      </c>
      <c r="BH60" s="34" t="n">
        <v>0.00234097609923399</v>
      </c>
      <c r="BI60" s="34" t="n">
        <v>0.00453886962471062</v>
      </c>
      <c r="BJ60" s="34" t="n">
        <v>0.00214844802564426</v>
      </c>
      <c r="BK60" s="34" t="n">
        <v>0.00685468854668348</v>
      </c>
      <c r="BL60" s="34" t="n">
        <v>0.000610964607551136</v>
      </c>
      <c r="BM60" s="34" t="n">
        <v>0.011085045729869</v>
      </c>
      <c r="BN60" s="34" t="n">
        <v>0.00245073757282466</v>
      </c>
      <c r="BO60" s="34" t="n">
        <v>0.0072344398961325</v>
      </c>
      <c r="BP60" s="34" t="n">
        <v>0.00223038557260459</v>
      </c>
      <c r="BQ60" s="34" t="n">
        <v>0.00458158591988924</v>
      </c>
      <c r="BR60" s="34" t="n">
        <v>0.00582834531317836</v>
      </c>
      <c r="BS60" s="34" t="n">
        <v>0.00749558559447457</v>
      </c>
      <c r="BT60" s="34" t="n">
        <v>0</v>
      </c>
    </row>
    <row r="61" customFormat="false" ht="11.25" hidden="false" customHeight="true" outlineLevel="0" collapsed="false">
      <c r="B61" s="19" t="s">
        <v>173</v>
      </c>
      <c r="C61" s="20" t="s">
        <v>174</v>
      </c>
      <c r="D61" s="19" t="n">
        <v>55</v>
      </c>
      <c r="E61" s="33" t="n">
        <v>0.0228062873752512</v>
      </c>
      <c r="F61" s="33" t="n">
        <v>0.0103430649555365</v>
      </c>
      <c r="G61" s="33" t="n">
        <v>0.0012755329110712</v>
      </c>
      <c r="H61" s="33" t="n">
        <v>0.00652105420799135</v>
      </c>
      <c r="I61" s="33" t="n">
        <v>0.057070619007812</v>
      </c>
      <c r="J61" s="33" t="n">
        <v>0.0118808915576457</v>
      </c>
      <c r="K61" s="33" t="n">
        <v>0.00322387690660617</v>
      </c>
      <c r="L61" s="33" t="n">
        <v>0.0604224136994532</v>
      </c>
      <c r="M61" s="33" t="n">
        <v>0.0137502520151348</v>
      </c>
      <c r="N61" s="33" t="n">
        <v>0.0781572468980856</v>
      </c>
      <c r="O61" s="33" t="n">
        <v>0.0183168174204315</v>
      </c>
      <c r="P61" s="33" t="n">
        <v>0.00811641124073493</v>
      </c>
      <c r="Q61" s="33" t="n">
        <v>0.0123971924527738</v>
      </c>
      <c r="R61" s="33" t="n">
        <v>0.00939945739307462</v>
      </c>
      <c r="S61" s="33" t="n">
        <v>0.00911409337305059</v>
      </c>
      <c r="T61" s="33" t="n">
        <v>0.00430878524118897</v>
      </c>
      <c r="U61" s="33" t="n">
        <v>0.02720990574505</v>
      </c>
      <c r="V61" s="33" t="n">
        <v>0.0039916343397174</v>
      </c>
      <c r="W61" s="33" t="n">
        <v>0.0902580917071991</v>
      </c>
      <c r="X61" s="33" t="n">
        <v>0.00809468482092641</v>
      </c>
      <c r="Y61" s="33" t="n">
        <v>0.0437525922095943</v>
      </c>
      <c r="Z61" s="33" t="n">
        <v>0.041078470308095</v>
      </c>
      <c r="AA61" s="33" t="n">
        <v>0.0140226698445978</v>
      </c>
      <c r="AB61" s="33" t="n">
        <v>0.03644496774297</v>
      </c>
      <c r="AC61" s="33" t="n">
        <v>0.0292033052372802</v>
      </c>
      <c r="AD61" s="33" t="n">
        <v>0.0275312405929269</v>
      </c>
      <c r="AE61" s="33" t="n">
        <v>0.0326304281720997</v>
      </c>
      <c r="AF61" s="33" t="n">
        <v>0.0130476063566173</v>
      </c>
      <c r="AG61" s="33" t="n">
        <v>0.0218273328397427</v>
      </c>
      <c r="AH61" s="33" t="n">
        <v>0.0289186613427319</v>
      </c>
      <c r="AI61" s="33" t="n">
        <v>0.0352205981385344</v>
      </c>
      <c r="AJ61" s="33" t="n">
        <v>0.0350389667295635</v>
      </c>
      <c r="AK61" s="33" t="n">
        <v>0.0467758046975251</v>
      </c>
      <c r="AL61" s="33" t="n">
        <v>0.0217258678654235</v>
      </c>
      <c r="AM61" s="33" t="n">
        <v>0.00678320787990189</v>
      </c>
      <c r="AN61" s="33" t="n">
        <v>0.011270621637569</v>
      </c>
      <c r="AO61" s="33" t="n">
        <v>0.00774607145360014</v>
      </c>
      <c r="AP61" s="33" t="n">
        <v>0.021560421840313</v>
      </c>
      <c r="AQ61" s="33" t="n">
        <v>0.0113697070512599</v>
      </c>
      <c r="AR61" s="33" t="n">
        <v>0.0944506829429017</v>
      </c>
      <c r="AS61" s="33" t="n">
        <v>0.0438801251207723</v>
      </c>
      <c r="AT61" s="33" t="n">
        <v>0.16607874238564</v>
      </c>
      <c r="AU61" s="33" t="n">
        <v>0.0492131517606198</v>
      </c>
      <c r="AV61" s="33" t="n">
        <v>0.00202083823271991</v>
      </c>
      <c r="AW61" s="33" t="n">
        <v>0.00680079101781158</v>
      </c>
      <c r="AX61" s="33" t="n">
        <v>0.0167899955804181</v>
      </c>
      <c r="AY61" s="33" t="n">
        <v>0.00250590996991404</v>
      </c>
      <c r="AZ61" s="33" t="n">
        <v>0.0185131406939401</v>
      </c>
      <c r="BA61" s="33" t="n">
        <v>0.010076342331498</v>
      </c>
      <c r="BB61" s="33" t="n">
        <v>0.020520934869406</v>
      </c>
      <c r="BC61" s="33" t="n">
        <v>0.0534571247348691</v>
      </c>
      <c r="BD61" s="33" t="n">
        <v>0.0180044980182349</v>
      </c>
      <c r="BE61" s="33" t="n">
        <v>0.131190791454295</v>
      </c>
      <c r="BF61" s="33" t="n">
        <v>0.0157472631848421</v>
      </c>
      <c r="BG61" s="33" t="n">
        <v>1.09336149072684</v>
      </c>
      <c r="BH61" s="33" t="n">
        <v>0.027851882539452</v>
      </c>
      <c r="BI61" s="33" t="n">
        <v>0.0208520806298291</v>
      </c>
      <c r="BJ61" s="33" t="n">
        <v>0.00676986089357249</v>
      </c>
      <c r="BK61" s="33" t="n">
        <v>0.0291000881768619</v>
      </c>
      <c r="BL61" s="33" t="n">
        <v>0.00623238343306945</v>
      </c>
      <c r="BM61" s="33" t="n">
        <v>0.0511010481292623</v>
      </c>
      <c r="BN61" s="33" t="n">
        <v>0.00805177402170518</v>
      </c>
      <c r="BO61" s="33" t="n">
        <v>0.0145081504752039</v>
      </c>
      <c r="BP61" s="33" t="n">
        <v>0.00998953964552957</v>
      </c>
      <c r="BQ61" s="33" t="n">
        <v>0.0187005782728248</v>
      </c>
      <c r="BR61" s="33" t="n">
        <v>0.00687844456895568</v>
      </c>
      <c r="BS61" s="33" t="n">
        <v>0.0332631723245609</v>
      </c>
      <c r="BT61" s="33" t="n">
        <v>0</v>
      </c>
    </row>
    <row r="62" customFormat="false" ht="11.25" hidden="false" customHeight="true" outlineLevel="0" collapsed="false">
      <c r="B62" s="24" t="s">
        <v>175</v>
      </c>
      <c r="C62" s="25" t="s">
        <v>176</v>
      </c>
      <c r="D62" s="24" t="n">
        <v>56</v>
      </c>
      <c r="E62" s="34" t="n">
        <v>0.022688072609482</v>
      </c>
      <c r="F62" s="34" t="n">
        <v>0.00720059031057681</v>
      </c>
      <c r="G62" s="34" t="n">
        <v>0.00069715835534455</v>
      </c>
      <c r="H62" s="34" t="n">
        <v>0.00280138465190964</v>
      </c>
      <c r="I62" s="34" t="n">
        <v>0.0503422929325571</v>
      </c>
      <c r="J62" s="34" t="n">
        <v>0.0111164178247655</v>
      </c>
      <c r="K62" s="34" t="n">
        <v>0.00364487849330122</v>
      </c>
      <c r="L62" s="34" t="n">
        <v>0.0369732792414536</v>
      </c>
      <c r="M62" s="34" t="n">
        <v>0.0132844580380029</v>
      </c>
      <c r="N62" s="34" t="n">
        <v>0.0401170161801802</v>
      </c>
      <c r="O62" s="34" t="n">
        <v>0.0105545959488221</v>
      </c>
      <c r="P62" s="34" t="n">
        <v>0.00430963129130553</v>
      </c>
      <c r="Q62" s="34" t="n">
        <v>0.00938481542285633</v>
      </c>
      <c r="R62" s="34" t="n">
        <v>0.00743134498786064</v>
      </c>
      <c r="S62" s="34" t="n">
        <v>0.00612651378487315</v>
      </c>
      <c r="T62" s="34" t="n">
        <v>0.00265351291461259</v>
      </c>
      <c r="U62" s="34" t="n">
        <v>0.0189923100771215</v>
      </c>
      <c r="V62" s="34" t="n">
        <v>0.002837689204265</v>
      </c>
      <c r="W62" s="34" t="n">
        <v>0.0506909532946027</v>
      </c>
      <c r="X62" s="34" t="n">
        <v>0.0071287446156104</v>
      </c>
      <c r="Y62" s="34" t="n">
        <v>0.0253759449229724</v>
      </c>
      <c r="Z62" s="34" t="n">
        <v>0.0194716967650489</v>
      </c>
      <c r="AA62" s="34" t="n">
        <v>0.0109374810382822</v>
      </c>
      <c r="AB62" s="34" t="n">
        <v>0.0209067856006474</v>
      </c>
      <c r="AC62" s="34" t="n">
        <v>0.0272852147698527</v>
      </c>
      <c r="AD62" s="34" t="n">
        <v>0.0195607622414504</v>
      </c>
      <c r="AE62" s="34" t="n">
        <v>0.0256942701951991</v>
      </c>
      <c r="AF62" s="34" t="n">
        <v>0.0118828961662842</v>
      </c>
      <c r="AG62" s="34" t="n">
        <v>0.0185865839291262</v>
      </c>
      <c r="AH62" s="34" t="n">
        <v>0.019301567504378</v>
      </c>
      <c r="AI62" s="34" t="n">
        <v>0.0171117551600762</v>
      </c>
      <c r="AJ62" s="34" t="n">
        <v>0.0451749191232837</v>
      </c>
      <c r="AK62" s="34" t="n">
        <v>0.0659630752889638</v>
      </c>
      <c r="AL62" s="34" t="n">
        <v>0.027060927535446</v>
      </c>
      <c r="AM62" s="34" t="n">
        <v>0.00697111873031813</v>
      </c>
      <c r="AN62" s="34" t="n">
        <v>0.00921450733726582</v>
      </c>
      <c r="AO62" s="34" t="n">
        <v>0.0077301102732167</v>
      </c>
      <c r="AP62" s="34" t="n">
        <v>0.0655095390189699</v>
      </c>
      <c r="AQ62" s="34" t="n">
        <v>0.0132562819049101</v>
      </c>
      <c r="AR62" s="34" t="n">
        <v>0.132069643042926</v>
      </c>
      <c r="AS62" s="34" t="n">
        <v>0.00951173231331847</v>
      </c>
      <c r="AT62" s="34" t="n">
        <v>0.0595834273580697</v>
      </c>
      <c r="AU62" s="34" t="n">
        <v>0.0330741737259904</v>
      </c>
      <c r="AV62" s="34" t="n">
        <v>0.00297734837047251</v>
      </c>
      <c r="AW62" s="34" t="n">
        <v>0.00384410711642815</v>
      </c>
      <c r="AX62" s="34" t="n">
        <v>0.0733084075499394</v>
      </c>
      <c r="AY62" s="34" t="n">
        <v>0.00117148762308881</v>
      </c>
      <c r="AZ62" s="34" t="n">
        <v>0.00921749586078745</v>
      </c>
      <c r="BA62" s="34" t="n">
        <v>0.00266942539649945</v>
      </c>
      <c r="BB62" s="34" t="n">
        <v>0.00216849129411884</v>
      </c>
      <c r="BC62" s="34" t="n">
        <v>0.0127704605479841</v>
      </c>
      <c r="BD62" s="34" t="n">
        <v>0.00774181590727656</v>
      </c>
      <c r="BE62" s="34" t="n">
        <v>0.027553085548407</v>
      </c>
      <c r="BF62" s="34" t="n">
        <v>0.00293896782565067</v>
      </c>
      <c r="BG62" s="34" t="n">
        <v>0.00429773842204017</v>
      </c>
      <c r="BH62" s="34" t="n">
        <v>1.05201194694948</v>
      </c>
      <c r="BI62" s="34" t="n">
        <v>0.0035700071589048</v>
      </c>
      <c r="BJ62" s="34" t="n">
        <v>0.0024493871993936</v>
      </c>
      <c r="BK62" s="34" t="n">
        <v>0.00745040902985421</v>
      </c>
      <c r="BL62" s="34" t="n">
        <v>0.000465018964020354</v>
      </c>
      <c r="BM62" s="34" t="n">
        <v>0.110099270415878</v>
      </c>
      <c r="BN62" s="34" t="n">
        <v>0.0160223280793145</v>
      </c>
      <c r="BO62" s="34" t="n">
        <v>0.00470834534479537</v>
      </c>
      <c r="BP62" s="34" t="n">
        <v>0.0192147072894765</v>
      </c>
      <c r="BQ62" s="34" t="n">
        <v>0.00608913046928681</v>
      </c>
      <c r="BR62" s="34" t="n">
        <v>0.00118625731616339</v>
      </c>
      <c r="BS62" s="34" t="n">
        <v>0.0075575913941721</v>
      </c>
      <c r="BT62" s="34" t="n">
        <v>0</v>
      </c>
    </row>
    <row r="63" customFormat="false" ht="11.25" hidden="false" customHeight="true" outlineLevel="0" collapsed="false">
      <c r="B63" s="19" t="s">
        <v>177</v>
      </c>
      <c r="C63" s="20" t="s">
        <v>178</v>
      </c>
      <c r="D63" s="19" t="n">
        <v>57</v>
      </c>
      <c r="E63" s="33" t="n">
        <v>0.0123196523351283</v>
      </c>
      <c r="F63" s="33" t="n">
        <v>0.0122403920689573</v>
      </c>
      <c r="G63" s="33" t="n">
        <v>0.00152927196838433</v>
      </c>
      <c r="H63" s="33" t="n">
        <v>0.00247347409765654</v>
      </c>
      <c r="I63" s="33" t="n">
        <v>0.0162556581384587</v>
      </c>
      <c r="J63" s="33" t="n">
        <v>0.00487142923252384</v>
      </c>
      <c r="K63" s="33" t="n">
        <v>0.0013997820939349</v>
      </c>
      <c r="L63" s="33" t="n">
        <v>0.0631782521763468</v>
      </c>
      <c r="M63" s="33" t="n">
        <v>0.00846243031681162</v>
      </c>
      <c r="N63" s="33" t="n">
        <v>0.0691843907659197</v>
      </c>
      <c r="O63" s="33" t="n">
        <v>0.0675121134288445</v>
      </c>
      <c r="P63" s="33" t="n">
        <v>0.00796934871338497</v>
      </c>
      <c r="Q63" s="33" t="n">
        <v>0.00979396586196709</v>
      </c>
      <c r="R63" s="33" t="n">
        <v>0.0122296153746489</v>
      </c>
      <c r="S63" s="33" t="n">
        <v>0.0178327803709452</v>
      </c>
      <c r="T63" s="33" t="n">
        <v>0.00317884973980976</v>
      </c>
      <c r="U63" s="33" t="n">
        <v>0.0229648245183552</v>
      </c>
      <c r="V63" s="33" t="n">
        <v>0.00358514041304957</v>
      </c>
      <c r="W63" s="33" t="n">
        <v>0.0262407418469534</v>
      </c>
      <c r="X63" s="33" t="n">
        <v>0.0052044023731065</v>
      </c>
      <c r="Y63" s="33" t="n">
        <v>0.0155042665536532</v>
      </c>
      <c r="Z63" s="33" t="n">
        <v>0.0186550256176473</v>
      </c>
      <c r="AA63" s="33" t="n">
        <v>0.0176908303497019</v>
      </c>
      <c r="AB63" s="33" t="n">
        <v>0.0310693763772895</v>
      </c>
      <c r="AC63" s="33" t="n">
        <v>0.0220031221606423</v>
      </c>
      <c r="AD63" s="33" t="n">
        <v>0.015845506174261</v>
      </c>
      <c r="AE63" s="33" t="n">
        <v>0.0223312003460145</v>
      </c>
      <c r="AF63" s="33" t="n">
        <v>0.00699027608932396</v>
      </c>
      <c r="AG63" s="33" t="n">
        <v>0.0200400042519084</v>
      </c>
      <c r="AH63" s="33" t="n">
        <v>0.0298436220573454</v>
      </c>
      <c r="AI63" s="33" t="n">
        <v>0.022973723320198</v>
      </c>
      <c r="AJ63" s="33" t="n">
        <v>0.0309520471767306</v>
      </c>
      <c r="AK63" s="33" t="n">
        <v>0.0821263906864572</v>
      </c>
      <c r="AL63" s="33" t="n">
        <v>0.0127288290796332</v>
      </c>
      <c r="AM63" s="33" t="n">
        <v>0.00835936888388796</v>
      </c>
      <c r="AN63" s="33" t="n">
        <v>0.0115652711442983</v>
      </c>
      <c r="AO63" s="33" t="n">
        <v>0.00565504933730999</v>
      </c>
      <c r="AP63" s="33" t="n">
        <v>0.0426450069045686</v>
      </c>
      <c r="AQ63" s="33" t="n">
        <v>0.00645059643222674</v>
      </c>
      <c r="AR63" s="33" t="n">
        <v>0.0688277020101839</v>
      </c>
      <c r="AS63" s="33" t="n">
        <v>0.0397218070636153</v>
      </c>
      <c r="AT63" s="33" t="n">
        <v>0.21164780294028</v>
      </c>
      <c r="AU63" s="33" t="n">
        <v>0.0297077377765395</v>
      </c>
      <c r="AV63" s="33" t="n">
        <v>0.00178867991050125</v>
      </c>
      <c r="AW63" s="33" t="n">
        <v>0.00579697942500192</v>
      </c>
      <c r="AX63" s="33" t="n">
        <v>0.0166704334150335</v>
      </c>
      <c r="AY63" s="33" t="n">
        <v>0.004607770226223</v>
      </c>
      <c r="AZ63" s="33" t="n">
        <v>0.0346571000077415</v>
      </c>
      <c r="BA63" s="33" t="n">
        <v>0.0231211262852321</v>
      </c>
      <c r="BB63" s="33" t="n">
        <v>0.0322343405319276</v>
      </c>
      <c r="BC63" s="33" t="n">
        <v>0.0929160074542421</v>
      </c>
      <c r="BD63" s="33" t="n">
        <v>0.0225184174791156</v>
      </c>
      <c r="BE63" s="33" t="n">
        <v>0.172842350171576</v>
      </c>
      <c r="BF63" s="33" t="n">
        <v>0.0149874371652349</v>
      </c>
      <c r="BG63" s="33" t="n">
        <v>0.0575236386139491</v>
      </c>
      <c r="BH63" s="33" t="n">
        <v>0.00850114505023555</v>
      </c>
      <c r="BI63" s="33" t="n">
        <v>1.04439173922632</v>
      </c>
      <c r="BJ63" s="33" t="n">
        <v>0.0118484312147042</v>
      </c>
      <c r="BK63" s="33" t="n">
        <v>0.0269978527835538</v>
      </c>
      <c r="BL63" s="33" t="n">
        <v>0.00294180871140707</v>
      </c>
      <c r="BM63" s="33" t="n">
        <v>0.0852352686185936</v>
      </c>
      <c r="BN63" s="33" t="n">
        <v>0.0160054991109441</v>
      </c>
      <c r="BO63" s="33" t="n">
        <v>0.030309859257772</v>
      </c>
      <c r="BP63" s="33" t="n">
        <v>0.0191391942147181</v>
      </c>
      <c r="BQ63" s="33" t="n">
        <v>0.0111815864050783</v>
      </c>
      <c r="BR63" s="33" t="n">
        <v>0.0159011580395263</v>
      </c>
      <c r="BS63" s="33" t="n">
        <v>0.0343782475424008</v>
      </c>
      <c r="BT63" s="33" t="n">
        <v>0</v>
      </c>
    </row>
    <row r="64" customFormat="false" ht="11.25" hidden="false" customHeight="true" outlineLevel="0" collapsed="false">
      <c r="B64" s="24" t="s">
        <v>179</v>
      </c>
      <c r="C64" s="25" t="s">
        <v>180</v>
      </c>
      <c r="D64" s="24" t="n">
        <v>58</v>
      </c>
      <c r="E64" s="34" t="n">
        <v>0.0202916167759673</v>
      </c>
      <c r="F64" s="34" t="n">
        <v>0.00836563620104736</v>
      </c>
      <c r="G64" s="34" t="n">
        <v>0.00267189034086239</v>
      </c>
      <c r="H64" s="34" t="n">
        <v>0.00589492431000204</v>
      </c>
      <c r="I64" s="34" t="n">
        <v>0.120543870889586</v>
      </c>
      <c r="J64" s="34" t="n">
        <v>0.021461468309029</v>
      </c>
      <c r="K64" s="34" t="n">
        <v>0.00540028727354671</v>
      </c>
      <c r="L64" s="34" t="n">
        <v>0.0384928189635792</v>
      </c>
      <c r="M64" s="34" t="n">
        <v>0.0141637088812821</v>
      </c>
      <c r="N64" s="34" t="n">
        <v>0.0484417002872759</v>
      </c>
      <c r="O64" s="34" t="n">
        <v>0.0148130090658714</v>
      </c>
      <c r="P64" s="34" t="n">
        <v>0.00300814037934706</v>
      </c>
      <c r="Q64" s="34" t="n">
        <v>0.00887891325533283</v>
      </c>
      <c r="R64" s="34" t="n">
        <v>0.00807790465715126</v>
      </c>
      <c r="S64" s="34" t="n">
        <v>0.00743380394219105</v>
      </c>
      <c r="T64" s="34" t="n">
        <v>0.00494979687392418</v>
      </c>
      <c r="U64" s="34" t="n">
        <v>0.0273631374010132</v>
      </c>
      <c r="V64" s="34" t="n">
        <v>0.00637064050488094</v>
      </c>
      <c r="W64" s="34" t="n">
        <v>0.109692191455772</v>
      </c>
      <c r="X64" s="34" t="n">
        <v>0.00556931380302064</v>
      </c>
      <c r="Y64" s="34" t="n">
        <v>0.0249920464017612</v>
      </c>
      <c r="Z64" s="34" t="n">
        <v>0.0192359826452283</v>
      </c>
      <c r="AA64" s="34" t="n">
        <v>0.00603407580096451</v>
      </c>
      <c r="AB64" s="34" t="n">
        <v>0.0111045303526443</v>
      </c>
      <c r="AC64" s="34" t="n">
        <v>0.0229871561668021</v>
      </c>
      <c r="AD64" s="34" t="n">
        <v>0.0205086142630581</v>
      </c>
      <c r="AE64" s="34" t="n">
        <v>0.0412004710291185</v>
      </c>
      <c r="AF64" s="34" t="n">
        <v>0.0146405559666674</v>
      </c>
      <c r="AG64" s="34" t="n">
        <v>0.0260323165739307</v>
      </c>
      <c r="AH64" s="34" t="n">
        <v>0.0179557496431201</v>
      </c>
      <c r="AI64" s="34" t="n">
        <v>0.0168574866034583</v>
      </c>
      <c r="AJ64" s="34" t="n">
        <v>0.033472108937833</v>
      </c>
      <c r="AK64" s="34" t="n">
        <v>0.0497452313927186</v>
      </c>
      <c r="AL64" s="34" t="n">
        <v>0.0235169157032815</v>
      </c>
      <c r="AM64" s="34" t="n">
        <v>0.0139646213466828</v>
      </c>
      <c r="AN64" s="34" t="n">
        <v>0.0110895167321701</v>
      </c>
      <c r="AO64" s="34" t="n">
        <v>0.00963526645999393</v>
      </c>
      <c r="AP64" s="34" t="n">
        <v>0.0308948174634255</v>
      </c>
      <c r="AQ64" s="34" t="n">
        <v>0.025028860660614</v>
      </c>
      <c r="AR64" s="34" t="n">
        <v>0.126189270087979</v>
      </c>
      <c r="AS64" s="34" t="n">
        <v>0.0204085614097838</v>
      </c>
      <c r="AT64" s="34" t="n">
        <v>0.136366712384823</v>
      </c>
      <c r="AU64" s="34" t="n">
        <v>0.0921692697703374</v>
      </c>
      <c r="AV64" s="34" t="n">
        <v>0.0170200597267604</v>
      </c>
      <c r="AW64" s="34" t="n">
        <v>0.0453992553577749</v>
      </c>
      <c r="AX64" s="34" t="n">
        <v>0.0308094718649357</v>
      </c>
      <c r="AY64" s="34" t="n">
        <v>0.00300490224476272</v>
      </c>
      <c r="AZ64" s="34" t="n">
        <v>0.0213442813080102</v>
      </c>
      <c r="BA64" s="34" t="n">
        <v>0.0165146856603647</v>
      </c>
      <c r="BB64" s="34" t="n">
        <v>0.0176652782536763</v>
      </c>
      <c r="BC64" s="34" t="n">
        <v>0.097966914137238</v>
      </c>
      <c r="BD64" s="34" t="n">
        <v>0.0254027443099913</v>
      </c>
      <c r="BE64" s="34" t="n">
        <v>0.0542888500208507</v>
      </c>
      <c r="BF64" s="34" t="n">
        <v>0.00693962373182376</v>
      </c>
      <c r="BG64" s="34" t="n">
        <v>0.0187973752916797</v>
      </c>
      <c r="BH64" s="34" t="n">
        <v>0.0188700829665867</v>
      </c>
      <c r="BI64" s="34" t="n">
        <v>0.0218433447167695</v>
      </c>
      <c r="BJ64" s="34" t="n">
        <v>1.01909360143705</v>
      </c>
      <c r="BK64" s="34" t="n">
        <v>0.0244044095052753</v>
      </c>
      <c r="BL64" s="34" t="n">
        <v>0.00456213823504626</v>
      </c>
      <c r="BM64" s="34" t="n">
        <v>0.0814213875287668</v>
      </c>
      <c r="BN64" s="34" t="n">
        <v>0.023532432883289</v>
      </c>
      <c r="BO64" s="34" t="n">
        <v>0.0259610686730744</v>
      </c>
      <c r="BP64" s="34" t="n">
        <v>0.0277939508991249</v>
      </c>
      <c r="BQ64" s="34" t="n">
        <v>0.0182319596083109</v>
      </c>
      <c r="BR64" s="34" t="n">
        <v>0.00764060939599987</v>
      </c>
      <c r="BS64" s="34" t="n">
        <v>0.024341733308783</v>
      </c>
      <c r="BT64" s="34" t="n">
        <v>0</v>
      </c>
    </row>
    <row r="65" customFormat="false" ht="11.25" hidden="false" customHeight="true" outlineLevel="0" collapsed="false">
      <c r="B65" s="19" t="s">
        <v>181</v>
      </c>
      <c r="C65" s="20" t="s">
        <v>182</v>
      </c>
      <c r="D65" s="19" t="n">
        <v>59</v>
      </c>
      <c r="E65" s="33" t="n">
        <v>0.00937531264588594</v>
      </c>
      <c r="F65" s="33" t="n">
        <v>0.00496665658727267</v>
      </c>
      <c r="G65" s="33" t="n">
        <v>0.000697527317237298</v>
      </c>
      <c r="H65" s="33" t="n">
        <v>0.00449278115004781</v>
      </c>
      <c r="I65" s="33" t="n">
        <v>0.0113417202751009</v>
      </c>
      <c r="J65" s="33" t="n">
        <v>0.00567722323587042</v>
      </c>
      <c r="K65" s="33" t="n">
        <v>0.00181324698790291</v>
      </c>
      <c r="L65" s="33" t="n">
        <v>0.0324637215541052</v>
      </c>
      <c r="M65" s="33" t="n">
        <v>0.00794868866450848</v>
      </c>
      <c r="N65" s="33" t="n">
        <v>0.0333656016329644</v>
      </c>
      <c r="O65" s="33" t="n">
        <v>0.0125001574028585</v>
      </c>
      <c r="P65" s="33" t="n">
        <v>0.00282725201912881</v>
      </c>
      <c r="Q65" s="33" t="n">
        <v>0.00774305798641938</v>
      </c>
      <c r="R65" s="33" t="n">
        <v>0.0069486024941075</v>
      </c>
      <c r="S65" s="33" t="n">
        <v>0.00708805424690495</v>
      </c>
      <c r="T65" s="33" t="n">
        <v>0.00236659114106994</v>
      </c>
      <c r="U65" s="33" t="n">
        <v>0.0158050024972319</v>
      </c>
      <c r="V65" s="33" t="n">
        <v>0.00233794921231638</v>
      </c>
      <c r="W65" s="33" t="n">
        <v>0.0192138455664932</v>
      </c>
      <c r="X65" s="33" t="n">
        <v>0.00504349579201762</v>
      </c>
      <c r="Y65" s="33" t="n">
        <v>0.0137212690077741</v>
      </c>
      <c r="Z65" s="33" t="n">
        <v>0.0137950719601212</v>
      </c>
      <c r="AA65" s="33" t="n">
        <v>0.00487503490138017</v>
      </c>
      <c r="AB65" s="33" t="n">
        <v>0.0124949419550097</v>
      </c>
      <c r="AC65" s="33" t="n">
        <v>0.0158008860689348</v>
      </c>
      <c r="AD65" s="33" t="n">
        <v>0.0147597718510938</v>
      </c>
      <c r="AE65" s="33" t="n">
        <v>0.0191768450553922</v>
      </c>
      <c r="AF65" s="33" t="n">
        <v>0.00816212288847562</v>
      </c>
      <c r="AG65" s="33" t="n">
        <v>0.0151490985845487</v>
      </c>
      <c r="AH65" s="33" t="n">
        <v>0.0127509450095756</v>
      </c>
      <c r="AI65" s="33" t="n">
        <v>0.0144572516412726</v>
      </c>
      <c r="AJ65" s="33" t="n">
        <v>0.0278301282318079</v>
      </c>
      <c r="AK65" s="33" t="n">
        <v>0.0271879139126536</v>
      </c>
      <c r="AL65" s="33" t="n">
        <v>0.0115855240899374</v>
      </c>
      <c r="AM65" s="33" t="n">
        <v>0.0045039803401189</v>
      </c>
      <c r="AN65" s="33" t="n">
        <v>0.00711574398141785</v>
      </c>
      <c r="AO65" s="33" t="n">
        <v>0.00512903301323532</v>
      </c>
      <c r="AP65" s="33" t="n">
        <v>0.0242832474003294</v>
      </c>
      <c r="AQ65" s="33" t="n">
        <v>0.00480992040856077</v>
      </c>
      <c r="AR65" s="33" t="n">
        <v>0.0504535105989094</v>
      </c>
      <c r="AS65" s="33" t="n">
        <v>0.0164673633400079</v>
      </c>
      <c r="AT65" s="33" t="n">
        <v>0.165589040159707</v>
      </c>
      <c r="AU65" s="33" t="n">
        <v>0.0265844515932356</v>
      </c>
      <c r="AV65" s="33" t="n">
        <v>0.00185038551126075</v>
      </c>
      <c r="AW65" s="33" t="n">
        <v>0.00808228397326092</v>
      </c>
      <c r="AX65" s="33" t="n">
        <v>0.0188785088761102</v>
      </c>
      <c r="AY65" s="33" t="n">
        <v>0.00516319156530399</v>
      </c>
      <c r="AZ65" s="33" t="n">
        <v>0.0168720994490706</v>
      </c>
      <c r="BA65" s="33" t="n">
        <v>0.00733906704580333</v>
      </c>
      <c r="BB65" s="33" t="n">
        <v>0.010226157019094</v>
      </c>
      <c r="BC65" s="33" t="n">
        <v>0.119797873710591</v>
      </c>
      <c r="BD65" s="33" t="n">
        <v>0.0287197794026241</v>
      </c>
      <c r="BE65" s="33" t="n">
        <v>0.145996306774632</v>
      </c>
      <c r="BF65" s="33" t="n">
        <v>0.0111544437441349</v>
      </c>
      <c r="BG65" s="33" t="n">
        <v>0.0254843885161115</v>
      </c>
      <c r="BH65" s="33" t="n">
        <v>0.00615391871269737</v>
      </c>
      <c r="BI65" s="33" t="n">
        <v>0.0148800137602315</v>
      </c>
      <c r="BJ65" s="33" t="n">
        <v>0.00431222703459229</v>
      </c>
      <c r="BK65" s="33" t="n">
        <v>1.03382315946942</v>
      </c>
      <c r="BL65" s="33" t="n">
        <v>0.00262599318609566</v>
      </c>
      <c r="BM65" s="33" t="n">
        <v>0.131793895942005</v>
      </c>
      <c r="BN65" s="33" t="n">
        <v>0.05091038799204</v>
      </c>
      <c r="BO65" s="33" t="n">
        <v>0.0193478460811918</v>
      </c>
      <c r="BP65" s="33" t="n">
        <v>0.0495693695005196</v>
      </c>
      <c r="BQ65" s="33" t="n">
        <v>0.022551773775971</v>
      </c>
      <c r="BR65" s="33" t="n">
        <v>0.00569382323664181</v>
      </c>
      <c r="BS65" s="33" t="n">
        <v>0.036541846922922</v>
      </c>
      <c r="BT65" s="33" t="n">
        <v>0</v>
      </c>
    </row>
    <row r="66" customFormat="false" ht="11.25" hidden="false" customHeight="true" outlineLevel="0" collapsed="false">
      <c r="B66" s="24" t="s">
        <v>183</v>
      </c>
      <c r="C66" s="25" t="s">
        <v>184</v>
      </c>
      <c r="D66" s="24" t="n">
        <v>60</v>
      </c>
      <c r="E66" s="34" t="n">
        <v>0.0142425565808249</v>
      </c>
      <c r="F66" s="34" t="n">
        <v>0.00682300513852874</v>
      </c>
      <c r="G66" s="34" t="n">
        <v>0.000995889342098069</v>
      </c>
      <c r="H66" s="34" t="n">
        <v>0.00232060437954805</v>
      </c>
      <c r="I66" s="34" t="n">
        <v>0.0157512893506568</v>
      </c>
      <c r="J66" s="34" t="n">
        <v>0.00809062121662356</v>
      </c>
      <c r="K66" s="34" t="n">
        <v>0.00219722038738914</v>
      </c>
      <c r="L66" s="34" t="n">
        <v>0.0453005726424801</v>
      </c>
      <c r="M66" s="34" t="n">
        <v>0.0123367601360668</v>
      </c>
      <c r="N66" s="34" t="n">
        <v>0.0454796487187844</v>
      </c>
      <c r="O66" s="34" t="n">
        <v>0.0130986454815077</v>
      </c>
      <c r="P66" s="34" t="n">
        <v>0.00781807963164015</v>
      </c>
      <c r="Q66" s="34" t="n">
        <v>0.00965050012505226</v>
      </c>
      <c r="R66" s="34" t="n">
        <v>0.00832665608607824</v>
      </c>
      <c r="S66" s="34" t="n">
        <v>0.00881013824010875</v>
      </c>
      <c r="T66" s="34" t="n">
        <v>0.00439797570664658</v>
      </c>
      <c r="U66" s="34" t="n">
        <v>0.0281060464892492</v>
      </c>
      <c r="V66" s="34" t="n">
        <v>0.00348514653317647</v>
      </c>
      <c r="W66" s="34" t="n">
        <v>0.0277909995591605</v>
      </c>
      <c r="X66" s="34" t="n">
        <v>0.00458179877241772</v>
      </c>
      <c r="Y66" s="34" t="n">
        <v>0.0226523009949526</v>
      </c>
      <c r="Z66" s="34" t="n">
        <v>0.0183820000647136</v>
      </c>
      <c r="AA66" s="34" t="n">
        <v>0.00582301745776699</v>
      </c>
      <c r="AB66" s="34" t="n">
        <v>0.0160870171076958</v>
      </c>
      <c r="AC66" s="34" t="n">
        <v>0.0224301507735841</v>
      </c>
      <c r="AD66" s="34" t="n">
        <v>0.0262194823506364</v>
      </c>
      <c r="AE66" s="34" t="n">
        <v>0.0257466165350242</v>
      </c>
      <c r="AF66" s="34" t="n">
        <v>0.0094511125448078</v>
      </c>
      <c r="AG66" s="34" t="n">
        <v>0.0214227801672807</v>
      </c>
      <c r="AH66" s="34" t="n">
        <v>0.0161418182610467</v>
      </c>
      <c r="AI66" s="34" t="n">
        <v>0.0167238578006738</v>
      </c>
      <c r="AJ66" s="34" t="n">
        <v>0.0323641709581208</v>
      </c>
      <c r="AK66" s="34" t="n">
        <v>0.049395994563313</v>
      </c>
      <c r="AL66" s="34" t="n">
        <v>0.0218944645189605</v>
      </c>
      <c r="AM66" s="34" t="n">
        <v>0.00819205019777296</v>
      </c>
      <c r="AN66" s="34" t="n">
        <v>0.0093607371808065</v>
      </c>
      <c r="AO66" s="34" t="n">
        <v>0.00862832290618223</v>
      </c>
      <c r="AP66" s="34" t="n">
        <v>0.0211195557599979</v>
      </c>
      <c r="AQ66" s="34" t="n">
        <v>0.0182532069831203</v>
      </c>
      <c r="AR66" s="34" t="n">
        <v>0.076956448687335</v>
      </c>
      <c r="AS66" s="34" t="n">
        <v>0.0311006208068789</v>
      </c>
      <c r="AT66" s="34" t="n">
        <v>0.179329938033602</v>
      </c>
      <c r="AU66" s="34" t="n">
        <v>0.0705870798687969</v>
      </c>
      <c r="AV66" s="34" t="n">
        <v>0.00374489457851458</v>
      </c>
      <c r="AW66" s="34" t="n">
        <v>0.0122243558458996</v>
      </c>
      <c r="AX66" s="34" t="n">
        <v>0.0746483868608771</v>
      </c>
      <c r="AY66" s="34" t="n">
        <v>0.00390709260108159</v>
      </c>
      <c r="AZ66" s="34" t="n">
        <v>0.0246021442674699</v>
      </c>
      <c r="BA66" s="34" t="n">
        <v>0.00823771351775587</v>
      </c>
      <c r="BB66" s="34" t="n">
        <v>0.0156169517638862</v>
      </c>
      <c r="BC66" s="34" t="n">
        <v>0.0576455523261614</v>
      </c>
      <c r="BD66" s="34" t="n">
        <v>0.0157752313353778</v>
      </c>
      <c r="BE66" s="34" t="n">
        <v>0.229819503370844</v>
      </c>
      <c r="BF66" s="34" t="n">
        <v>0.012842385034451</v>
      </c>
      <c r="BG66" s="34" t="n">
        <v>0.0323338206135976</v>
      </c>
      <c r="BH66" s="34" t="n">
        <v>0.00464847645805428</v>
      </c>
      <c r="BI66" s="34" t="n">
        <v>0.0202285840968383</v>
      </c>
      <c r="BJ66" s="34" t="n">
        <v>0.0053345871305472</v>
      </c>
      <c r="BK66" s="34" t="n">
        <v>0.0285180695454608</v>
      </c>
      <c r="BL66" s="34" t="n">
        <v>1.00240328501272</v>
      </c>
      <c r="BM66" s="34" t="n">
        <v>0.174195690540081</v>
      </c>
      <c r="BN66" s="34" t="n">
        <v>0.0607092825110085</v>
      </c>
      <c r="BO66" s="34" t="n">
        <v>0.0395907597474535</v>
      </c>
      <c r="BP66" s="34" t="n">
        <v>0.0439790777349576</v>
      </c>
      <c r="BQ66" s="34" t="n">
        <v>0.00875148571423059</v>
      </c>
      <c r="BR66" s="34" t="n">
        <v>0.00621927458616449</v>
      </c>
      <c r="BS66" s="34" t="n">
        <v>0.0145741033875646</v>
      </c>
      <c r="BT66" s="34" t="n">
        <v>0</v>
      </c>
    </row>
    <row r="67" customFormat="false" ht="11.25" hidden="false" customHeight="true" outlineLevel="0" collapsed="false">
      <c r="B67" s="19" t="s">
        <v>185</v>
      </c>
      <c r="C67" s="20" t="s">
        <v>186</v>
      </c>
      <c r="D67" s="19" t="n">
        <v>61</v>
      </c>
      <c r="E67" s="33" t="n">
        <v>0.000826878704464604</v>
      </c>
      <c r="F67" s="33" t="n">
        <v>0.000474066839213408</v>
      </c>
      <c r="G67" s="33" t="n">
        <v>5.3878510066822E-005</v>
      </c>
      <c r="H67" s="33" t="n">
        <v>0.000127368878087118</v>
      </c>
      <c r="I67" s="33" t="n">
        <v>0.00106101968787417</v>
      </c>
      <c r="J67" s="33" t="n">
        <v>0.000384301246425844</v>
      </c>
      <c r="K67" s="33" t="n">
        <v>0.000106459650029187</v>
      </c>
      <c r="L67" s="33" t="n">
        <v>0.002004057073941</v>
      </c>
      <c r="M67" s="33" t="n">
        <v>0.000449314028462083</v>
      </c>
      <c r="N67" s="33" t="n">
        <v>0.00279390794751894</v>
      </c>
      <c r="O67" s="33" t="n">
        <v>0.00120000538673887</v>
      </c>
      <c r="P67" s="33" t="n">
        <v>0.00023967433161619</v>
      </c>
      <c r="Q67" s="33" t="n">
        <v>0.000389473278634793</v>
      </c>
      <c r="R67" s="33" t="n">
        <v>0.000345330756537279</v>
      </c>
      <c r="S67" s="33" t="n">
        <v>0.000403451412358199</v>
      </c>
      <c r="T67" s="33" t="n">
        <v>0.000160827824702517</v>
      </c>
      <c r="U67" s="33" t="n">
        <v>0.000859311552883314</v>
      </c>
      <c r="V67" s="33" t="n">
        <v>0.000124614586391675</v>
      </c>
      <c r="W67" s="33" t="n">
        <v>0.00153809818045065</v>
      </c>
      <c r="X67" s="33" t="n">
        <v>0.000245631525886076</v>
      </c>
      <c r="Y67" s="33" t="n">
        <v>0.00134579165988475</v>
      </c>
      <c r="Z67" s="33" t="n">
        <v>0.000912967072630568</v>
      </c>
      <c r="AA67" s="33" t="n">
        <v>0.00048425528041292</v>
      </c>
      <c r="AB67" s="33" t="n">
        <v>0.000905416831783264</v>
      </c>
      <c r="AC67" s="33" t="n">
        <v>0.000877273784340015</v>
      </c>
      <c r="AD67" s="33" t="n">
        <v>0.000713313792444824</v>
      </c>
      <c r="AE67" s="33" t="n">
        <v>0.00133655551850766</v>
      </c>
      <c r="AF67" s="33" t="n">
        <v>0.000471012723844339</v>
      </c>
      <c r="AG67" s="33" t="n">
        <v>0.000811455101878729</v>
      </c>
      <c r="AH67" s="33" t="n">
        <v>0.000812338004268079</v>
      </c>
      <c r="AI67" s="33" t="n">
        <v>0.000846553972999397</v>
      </c>
      <c r="AJ67" s="33" t="n">
        <v>0.00118661020037642</v>
      </c>
      <c r="AK67" s="33" t="n">
        <v>0.00216612131875018</v>
      </c>
      <c r="AL67" s="33" t="n">
        <v>0.00069110234814556</v>
      </c>
      <c r="AM67" s="33" t="n">
        <v>0.000272877032811972</v>
      </c>
      <c r="AN67" s="33" t="n">
        <v>0.000381579734791399</v>
      </c>
      <c r="AO67" s="33" t="n">
        <v>0.000252561840282735</v>
      </c>
      <c r="AP67" s="33" t="n">
        <v>0.00124612864369037</v>
      </c>
      <c r="AQ67" s="33" t="n">
        <v>0.000299114286150027</v>
      </c>
      <c r="AR67" s="33" t="n">
        <v>0.00264904109234784</v>
      </c>
      <c r="AS67" s="33" t="n">
        <v>0.00102338386417146</v>
      </c>
      <c r="AT67" s="33" t="n">
        <v>0.00566713205194427</v>
      </c>
      <c r="AU67" s="33" t="n">
        <v>0.00152341745288708</v>
      </c>
      <c r="AV67" s="33" t="n">
        <v>0.000204879770083166</v>
      </c>
      <c r="AW67" s="33" t="n">
        <v>0.000345197839322192</v>
      </c>
      <c r="AX67" s="33" t="n">
        <v>0.000734557447883027</v>
      </c>
      <c r="AY67" s="33" t="n">
        <v>0.000131507634541056</v>
      </c>
      <c r="AZ67" s="33" t="n">
        <v>0.000883952879716789</v>
      </c>
      <c r="BA67" s="33" t="n">
        <v>0.000441221350469768</v>
      </c>
      <c r="BB67" s="33" t="n">
        <v>0.000697386655655539</v>
      </c>
      <c r="BC67" s="33" t="n">
        <v>0.00211563595477141</v>
      </c>
      <c r="BD67" s="33" t="n">
        <v>0.000585781233609649</v>
      </c>
      <c r="BE67" s="33" t="n">
        <v>0.0038376998491966</v>
      </c>
      <c r="BF67" s="33" t="n">
        <v>0.00040465324484714</v>
      </c>
      <c r="BG67" s="33" t="n">
        <v>0.00164721673887702</v>
      </c>
      <c r="BH67" s="33" t="n">
        <v>0.000775107948207011</v>
      </c>
      <c r="BI67" s="33" t="n">
        <v>0.000971821972845629</v>
      </c>
      <c r="BJ67" s="33" t="n">
        <v>0.000250696636641999</v>
      </c>
      <c r="BK67" s="33" t="n">
        <v>0.000973620152488902</v>
      </c>
      <c r="BL67" s="33" t="n">
        <v>0.000104911735325013</v>
      </c>
      <c r="BM67" s="33" t="n">
        <v>1.00292832691467</v>
      </c>
      <c r="BN67" s="33" t="n">
        <v>0.000636194280304514</v>
      </c>
      <c r="BO67" s="33" t="n">
        <v>0.000727237889688528</v>
      </c>
      <c r="BP67" s="33" t="n">
        <v>0.000631650289551375</v>
      </c>
      <c r="BQ67" s="33" t="n">
        <v>0.000614602793727286</v>
      </c>
      <c r="BR67" s="33" t="n">
        <v>0.000338337792531044</v>
      </c>
      <c r="BS67" s="33" t="n">
        <v>0.00143720646267877</v>
      </c>
      <c r="BT67" s="33" t="n">
        <v>0</v>
      </c>
    </row>
    <row r="68" customFormat="false" ht="11.25" hidden="false" customHeight="true" outlineLevel="0" collapsed="false">
      <c r="B68" s="24" t="s">
        <v>187</v>
      </c>
      <c r="C68" s="25" t="s">
        <v>188</v>
      </c>
      <c r="D68" s="24" t="n">
        <v>62</v>
      </c>
      <c r="E68" s="34" t="n">
        <v>0.000148761021433994</v>
      </c>
      <c r="F68" s="34" t="n">
        <v>6.90233468366982E-005</v>
      </c>
      <c r="G68" s="34" t="n">
        <v>6.351161382457E-006</v>
      </c>
      <c r="H68" s="34" t="n">
        <v>3.2024434967479E-005</v>
      </c>
      <c r="I68" s="34" t="n">
        <v>0.000220983108123479</v>
      </c>
      <c r="J68" s="34" t="n">
        <v>0.000139231261494932</v>
      </c>
      <c r="K68" s="34" t="n">
        <v>1.93435831732549E-005</v>
      </c>
      <c r="L68" s="34" t="n">
        <v>0.000327088104205033</v>
      </c>
      <c r="M68" s="34" t="n">
        <v>7.37072890962723E-005</v>
      </c>
      <c r="N68" s="34" t="n">
        <v>0.000405812242350903</v>
      </c>
      <c r="O68" s="34" t="n">
        <v>0.000118824946886934</v>
      </c>
      <c r="P68" s="34" t="n">
        <v>3.83443685700039E-005</v>
      </c>
      <c r="Q68" s="34" t="n">
        <v>8.7019317186672E-005</v>
      </c>
      <c r="R68" s="34" t="n">
        <v>6.93991619491082E-005</v>
      </c>
      <c r="S68" s="34" t="n">
        <v>6.01097033282645E-005</v>
      </c>
      <c r="T68" s="34" t="n">
        <v>2.21319414531402E-005</v>
      </c>
      <c r="U68" s="34" t="n">
        <v>0.000150989136193963</v>
      </c>
      <c r="V68" s="34" t="n">
        <v>2.41331291353707E-005</v>
      </c>
      <c r="W68" s="34" t="n">
        <v>0.000288045733428538</v>
      </c>
      <c r="X68" s="34" t="n">
        <v>4.15438818688753E-005</v>
      </c>
      <c r="Y68" s="34" t="n">
        <v>0.000228394298949376</v>
      </c>
      <c r="Z68" s="34" t="n">
        <v>0.000258373685827377</v>
      </c>
      <c r="AA68" s="34" t="n">
        <v>0.000183631491782434</v>
      </c>
      <c r="AB68" s="34" t="n">
        <v>0.000425717626082347</v>
      </c>
      <c r="AC68" s="34" t="n">
        <v>0.00022820522976751</v>
      </c>
      <c r="AD68" s="34" t="n">
        <v>0.000146121562626268</v>
      </c>
      <c r="AE68" s="34" t="n">
        <v>0.000310697512453837</v>
      </c>
      <c r="AF68" s="34" t="n">
        <v>0.000128845436741967</v>
      </c>
      <c r="AG68" s="34" t="n">
        <v>0.000184259757333059</v>
      </c>
      <c r="AH68" s="34" t="n">
        <v>0.000342537394737977</v>
      </c>
      <c r="AI68" s="34" t="n">
        <v>0.000214992726959595</v>
      </c>
      <c r="AJ68" s="34" t="n">
        <v>0.000330186259469883</v>
      </c>
      <c r="AK68" s="34" t="n">
        <v>0.00096844583903003</v>
      </c>
      <c r="AL68" s="34" t="n">
        <v>0.000316037497834612</v>
      </c>
      <c r="AM68" s="34" t="n">
        <v>8.06771970386483E-005</v>
      </c>
      <c r="AN68" s="34" t="n">
        <v>7.4207621250054E-005</v>
      </c>
      <c r="AO68" s="34" t="n">
        <v>5.88927271363565E-005</v>
      </c>
      <c r="AP68" s="34" t="n">
        <v>0.000318697630468937</v>
      </c>
      <c r="AQ68" s="34" t="n">
        <v>6.39902427371945E-005</v>
      </c>
      <c r="AR68" s="34" t="n">
        <v>0.000643400970486798</v>
      </c>
      <c r="AS68" s="34" t="n">
        <v>0.000156990748887111</v>
      </c>
      <c r="AT68" s="34" t="n">
        <v>0.000959871925679157</v>
      </c>
      <c r="AU68" s="34" t="n">
        <v>0.00027798230694176</v>
      </c>
      <c r="AV68" s="34" t="n">
        <v>1.83163861589749E-005</v>
      </c>
      <c r="AW68" s="34" t="n">
        <v>3.72568179959383E-005</v>
      </c>
      <c r="AX68" s="34" t="n">
        <v>0.000217115338955728</v>
      </c>
      <c r="AY68" s="34" t="n">
        <v>2.17611778123907E-005</v>
      </c>
      <c r="AZ68" s="34" t="n">
        <v>0.000113239873708915</v>
      </c>
      <c r="BA68" s="34" t="n">
        <v>4.77959462700169E-005</v>
      </c>
      <c r="BB68" s="34" t="n">
        <v>6.03633170309229E-005</v>
      </c>
      <c r="BC68" s="34" t="n">
        <v>0.000533640267908479</v>
      </c>
      <c r="BD68" s="34" t="n">
        <v>0.000235322029208342</v>
      </c>
      <c r="BE68" s="34" t="n">
        <v>0.000705259286925078</v>
      </c>
      <c r="BF68" s="34" t="n">
        <v>5.77575438971845E-005</v>
      </c>
      <c r="BG68" s="34" t="n">
        <v>0.000285480914102481</v>
      </c>
      <c r="BH68" s="34" t="n">
        <v>0.0014799951099822</v>
      </c>
      <c r="BI68" s="34" t="n">
        <v>0.000104873328167029</v>
      </c>
      <c r="BJ68" s="34" t="n">
        <v>6.87192332260564E-005</v>
      </c>
      <c r="BK68" s="34" t="n">
        <v>0.000199708902945617</v>
      </c>
      <c r="BL68" s="34" t="n">
        <v>2.16232986539398E-005</v>
      </c>
      <c r="BM68" s="34" t="n">
        <v>0.000666161212440878</v>
      </c>
      <c r="BN68" s="34" t="n">
        <v>1.0002253810069</v>
      </c>
      <c r="BO68" s="34" t="n">
        <v>0.000338006631864567</v>
      </c>
      <c r="BP68" s="34" t="n">
        <v>0.000207552416552893</v>
      </c>
      <c r="BQ68" s="34" t="n">
        <v>0.000156921630232945</v>
      </c>
      <c r="BR68" s="34" t="n">
        <v>3.2831337547752E-005</v>
      </c>
      <c r="BS68" s="34" t="n">
        <v>0.000206427713929547</v>
      </c>
      <c r="BT68" s="34" t="n">
        <v>0</v>
      </c>
    </row>
    <row r="69" customFormat="false" ht="11.25" hidden="false" customHeight="true" outlineLevel="0" collapsed="false">
      <c r="B69" s="19" t="s">
        <v>189</v>
      </c>
      <c r="C69" s="20" t="s">
        <v>190</v>
      </c>
      <c r="D69" s="19" t="n">
        <v>63</v>
      </c>
      <c r="E69" s="33" t="n">
        <v>0.00188456532413813</v>
      </c>
      <c r="F69" s="33" t="n">
        <v>0.000897502923255689</v>
      </c>
      <c r="G69" s="33" t="n">
        <v>0.000131416148179563</v>
      </c>
      <c r="H69" s="33" t="n">
        <v>0.000419710643353904</v>
      </c>
      <c r="I69" s="33" t="n">
        <v>0.00319199473585726</v>
      </c>
      <c r="J69" s="33" t="n">
        <v>0.0021447155292515</v>
      </c>
      <c r="K69" s="33" t="n">
        <v>0.000476905289290534</v>
      </c>
      <c r="L69" s="33" t="n">
        <v>0.00511612801456401</v>
      </c>
      <c r="M69" s="33" t="n">
        <v>0.00111015808209381</v>
      </c>
      <c r="N69" s="33" t="n">
        <v>0.00576130605000448</v>
      </c>
      <c r="O69" s="33" t="n">
        <v>0.00162854589848336</v>
      </c>
      <c r="P69" s="33" t="n">
        <v>0.00045233842255199</v>
      </c>
      <c r="Q69" s="33" t="n">
        <v>0.00107100456583118</v>
      </c>
      <c r="R69" s="33" t="n">
        <v>0.000894480407243161</v>
      </c>
      <c r="S69" s="33" t="n">
        <v>0.000922475723226952</v>
      </c>
      <c r="T69" s="33" t="n">
        <v>0.000388433320101605</v>
      </c>
      <c r="U69" s="33" t="n">
        <v>0.00266397168634172</v>
      </c>
      <c r="V69" s="33" t="n">
        <v>0.000336945632437933</v>
      </c>
      <c r="W69" s="33" t="n">
        <v>0.00469427362176506</v>
      </c>
      <c r="X69" s="33" t="n">
        <v>0.000627963321561602</v>
      </c>
      <c r="Y69" s="33" t="n">
        <v>0.00265571782190408</v>
      </c>
      <c r="Z69" s="33" t="n">
        <v>0.00245031144982966</v>
      </c>
      <c r="AA69" s="33" t="n">
        <v>0.000872070514445756</v>
      </c>
      <c r="AB69" s="33" t="n">
        <v>0.00195838435541347</v>
      </c>
      <c r="AC69" s="33" t="n">
        <v>0.00226380510457975</v>
      </c>
      <c r="AD69" s="33" t="n">
        <v>0.00191274276939783</v>
      </c>
      <c r="AE69" s="33" t="n">
        <v>0.00581844106876219</v>
      </c>
      <c r="AF69" s="33" t="n">
        <v>0.00191564574666865</v>
      </c>
      <c r="AG69" s="33" t="n">
        <v>0.00319034114249</v>
      </c>
      <c r="AH69" s="33" t="n">
        <v>0.00181091944980269</v>
      </c>
      <c r="AI69" s="33" t="n">
        <v>0.0023133998707483</v>
      </c>
      <c r="AJ69" s="33" t="n">
        <v>0.00376473882720378</v>
      </c>
      <c r="AK69" s="33" t="n">
        <v>0.00569020111893745</v>
      </c>
      <c r="AL69" s="33" t="n">
        <v>0.00210223065601949</v>
      </c>
      <c r="AM69" s="33" t="n">
        <v>0.000696917159966819</v>
      </c>
      <c r="AN69" s="33" t="n">
        <v>0.00103757324843784</v>
      </c>
      <c r="AO69" s="33" t="n">
        <v>0.000756801626708364</v>
      </c>
      <c r="AP69" s="33" t="n">
        <v>0.00333607620408864</v>
      </c>
      <c r="AQ69" s="33" t="n">
        <v>0.000681439825364427</v>
      </c>
      <c r="AR69" s="33" t="n">
        <v>0.00727196799990339</v>
      </c>
      <c r="AS69" s="33" t="n">
        <v>0.00243472813140842</v>
      </c>
      <c r="AT69" s="33" t="n">
        <v>0.0186284721259674</v>
      </c>
      <c r="AU69" s="33" t="n">
        <v>0.0140543661915421</v>
      </c>
      <c r="AV69" s="33" t="n">
        <v>0.0010679268173114</v>
      </c>
      <c r="AW69" s="33" t="n">
        <v>0.000761679198715331</v>
      </c>
      <c r="AX69" s="33" t="n">
        <v>0.00384806585571356</v>
      </c>
      <c r="AY69" s="33" t="n">
        <v>0.000267168682439961</v>
      </c>
      <c r="AZ69" s="33" t="n">
        <v>0.00164430835896531</v>
      </c>
      <c r="BA69" s="33" t="n">
        <v>0.000854690994447601</v>
      </c>
      <c r="BB69" s="33" t="n">
        <v>0.00114142955399259</v>
      </c>
      <c r="BC69" s="33" t="n">
        <v>0.0064266983626273</v>
      </c>
      <c r="BD69" s="33" t="n">
        <v>0.00134954176032878</v>
      </c>
      <c r="BE69" s="33" t="n">
        <v>0.028609708937907</v>
      </c>
      <c r="BF69" s="33" t="n">
        <v>0.00129600432440108</v>
      </c>
      <c r="BG69" s="33" t="n">
        <v>0.0266061532131563</v>
      </c>
      <c r="BH69" s="33" t="n">
        <v>0.00312569001762824</v>
      </c>
      <c r="BI69" s="33" t="n">
        <v>0.00626649549758054</v>
      </c>
      <c r="BJ69" s="33" t="n">
        <v>0.000999934113042487</v>
      </c>
      <c r="BK69" s="33" t="n">
        <v>0.0169181267035625</v>
      </c>
      <c r="BL69" s="33" t="n">
        <v>0.0014966107805633</v>
      </c>
      <c r="BM69" s="33" t="n">
        <v>0.0136433281353859</v>
      </c>
      <c r="BN69" s="33" t="n">
        <v>0.0170401059872532</v>
      </c>
      <c r="BO69" s="33" t="n">
        <v>1.00118888029871</v>
      </c>
      <c r="BP69" s="33" t="n">
        <v>0.00724374237963754</v>
      </c>
      <c r="BQ69" s="33" t="n">
        <v>0.00141563065680242</v>
      </c>
      <c r="BR69" s="33" t="n">
        <v>0.000453880771755522</v>
      </c>
      <c r="BS69" s="33" t="n">
        <v>0.0058881063120404</v>
      </c>
      <c r="BT69" s="33" t="n">
        <v>0</v>
      </c>
    </row>
    <row r="70" customFormat="false" ht="11.25" hidden="false" customHeight="true" outlineLevel="0" collapsed="false">
      <c r="B70" s="24" t="s">
        <v>191</v>
      </c>
      <c r="C70" s="25" t="s">
        <v>192</v>
      </c>
      <c r="D70" s="24" t="n">
        <v>64</v>
      </c>
      <c r="E70" s="34" t="n">
        <v>1.36165759483073E-005</v>
      </c>
      <c r="F70" s="34" t="n">
        <v>6.16320372629931E-006</v>
      </c>
      <c r="G70" s="34" t="n">
        <v>4.40633985278116E-007</v>
      </c>
      <c r="H70" s="34" t="n">
        <v>1.84261307137858E-006</v>
      </c>
      <c r="I70" s="34" t="n">
        <v>1.66216786407164E-005</v>
      </c>
      <c r="J70" s="34" t="n">
        <v>1.56495320425687E-005</v>
      </c>
      <c r="K70" s="34" t="n">
        <v>1.38262175703661E-006</v>
      </c>
      <c r="L70" s="34" t="n">
        <v>2.07654219315628E-005</v>
      </c>
      <c r="M70" s="34" t="n">
        <v>5.53113892361056E-006</v>
      </c>
      <c r="N70" s="34" t="n">
        <v>3.23042788886402E-005</v>
      </c>
      <c r="O70" s="34" t="n">
        <v>9.50210010604295E-006</v>
      </c>
      <c r="P70" s="34" t="n">
        <v>2.97763762951192E-006</v>
      </c>
      <c r="Q70" s="34" t="n">
        <v>7.35908449874499E-006</v>
      </c>
      <c r="R70" s="34" t="n">
        <v>5.52070187598389E-006</v>
      </c>
      <c r="S70" s="34" t="n">
        <v>4.21942667004874E-006</v>
      </c>
      <c r="T70" s="34" t="n">
        <v>1.53607872446539E-006</v>
      </c>
      <c r="U70" s="34" t="n">
        <v>1.14016792660381E-005</v>
      </c>
      <c r="V70" s="34" t="n">
        <v>1.94395345521062E-006</v>
      </c>
      <c r="W70" s="34" t="n">
        <v>1.85220288237024E-005</v>
      </c>
      <c r="X70" s="34" t="n">
        <v>3.04446249880923E-006</v>
      </c>
      <c r="Y70" s="34" t="n">
        <v>2.036849727534E-005</v>
      </c>
      <c r="Z70" s="34" t="n">
        <v>2.61936351077807E-005</v>
      </c>
      <c r="AA70" s="34" t="n">
        <v>2.28793894969677E-005</v>
      </c>
      <c r="AB70" s="34" t="n">
        <v>5.20976256238657E-005</v>
      </c>
      <c r="AC70" s="34" t="n">
        <v>2.24159851783495E-005</v>
      </c>
      <c r="AD70" s="34" t="n">
        <v>1.06206518411715E-005</v>
      </c>
      <c r="AE70" s="34" t="n">
        <v>3.0715794980999E-005</v>
      </c>
      <c r="AF70" s="34" t="n">
        <v>1.29444267858129E-005</v>
      </c>
      <c r="AG70" s="34" t="n">
        <v>1.6439037450486E-005</v>
      </c>
      <c r="AH70" s="34" t="n">
        <v>4.06207097961393E-005</v>
      </c>
      <c r="AI70" s="34" t="n">
        <v>1.98803202975549E-005</v>
      </c>
      <c r="AJ70" s="34" t="n">
        <v>3.01381871952696E-005</v>
      </c>
      <c r="AK70" s="34" t="n">
        <v>0.000124442109267375</v>
      </c>
      <c r="AL70" s="34" t="n">
        <v>3.78874484488642E-005</v>
      </c>
      <c r="AM70" s="34" t="n">
        <v>8.98744558410583E-006</v>
      </c>
      <c r="AN70" s="34" t="n">
        <v>6.02113211668041E-006</v>
      </c>
      <c r="AO70" s="34" t="n">
        <v>5.11246730145522E-006</v>
      </c>
      <c r="AP70" s="34" t="n">
        <v>3.18134568962466E-005</v>
      </c>
      <c r="AQ70" s="34" t="n">
        <v>5.58673041383002E-006</v>
      </c>
      <c r="AR70" s="34" t="n">
        <v>5.54163848534107E-005</v>
      </c>
      <c r="AS70" s="34" t="n">
        <v>9.68573328116541E-006</v>
      </c>
      <c r="AT70" s="34" t="n">
        <v>4.92367976072053E-005</v>
      </c>
      <c r="AU70" s="34" t="n">
        <v>1.75623301048755E-005</v>
      </c>
      <c r="AV70" s="34" t="n">
        <v>1.09842302935617E-006</v>
      </c>
      <c r="AW70" s="34" t="n">
        <v>1.97480057144514E-006</v>
      </c>
      <c r="AX70" s="34" t="n">
        <v>1.91338309399773E-005</v>
      </c>
      <c r="AY70" s="34" t="n">
        <v>9.26686119695945E-007</v>
      </c>
      <c r="AZ70" s="34" t="n">
        <v>7.33638157716802E-006</v>
      </c>
      <c r="BA70" s="34" t="n">
        <v>2.50296272963193E-006</v>
      </c>
      <c r="BB70" s="34" t="n">
        <v>2.57298279216944E-006</v>
      </c>
      <c r="BC70" s="34" t="n">
        <v>2.57644612452067E-005</v>
      </c>
      <c r="BD70" s="34" t="n">
        <v>2.25056162221327E-005</v>
      </c>
      <c r="BE70" s="34" t="n">
        <v>2.11370516493351E-005</v>
      </c>
      <c r="BF70" s="34" t="n">
        <v>2.44844996508422E-006</v>
      </c>
      <c r="BG70" s="34" t="n">
        <v>6.52282034690432E-006</v>
      </c>
      <c r="BH70" s="34" t="n">
        <v>0.000210871382437922</v>
      </c>
      <c r="BI70" s="34" t="n">
        <v>4.41975311436274E-006</v>
      </c>
      <c r="BJ70" s="34" t="n">
        <v>7.0885842158008E-006</v>
      </c>
      <c r="BK70" s="34" t="n">
        <v>7.80394245096062E-006</v>
      </c>
      <c r="BL70" s="34" t="n">
        <v>5.62814233460997E-007</v>
      </c>
      <c r="BM70" s="34" t="n">
        <v>4.7609034987742E-005</v>
      </c>
      <c r="BN70" s="34" t="n">
        <v>8.06915345083191E-006</v>
      </c>
      <c r="BO70" s="34" t="n">
        <v>4.22290911602568E-005</v>
      </c>
      <c r="BP70" s="34" t="n">
        <v>1.00001153206319</v>
      </c>
      <c r="BQ70" s="34" t="n">
        <v>0.00265443523644266</v>
      </c>
      <c r="BR70" s="34" t="n">
        <v>1.45830984464227E-006</v>
      </c>
      <c r="BS70" s="34" t="n">
        <v>6.72489580678905E-006</v>
      </c>
      <c r="BT70" s="34" t="n">
        <v>0</v>
      </c>
    </row>
    <row r="71" customFormat="false" ht="11.25" hidden="false" customHeight="true" outlineLevel="0" collapsed="false">
      <c r="B71" s="19" t="s">
        <v>193</v>
      </c>
      <c r="C71" s="20" t="s">
        <v>194</v>
      </c>
      <c r="D71" s="19" t="n">
        <v>65</v>
      </c>
      <c r="E71" s="33" t="n">
        <v>6.70481819980475E-005</v>
      </c>
      <c r="F71" s="33" t="n">
        <v>3.7871407988626E-005</v>
      </c>
      <c r="G71" s="33" t="n">
        <v>4.38012291726025E-006</v>
      </c>
      <c r="H71" s="33" t="n">
        <v>1.33333654293353E-005</v>
      </c>
      <c r="I71" s="33" t="n">
        <v>8.40857625748614E-005</v>
      </c>
      <c r="J71" s="33" t="n">
        <v>3.1969642366007E-005</v>
      </c>
      <c r="K71" s="33" t="n">
        <v>1.02008500734687E-005</v>
      </c>
      <c r="L71" s="33" t="n">
        <v>0.000340204206640779</v>
      </c>
      <c r="M71" s="33" t="n">
        <v>5.5516623459089E-005</v>
      </c>
      <c r="N71" s="33" t="n">
        <v>0.000304132799442842</v>
      </c>
      <c r="O71" s="33" t="n">
        <v>5.71432822637563E-005</v>
      </c>
      <c r="P71" s="33" t="n">
        <v>2.1959368226644E-005</v>
      </c>
      <c r="Q71" s="33" t="n">
        <v>8.72385883206228E-005</v>
      </c>
      <c r="R71" s="33" t="n">
        <v>8.82947883031039E-005</v>
      </c>
      <c r="S71" s="33" t="n">
        <v>7.12065554494398E-005</v>
      </c>
      <c r="T71" s="33" t="n">
        <v>2.17329751305251E-005</v>
      </c>
      <c r="U71" s="33" t="n">
        <v>0.000134719511745741</v>
      </c>
      <c r="V71" s="33" t="n">
        <v>2.00205307978032E-005</v>
      </c>
      <c r="W71" s="33" t="n">
        <v>0.000160297695192909</v>
      </c>
      <c r="X71" s="33" t="n">
        <v>3.87237272207065E-005</v>
      </c>
      <c r="Y71" s="33" t="n">
        <v>0.000105898438061455</v>
      </c>
      <c r="Z71" s="33" t="n">
        <v>0.000101467306019874</v>
      </c>
      <c r="AA71" s="33" t="n">
        <v>3.70944073109793E-005</v>
      </c>
      <c r="AB71" s="33" t="n">
        <v>9.71923412174966E-005</v>
      </c>
      <c r="AC71" s="33" t="n">
        <v>0.00014471789267359</v>
      </c>
      <c r="AD71" s="33" t="n">
        <v>0.000103496458487636</v>
      </c>
      <c r="AE71" s="33" t="n">
        <v>0.000166474112021943</v>
      </c>
      <c r="AF71" s="33" t="n">
        <v>4.99705667943606E-005</v>
      </c>
      <c r="AG71" s="33" t="n">
        <v>0.000128137269779926</v>
      </c>
      <c r="AH71" s="33" t="n">
        <v>9.14040488477034E-005</v>
      </c>
      <c r="AI71" s="33" t="n">
        <v>0.000105665493093764</v>
      </c>
      <c r="AJ71" s="33" t="n">
        <v>0.00021121523475196</v>
      </c>
      <c r="AK71" s="33" t="n">
        <v>0.000150524023521148</v>
      </c>
      <c r="AL71" s="33" t="n">
        <v>8.23939574797523E-005</v>
      </c>
      <c r="AM71" s="33" t="n">
        <v>3.32681759623014E-005</v>
      </c>
      <c r="AN71" s="33" t="n">
        <v>6.74926260112536E-005</v>
      </c>
      <c r="AO71" s="33" t="n">
        <v>3.15773083152547E-005</v>
      </c>
      <c r="AP71" s="33" t="n">
        <v>0.000121505935349404</v>
      </c>
      <c r="AQ71" s="33" t="n">
        <v>3.92342361151358E-005</v>
      </c>
      <c r="AR71" s="33" t="n">
        <v>0.000359139901871377</v>
      </c>
      <c r="AS71" s="33" t="n">
        <v>0.00026501084497014</v>
      </c>
      <c r="AT71" s="33" t="n">
        <v>0.00205489202208514</v>
      </c>
      <c r="AU71" s="33" t="n">
        <v>0.000203523640777483</v>
      </c>
      <c r="AV71" s="33" t="n">
        <v>1.35740851678773E-005</v>
      </c>
      <c r="AW71" s="33" t="n">
        <v>2.79684931443035E-005</v>
      </c>
      <c r="AX71" s="33" t="n">
        <v>0.000159902814532203</v>
      </c>
      <c r="AY71" s="33" t="n">
        <v>6.14547641850792E-005</v>
      </c>
      <c r="AZ71" s="33" t="n">
        <v>0.000282693162161366</v>
      </c>
      <c r="BA71" s="33" t="n">
        <v>7.44211710282339E-005</v>
      </c>
      <c r="BB71" s="33" t="n">
        <v>9.30196269368795E-005</v>
      </c>
      <c r="BC71" s="33" t="n">
        <v>0.000488022274719046</v>
      </c>
      <c r="BD71" s="33" t="n">
        <v>0.000109782748256415</v>
      </c>
      <c r="BE71" s="33" t="n">
        <v>0.000594341169516225</v>
      </c>
      <c r="BF71" s="33" t="n">
        <v>0.000131860739622171</v>
      </c>
      <c r="BG71" s="33" t="n">
        <v>0.000311031263533094</v>
      </c>
      <c r="BH71" s="33" t="n">
        <v>8.17677726399678E-005</v>
      </c>
      <c r="BI71" s="33" t="n">
        <v>0.000147057596518791</v>
      </c>
      <c r="BJ71" s="33" t="n">
        <v>6.96572992669496E-005</v>
      </c>
      <c r="BK71" s="33" t="n">
        <v>0.000221906097290574</v>
      </c>
      <c r="BL71" s="33" t="n">
        <v>1.97821137086735E-005</v>
      </c>
      <c r="BM71" s="33" t="n">
        <v>0.000811468505627693</v>
      </c>
      <c r="BN71" s="33" t="n">
        <v>9.80052565255896E-005</v>
      </c>
      <c r="BO71" s="33" t="n">
        <v>0.000235024810514379</v>
      </c>
      <c r="BP71" s="33" t="n">
        <v>0.000146225073528149</v>
      </c>
      <c r="BQ71" s="33" t="n">
        <v>1.11150030365493</v>
      </c>
      <c r="BR71" s="33" t="n">
        <v>0.000188329356932531</v>
      </c>
      <c r="BS71" s="33" t="n">
        <v>0.000242767252278092</v>
      </c>
      <c r="BT71" s="33" t="n">
        <v>0</v>
      </c>
    </row>
    <row r="72" customFormat="false" ht="11.25" hidden="false" customHeight="true" outlineLevel="0" collapsed="false">
      <c r="B72" s="24" t="s">
        <v>195</v>
      </c>
      <c r="C72" s="25" t="s">
        <v>196</v>
      </c>
      <c r="D72" s="24" t="n">
        <v>66</v>
      </c>
      <c r="E72" s="34" t="n">
        <v>0.00156669306606938</v>
      </c>
      <c r="F72" s="34" t="n">
        <v>0.00143080265562528</v>
      </c>
      <c r="G72" s="34" t="n">
        <v>0.000179467109606681</v>
      </c>
      <c r="H72" s="34" t="n">
        <v>0.000315022896814055</v>
      </c>
      <c r="I72" s="34" t="n">
        <v>0.00206329003884783</v>
      </c>
      <c r="J72" s="34" t="n">
        <v>0.000660838503341217</v>
      </c>
      <c r="K72" s="34" t="n">
        <v>0.000192223361552744</v>
      </c>
      <c r="L72" s="34" t="n">
        <v>0.00791463095733449</v>
      </c>
      <c r="M72" s="34" t="n">
        <v>0.00110056814760285</v>
      </c>
      <c r="N72" s="34" t="n">
        <v>0.00848667338797754</v>
      </c>
      <c r="O72" s="34" t="n">
        <v>0.00732104605540971</v>
      </c>
      <c r="P72" s="34" t="n">
        <v>0.000915801148754455</v>
      </c>
      <c r="Q72" s="34" t="n">
        <v>0.00133377037618016</v>
      </c>
      <c r="R72" s="34" t="n">
        <v>0.0016212223373493</v>
      </c>
      <c r="S72" s="34" t="n">
        <v>0.0021494520734501</v>
      </c>
      <c r="T72" s="34" t="n">
        <v>0.000431742009763904</v>
      </c>
      <c r="U72" s="34" t="n">
        <v>0.00296115121658319</v>
      </c>
      <c r="V72" s="34" t="n">
        <v>0.000507923671805263</v>
      </c>
      <c r="W72" s="34" t="n">
        <v>0.00335584713798298</v>
      </c>
      <c r="X72" s="34" t="n">
        <v>0.000684227588688354</v>
      </c>
      <c r="Y72" s="34" t="n">
        <v>0.00204936120148826</v>
      </c>
      <c r="Z72" s="34" t="n">
        <v>0.00236042050104996</v>
      </c>
      <c r="AA72" s="34" t="n">
        <v>0.0019622066968968</v>
      </c>
      <c r="AB72" s="34" t="n">
        <v>0.00360127044752717</v>
      </c>
      <c r="AC72" s="34" t="n">
        <v>0.00285347119631264</v>
      </c>
      <c r="AD72" s="34" t="n">
        <v>0.00210209955683586</v>
      </c>
      <c r="AE72" s="34" t="n">
        <v>0.00295999986140565</v>
      </c>
      <c r="AF72" s="34" t="n">
        <v>0.000943713025271829</v>
      </c>
      <c r="AG72" s="34" t="n">
        <v>0.00263367511877858</v>
      </c>
      <c r="AH72" s="34" t="n">
        <v>0.00360912493175155</v>
      </c>
      <c r="AI72" s="34" t="n">
        <v>0.00288136854263379</v>
      </c>
      <c r="AJ72" s="34" t="n">
        <v>0.00410801972976625</v>
      </c>
      <c r="AK72" s="34" t="n">
        <v>0.00945570457484708</v>
      </c>
      <c r="AL72" s="34" t="n">
        <v>0.00184286347129939</v>
      </c>
      <c r="AM72" s="34" t="n">
        <v>0.00103083261169407</v>
      </c>
      <c r="AN72" s="34" t="n">
        <v>0.00150201750725882</v>
      </c>
      <c r="AO72" s="34" t="n">
        <v>0.000720142515888888</v>
      </c>
      <c r="AP72" s="34" t="n">
        <v>0.00484642017075484</v>
      </c>
      <c r="AQ72" s="34" t="n">
        <v>0.000770214091859584</v>
      </c>
      <c r="AR72" s="34" t="n">
        <v>0.00844886985420771</v>
      </c>
      <c r="AS72" s="34" t="n">
        <v>0.00454130857558662</v>
      </c>
      <c r="AT72" s="34" t="n">
        <v>0.025119347366477</v>
      </c>
      <c r="AU72" s="34" t="n">
        <v>0.00376323192751029</v>
      </c>
      <c r="AV72" s="34" t="n">
        <v>0.000222659295944089</v>
      </c>
      <c r="AW72" s="34" t="n">
        <v>0.000681257205906733</v>
      </c>
      <c r="AX72" s="34" t="n">
        <v>0.00216046915479984</v>
      </c>
      <c r="AY72" s="34" t="n">
        <v>0.000903714520342393</v>
      </c>
      <c r="AZ72" s="34" t="n">
        <v>0.00399952054529148</v>
      </c>
      <c r="BA72" s="34" t="n">
        <v>0.00269071716977631</v>
      </c>
      <c r="BB72" s="34" t="n">
        <v>0.0673539814690428</v>
      </c>
      <c r="BC72" s="34" t="n">
        <v>0.0323835861916879</v>
      </c>
      <c r="BD72" s="34" t="n">
        <v>0.00282632924375882</v>
      </c>
      <c r="BE72" s="34" t="n">
        <v>0.0204598311618414</v>
      </c>
      <c r="BF72" s="34" t="n">
        <v>0.00177700861270957</v>
      </c>
      <c r="BG72" s="34" t="n">
        <v>0.00666124316723107</v>
      </c>
      <c r="BH72" s="34" t="n">
        <v>0.00105062133445967</v>
      </c>
      <c r="BI72" s="34" t="n">
        <v>0.0521631780840484</v>
      </c>
      <c r="BJ72" s="34" t="n">
        <v>0.00131431368001369</v>
      </c>
      <c r="BK72" s="34" t="n">
        <v>0.00404184122431308</v>
      </c>
      <c r="BL72" s="34" t="n">
        <v>0.000378059499575031</v>
      </c>
      <c r="BM72" s="34" t="n">
        <v>0.0276988332062359</v>
      </c>
      <c r="BN72" s="34" t="n">
        <v>0.00372222676090514</v>
      </c>
      <c r="BO72" s="34" t="n">
        <v>0.00351581297808065</v>
      </c>
      <c r="BP72" s="34" t="n">
        <v>0.00370761608670509</v>
      </c>
      <c r="BQ72" s="34" t="n">
        <v>0.00186925223441525</v>
      </c>
      <c r="BR72" s="34" t="n">
        <v>1.02046454000122</v>
      </c>
      <c r="BS72" s="34" t="n">
        <v>0.0354156332852625</v>
      </c>
      <c r="BT72" s="34" t="n">
        <v>0</v>
      </c>
    </row>
    <row r="73" customFormat="false" ht="11.25" hidden="false" customHeight="true" outlineLevel="0" collapsed="false">
      <c r="B73" s="19" t="s">
        <v>197</v>
      </c>
      <c r="C73" s="20" t="s">
        <v>198</v>
      </c>
      <c r="D73" s="19" t="n">
        <v>67</v>
      </c>
      <c r="E73" s="33" t="n">
        <v>0.00251123408194684</v>
      </c>
      <c r="F73" s="33" t="n">
        <v>0.00119569371453302</v>
      </c>
      <c r="G73" s="33" t="n">
        <v>0.000260887180632098</v>
      </c>
      <c r="H73" s="33" t="n">
        <v>0.000553460051023949</v>
      </c>
      <c r="I73" s="33" t="n">
        <v>0.00435332907219931</v>
      </c>
      <c r="J73" s="33" t="n">
        <v>0.00206000281079666</v>
      </c>
      <c r="K73" s="33" t="n">
        <v>0.000544677787810712</v>
      </c>
      <c r="L73" s="33" t="n">
        <v>0.00663438602903471</v>
      </c>
      <c r="M73" s="33" t="n">
        <v>0.00171107765090355</v>
      </c>
      <c r="N73" s="33" t="n">
        <v>0.00676092452652051</v>
      </c>
      <c r="O73" s="33" t="n">
        <v>0.0022418051729515</v>
      </c>
      <c r="P73" s="33" t="n">
        <v>0.000515127596030787</v>
      </c>
      <c r="Q73" s="33" t="n">
        <v>0.00181749209351859</v>
      </c>
      <c r="R73" s="33" t="n">
        <v>0.00194624279006388</v>
      </c>
      <c r="S73" s="33" t="n">
        <v>0.00154902612293277</v>
      </c>
      <c r="T73" s="33" t="n">
        <v>0.000777000703196858</v>
      </c>
      <c r="U73" s="33" t="n">
        <v>0.00321475176246562</v>
      </c>
      <c r="V73" s="33" t="n">
        <v>0.000837944824377153</v>
      </c>
      <c r="W73" s="33" t="n">
        <v>0.00594217895940579</v>
      </c>
      <c r="X73" s="33" t="n">
        <v>0.000916561986274731</v>
      </c>
      <c r="Y73" s="33" t="n">
        <v>0.00292231250467078</v>
      </c>
      <c r="Z73" s="33" t="n">
        <v>0.00222753520434389</v>
      </c>
      <c r="AA73" s="33" t="n">
        <v>0.000932517258498869</v>
      </c>
      <c r="AB73" s="33" t="n">
        <v>0.00204970586385016</v>
      </c>
      <c r="AC73" s="33" t="n">
        <v>0.00346767720979129</v>
      </c>
      <c r="AD73" s="33" t="n">
        <v>0.00296097027028597</v>
      </c>
      <c r="AE73" s="33" t="n">
        <v>0.00428283534539682</v>
      </c>
      <c r="AF73" s="33" t="n">
        <v>0.001570420741752</v>
      </c>
      <c r="AG73" s="33" t="n">
        <v>0.00381129685820704</v>
      </c>
      <c r="AH73" s="33" t="n">
        <v>0.00488334051554303</v>
      </c>
      <c r="AI73" s="33" t="n">
        <v>0.00323169071531638</v>
      </c>
      <c r="AJ73" s="33" t="n">
        <v>0.00523983932412805</v>
      </c>
      <c r="AK73" s="33" t="n">
        <v>0.00633076591305627</v>
      </c>
      <c r="AL73" s="33" t="n">
        <v>0.00321442394668916</v>
      </c>
      <c r="AM73" s="33" t="n">
        <v>0.00112087534694599</v>
      </c>
      <c r="AN73" s="33" t="n">
        <v>0.00191285131788704</v>
      </c>
      <c r="AO73" s="33" t="n">
        <v>0.000789594369674699</v>
      </c>
      <c r="AP73" s="33" t="n">
        <v>0.00532018120520102</v>
      </c>
      <c r="AQ73" s="33" t="n">
        <v>0.000543635774542189</v>
      </c>
      <c r="AR73" s="33" t="n">
        <v>0.00799272088307015</v>
      </c>
      <c r="AS73" s="33" t="n">
        <v>0.00201553722582947</v>
      </c>
      <c r="AT73" s="33" t="n">
        <v>0.0224949473666253</v>
      </c>
      <c r="AU73" s="33" t="n">
        <v>0.00638091057897906</v>
      </c>
      <c r="AV73" s="33" t="n">
        <v>0.000360089205081713</v>
      </c>
      <c r="AW73" s="33" t="n">
        <v>0.000658666061090302</v>
      </c>
      <c r="AX73" s="33" t="n">
        <v>0.00703774702987087</v>
      </c>
      <c r="AY73" s="33" t="n">
        <v>0.000894511853433557</v>
      </c>
      <c r="AZ73" s="33" t="n">
        <v>0.00260192999737843</v>
      </c>
      <c r="BA73" s="33" t="n">
        <v>0.00141630423045819</v>
      </c>
      <c r="BB73" s="33" t="n">
        <v>0.0020813156672314</v>
      </c>
      <c r="BC73" s="33" t="n">
        <v>0.0356192138964186</v>
      </c>
      <c r="BD73" s="33" t="n">
        <v>0.00628348349974897</v>
      </c>
      <c r="BE73" s="33" t="n">
        <v>0.019657666944693</v>
      </c>
      <c r="BF73" s="33" t="n">
        <v>0.00149104123353042</v>
      </c>
      <c r="BG73" s="33" t="n">
        <v>0.00424466815388942</v>
      </c>
      <c r="BH73" s="33" t="n">
        <v>0.000976898006878836</v>
      </c>
      <c r="BI73" s="33" t="n">
        <v>0.00444473093325224</v>
      </c>
      <c r="BJ73" s="33" t="n">
        <v>0.00076245554205006</v>
      </c>
      <c r="BK73" s="33" t="n">
        <v>0.00786517007547594</v>
      </c>
      <c r="BL73" s="33" t="n">
        <v>0.000380898123731055</v>
      </c>
      <c r="BM73" s="33" t="n">
        <v>0.0103181231687996</v>
      </c>
      <c r="BN73" s="33" t="n">
        <v>0.00191497884979974</v>
      </c>
      <c r="BO73" s="33" t="n">
        <v>0.00316895814875051</v>
      </c>
      <c r="BP73" s="33" t="n">
        <v>0.00902781768154932</v>
      </c>
      <c r="BQ73" s="33" t="n">
        <v>0.0130020282089982</v>
      </c>
      <c r="BR73" s="33" t="n">
        <v>0.000425273083213181</v>
      </c>
      <c r="BS73" s="33" t="n">
        <v>1.00385155089167</v>
      </c>
      <c r="BT73" s="33" t="n">
        <v>0</v>
      </c>
    </row>
    <row r="74" customFormat="false" ht="11.25" hidden="false" customHeight="true" outlineLevel="0" collapsed="false">
      <c r="B74" s="24" t="s">
        <v>199</v>
      </c>
      <c r="C74" s="25" t="s">
        <v>200</v>
      </c>
      <c r="D74" s="24" t="n">
        <v>68</v>
      </c>
      <c r="E74" s="34" t="n">
        <v>0</v>
      </c>
      <c r="F74" s="34" t="n">
        <v>0</v>
      </c>
      <c r="G74" s="34" t="n">
        <v>0</v>
      </c>
      <c r="H74" s="34" t="n">
        <v>0</v>
      </c>
      <c r="I74" s="34" t="n">
        <v>0</v>
      </c>
      <c r="J74" s="34" t="n">
        <v>0</v>
      </c>
      <c r="K74" s="34" t="n">
        <v>0</v>
      </c>
      <c r="L74" s="34" t="n">
        <v>0</v>
      </c>
      <c r="M74" s="34" t="n">
        <v>0</v>
      </c>
      <c r="N74" s="34" t="n">
        <v>0</v>
      </c>
      <c r="O74" s="34" t="n">
        <v>0</v>
      </c>
      <c r="P74" s="34" t="n">
        <v>0</v>
      </c>
      <c r="Q74" s="34" t="n">
        <v>0</v>
      </c>
      <c r="R74" s="34" t="n">
        <v>0</v>
      </c>
      <c r="S74" s="34" t="n">
        <v>0</v>
      </c>
      <c r="T74" s="34" t="n">
        <v>0</v>
      </c>
      <c r="U74" s="34" t="n">
        <v>0</v>
      </c>
      <c r="V74" s="34" t="n">
        <v>0</v>
      </c>
      <c r="W74" s="34" t="n">
        <v>0</v>
      </c>
      <c r="X74" s="34" t="n">
        <v>0</v>
      </c>
      <c r="Y74" s="34" t="n">
        <v>0</v>
      </c>
      <c r="Z74" s="34" t="n">
        <v>0</v>
      </c>
      <c r="AA74" s="34" t="n">
        <v>0</v>
      </c>
      <c r="AB74" s="34" t="n">
        <v>0</v>
      </c>
      <c r="AC74" s="34" t="n">
        <v>0</v>
      </c>
      <c r="AD74" s="34" t="n">
        <v>0</v>
      </c>
      <c r="AE74" s="34" t="n">
        <v>0</v>
      </c>
      <c r="AF74" s="34" t="n">
        <v>0</v>
      </c>
      <c r="AG74" s="34" t="n">
        <v>0</v>
      </c>
      <c r="AH74" s="34" t="n">
        <v>0</v>
      </c>
      <c r="AI74" s="34" t="n">
        <v>0</v>
      </c>
      <c r="AJ74" s="34" t="n">
        <v>0</v>
      </c>
      <c r="AK74" s="34" t="n">
        <v>0</v>
      </c>
      <c r="AL74" s="34" t="n">
        <v>0</v>
      </c>
      <c r="AM74" s="34" t="n">
        <v>0</v>
      </c>
      <c r="AN74" s="34" t="n">
        <v>0</v>
      </c>
      <c r="AO74" s="34" t="n">
        <v>0</v>
      </c>
      <c r="AP74" s="34" t="n">
        <v>0</v>
      </c>
      <c r="AQ74" s="34" t="n">
        <v>0</v>
      </c>
      <c r="AR74" s="34" t="n">
        <v>0</v>
      </c>
      <c r="AS74" s="34" t="n">
        <v>0</v>
      </c>
      <c r="AT74" s="34" t="n">
        <v>0</v>
      </c>
      <c r="AU74" s="34" t="n">
        <v>0</v>
      </c>
      <c r="AV74" s="34" t="n">
        <v>0</v>
      </c>
      <c r="AW74" s="34" t="n">
        <v>0</v>
      </c>
      <c r="AX74" s="34" t="n">
        <v>0</v>
      </c>
      <c r="AY74" s="34" t="n">
        <v>0</v>
      </c>
      <c r="AZ74" s="34" t="n">
        <v>0</v>
      </c>
      <c r="BA74" s="34" t="n">
        <v>0</v>
      </c>
      <c r="BB74" s="34" t="n">
        <v>0</v>
      </c>
      <c r="BC74" s="34" t="n">
        <v>0</v>
      </c>
      <c r="BD74" s="34" t="n">
        <v>0</v>
      </c>
      <c r="BE74" s="34" t="n">
        <v>0</v>
      </c>
      <c r="BF74" s="34" t="n">
        <v>0</v>
      </c>
      <c r="BG74" s="34" t="n">
        <v>0</v>
      </c>
      <c r="BH74" s="34" t="n">
        <v>0</v>
      </c>
      <c r="BI74" s="34" t="n">
        <v>0</v>
      </c>
      <c r="BJ74" s="34" t="n">
        <v>0</v>
      </c>
      <c r="BK74" s="34" t="n">
        <v>0</v>
      </c>
      <c r="BL74" s="34" t="n">
        <v>0</v>
      </c>
      <c r="BM74" s="34" t="n">
        <v>0</v>
      </c>
      <c r="BN74" s="34" t="n">
        <v>0</v>
      </c>
      <c r="BO74" s="34" t="n">
        <v>0</v>
      </c>
      <c r="BP74" s="34" t="n">
        <v>0</v>
      </c>
      <c r="BQ74" s="34" t="n">
        <v>0</v>
      </c>
      <c r="BR74" s="34" t="n">
        <v>0</v>
      </c>
      <c r="BS74" s="34" t="n">
        <v>0</v>
      </c>
      <c r="BT74" s="34" t="n">
        <v>1</v>
      </c>
    </row>
  </sheetData>
  <mergeCells count="2">
    <mergeCell ref="B3:V3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D8E1"/>
    <pageSetUpPr fitToPage="false"/>
  </sheetPr>
  <dimension ref="B1:V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46"/>
    <col collapsed="false" customWidth="true" hidden="false" outlineLevel="0" max="4" min="4" style="0" width="4.4"/>
    <col collapsed="false" customWidth="true" hidden="false" outlineLevel="0" max="14" min="5" style="0" width="11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235</v>
      </c>
    </row>
    <row r="3" customFormat="false" ht="24.75" hidden="false" customHeight="true" outlineLevel="0" collapsed="false">
      <c r="B3" s="15" t="s">
        <v>236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5" customFormat="false" ht="15" hidden="false" customHeight="false" outlineLevel="0" collapsed="false">
      <c r="B5" s="4" t="s">
        <v>237</v>
      </c>
    </row>
    <row r="6" customFormat="false" ht="25.5" hidden="false" customHeight="true" outlineLevel="0" collapsed="false">
      <c r="B6" s="35" t="s">
        <v>238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customFormat="false" ht="13.5" hidden="false" customHeight="true" outlineLevel="0" collapsed="false">
      <c r="B7" s="35" t="s">
        <v>239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9" customFormat="false" ht="24" hidden="false" customHeight="true" outlineLevel="0" collapsed="false">
      <c r="B9" s="5" t="s">
        <v>62</v>
      </c>
      <c r="C9" s="5" t="s">
        <v>63</v>
      </c>
      <c r="D9" s="5" t="s">
        <v>64</v>
      </c>
      <c r="E9" s="5" t="s">
        <v>240</v>
      </c>
      <c r="F9" s="5" t="s">
        <v>241</v>
      </c>
      <c r="G9" s="5" t="s">
        <v>242</v>
      </c>
      <c r="H9" s="5" t="s">
        <v>243</v>
      </c>
      <c r="I9" s="5" t="s">
        <v>244</v>
      </c>
      <c r="J9" s="5" t="s">
        <v>245</v>
      </c>
      <c r="K9" s="5" t="s">
        <v>246</v>
      </c>
      <c r="L9" s="5" t="s">
        <v>247</v>
      </c>
      <c r="M9" s="5" t="s">
        <v>248</v>
      </c>
      <c r="N9" s="5" t="s">
        <v>249</v>
      </c>
    </row>
    <row r="10" customFormat="false" ht="15" hidden="false" customHeight="false" outlineLevel="0" collapsed="false">
      <c r="B10" s="14" t="s">
        <v>65</v>
      </c>
      <c r="C10" s="7" t="s">
        <v>66</v>
      </c>
      <c r="D10" s="14" t="n">
        <v>1</v>
      </c>
      <c r="E10" s="36" t="n">
        <f aca="false">SUM(B_2020!E7:E74)</f>
        <v>1.70710649380044</v>
      </c>
      <c r="F10" s="36" t="n">
        <f aca="false">SUM(B2_2020!E7:E74)</f>
        <v>3.40171201972482</v>
      </c>
      <c r="G10" s="36" t="n">
        <f aca="false">SUMPRODUCT(Dados_2020!$Q$7:$Q$74,B_2020!E7:E74)</f>
        <v>14.5643953211708</v>
      </c>
      <c r="H10" s="36" t="n">
        <f aca="false">SUMPRODUCT(Dados_2020!$Q$7:$Q$74,B2_2020!E7:E74)</f>
        <v>27.6045097410952</v>
      </c>
      <c r="I10" s="36" t="n">
        <f aca="false">SUMPRODUCT(Dados_2020!$R$7:$R$74,B_2020!E7:E74)</f>
        <v>0.156924484388197</v>
      </c>
      <c r="J10" s="36" t="n">
        <f aca="false">SUMPRODUCT(Dados_2020!$R$7:$R$74,B2_2020!E7:E74)</f>
        <v>0.472889153814909</v>
      </c>
      <c r="K10" s="36" t="n">
        <f aca="false">SUMPRODUCT(Dados_2020!$S$7:$S$74,B_2020!E7:E74)</f>
        <v>0.800870690797767</v>
      </c>
      <c r="L10" s="36" t="n">
        <f aca="false">SUMPRODUCT(Dados_2020!$S$7:$S$74,B2_2020!E7:E74)</f>
        <v>1.62515997159881</v>
      </c>
      <c r="M10" s="14" t="n">
        <f aca="false">RANK(H10,$H$10:$H$77,0)</f>
        <v>40</v>
      </c>
      <c r="N10" s="14" t="n">
        <f aca="false">RANK(J10,$J$10:$J$77,0)</f>
        <v>66</v>
      </c>
    </row>
    <row r="11" customFormat="false" ht="15" hidden="false" customHeight="false" outlineLevel="0" collapsed="false">
      <c r="B11" s="17" t="s">
        <v>67</v>
      </c>
      <c r="C11" s="9" t="s">
        <v>68</v>
      </c>
      <c r="D11" s="17" t="n">
        <v>2</v>
      </c>
      <c r="E11" s="37" t="n">
        <f aca="false">SUM(B_2020!F7:F74)</f>
        <v>1.87009436093967</v>
      </c>
      <c r="F11" s="37" t="n">
        <f aca="false">SUM(B2_2020!F7:F74)</f>
        <v>3.6227307778127</v>
      </c>
      <c r="G11" s="37" t="n">
        <f aca="false">SUMPRODUCT(Dados_2020!$Q$7:$Q$74,B_2020!F7:F74)</f>
        <v>32.8982228937576</v>
      </c>
      <c r="H11" s="37" t="n">
        <f aca="false">SUMPRODUCT(Dados_2020!$Q$7:$Q$74,B2_2020!F7:F74)</f>
        <v>46.3848892965971</v>
      </c>
      <c r="I11" s="37" t="n">
        <f aca="false">SUMPRODUCT(Dados_2020!$R$7:$R$74,B_2020!F7:F74)</f>
        <v>0.228323621589232</v>
      </c>
      <c r="J11" s="37" t="n">
        <f aca="false">SUMPRODUCT(Dados_2020!$R$7:$R$74,B2_2020!F7:F74)</f>
        <v>0.555108337920445</v>
      </c>
      <c r="K11" s="37" t="n">
        <f aca="false">SUMPRODUCT(Dados_2020!$S$7:$S$74,B_2020!F7:F74)</f>
        <v>0.828296093943615</v>
      </c>
      <c r="L11" s="37" t="n">
        <f aca="false">SUMPRODUCT(Dados_2020!$S$7:$S$74,B2_2020!F7:F74)</f>
        <v>1.68081273540915</v>
      </c>
      <c r="M11" s="17" t="n">
        <f aca="false">RANK(H11,$H$10:$H$77,0)</f>
        <v>4</v>
      </c>
      <c r="N11" s="17" t="n">
        <f aca="false">RANK(J11,$J$10:$J$77,0)</f>
        <v>60</v>
      </c>
    </row>
    <row r="12" customFormat="false" ht="15" hidden="false" customHeight="false" outlineLevel="0" collapsed="false">
      <c r="B12" s="14" t="s">
        <v>69</v>
      </c>
      <c r="C12" s="7" t="s">
        <v>70</v>
      </c>
      <c r="D12" s="14" t="n">
        <v>3</v>
      </c>
      <c r="E12" s="36" t="n">
        <f aca="false">SUM(B_2020!G7:G74)</f>
        <v>1.4228934028443</v>
      </c>
      <c r="F12" s="36" t="n">
        <f aca="false">SUM(B2_2020!G7:G74)</f>
        <v>3.37406886348456</v>
      </c>
      <c r="G12" s="36" t="n">
        <f aca="false">SUMPRODUCT(Dados_2020!$Q$7:$Q$74,B_2020!G7:G74)</f>
        <v>19.4538321732356</v>
      </c>
      <c r="H12" s="36" t="n">
        <f aca="false">SUMPRODUCT(Dados_2020!$Q$7:$Q$74,B2_2020!G7:G74)</f>
        <v>34.4682711508369</v>
      </c>
      <c r="I12" s="36" t="n">
        <f aca="false">SUMPRODUCT(Dados_2020!$R$7:$R$74,B_2020!G7:G74)</f>
        <v>0.118602179155378</v>
      </c>
      <c r="J12" s="36" t="n">
        <f aca="false">SUMPRODUCT(Dados_2020!$R$7:$R$74,B2_2020!G7:G74)</f>
        <v>0.482405140955835</v>
      </c>
      <c r="K12" s="36" t="n">
        <f aca="false">SUMPRODUCT(Dados_2020!$S$7:$S$74,B_2020!G7:G74)</f>
        <v>0.922125659998788</v>
      </c>
      <c r="L12" s="36" t="n">
        <f aca="false">SUMPRODUCT(Dados_2020!$S$7:$S$74,B2_2020!G7:G74)</f>
        <v>1.87121557653879</v>
      </c>
      <c r="M12" s="14" t="n">
        <f aca="false">RANK(H12,$H$10:$H$77,0)</f>
        <v>18</v>
      </c>
      <c r="N12" s="14" t="n">
        <f aca="false">RANK(J12,$J$10:$J$77,0)</f>
        <v>65</v>
      </c>
    </row>
    <row r="13" customFormat="false" ht="15" hidden="false" customHeight="false" outlineLevel="0" collapsed="false">
      <c r="B13" s="17" t="s">
        <v>71</v>
      </c>
      <c r="C13" s="9" t="s">
        <v>72</v>
      </c>
      <c r="D13" s="17" t="n">
        <v>4</v>
      </c>
      <c r="E13" s="37" t="n">
        <f aca="false">SUM(B_2020!H7:H74)</f>
        <v>2.02044991740721</v>
      </c>
      <c r="F13" s="37" t="n">
        <f aca="false">SUM(B2_2020!H7:H74)</f>
        <v>3.78426593950241</v>
      </c>
      <c r="G13" s="37" t="n">
        <f aca="false">SUMPRODUCT(Dados_2020!$Q$7:$Q$74,B_2020!H7:H74)</f>
        <v>10.0417464812597</v>
      </c>
      <c r="H13" s="37" t="n">
        <f aca="false">SUMPRODUCT(Dados_2020!$Q$7:$Q$74,B2_2020!H7:H74)</f>
        <v>23.614440770257</v>
      </c>
      <c r="I13" s="37" t="n">
        <f aca="false">SUMPRODUCT(Dados_2020!$R$7:$R$74,B_2020!H7:H74)</f>
        <v>0.353187074195128</v>
      </c>
      <c r="J13" s="37" t="n">
        <f aca="false">SUMPRODUCT(Dados_2020!$R$7:$R$74,B2_2020!H7:H74)</f>
        <v>0.68205626400073</v>
      </c>
      <c r="K13" s="37" t="n">
        <f aca="false">SUMPRODUCT(Dados_2020!$S$7:$S$74,B_2020!H7:H74)</f>
        <v>0.833579576158297</v>
      </c>
      <c r="L13" s="37" t="n">
        <f aca="false">SUMPRODUCT(Dados_2020!$S$7:$S$74,B2_2020!H7:H74)</f>
        <v>1.6915341963199</v>
      </c>
      <c r="M13" s="17" t="n">
        <f aca="false">RANK(H13,$H$10:$H$77,0)</f>
        <v>48</v>
      </c>
      <c r="N13" s="17" t="n">
        <f aca="false">RANK(J13,$J$10:$J$77,0)</f>
        <v>49</v>
      </c>
    </row>
    <row r="14" customFormat="false" ht="15" hidden="false" customHeight="false" outlineLevel="0" collapsed="false">
      <c r="B14" s="14" t="s">
        <v>73</v>
      </c>
      <c r="C14" s="7" t="s">
        <v>74</v>
      </c>
      <c r="D14" s="14" t="n">
        <v>5</v>
      </c>
      <c r="E14" s="36" t="n">
        <f aca="false">SUM(B_2020!I7:I74)</f>
        <v>1.90971368325129</v>
      </c>
      <c r="F14" s="36" t="n">
        <f aca="false">SUM(B2_2020!I7:I74)</f>
        <v>3.53803107829275</v>
      </c>
      <c r="G14" s="36" t="n">
        <f aca="false">SUMPRODUCT(Dados_2020!$Q$7:$Q$74,B_2020!I7:I74)</f>
        <v>4.94679664585769</v>
      </c>
      <c r="H14" s="36" t="n">
        <f aca="false">SUMPRODUCT(Dados_2020!$Q$7:$Q$74,B2_2020!I7:I74)</f>
        <v>17.4768190129872</v>
      </c>
      <c r="I14" s="36" t="n">
        <f aca="false">SUMPRODUCT(Dados_2020!$R$7:$R$74,B_2020!I7:I74)</f>
        <v>0.251525671657983</v>
      </c>
      <c r="J14" s="36" t="n">
        <f aca="false">SUMPRODUCT(Dados_2020!$R$7:$R$74,B2_2020!I7:I74)</f>
        <v>0.555130705145284</v>
      </c>
      <c r="K14" s="36" t="n">
        <f aca="false">SUMPRODUCT(Dados_2020!$S$7:$S$74,B_2020!I7:I74)</f>
        <v>0.769542915477936</v>
      </c>
      <c r="L14" s="36" t="n">
        <f aca="false">SUMPRODUCT(Dados_2020!$S$7:$S$74,B2_2020!I7:I74)</f>
        <v>1.56158835256713</v>
      </c>
      <c r="M14" s="14" t="n">
        <f aca="false">RANK(H14,$H$10:$H$77,0)</f>
        <v>62</v>
      </c>
      <c r="N14" s="14" t="n">
        <f aca="false">RANK(J14,$J$10:$J$77,0)</f>
        <v>59</v>
      </c>
    </row>
    <row r="15" customFormat="false" ht="15" hidden="false" customHeight="false" outlineLevel="0" collapsed="false">
      <c r="B15" s="17" t="s">
        <v>75</v>
      </c>
      <c r="C15" s="9" t="s">
        <v>76</v>
      </c>
      <c r="D15" s="17" t="n">
        <v>6</v>
      </c>
      <c r="E15" s="37" t="n">
        <f aca="false">SUM(B_2020!J7:J74)</f>
        <v>1.76435585350985</v>
      </c>
      <c r="F15" s="37" t="n">
        <f aca="false">SUM(B2_2020!J7:J74)</f>
        <v>3.62520734426872</v>
      </c>
      <c r="G15" s="37" t="n">
        <f aca="false">SUMPRODUCT(Dados_2020!$Q$7:$Q$74,B_2020!J7:J74)</f>
        <v>4.798087377403</v>
      </c>
      <c r="H15" s="37" t="n">
        <f aca="false">SUMPRODUCT(Dados_2020!$Q$7:$Q$74,B2_2020!J7:J74)</f>
        <v>19.1174767495968</v>
      </c>
      <c r="I15" s="37" t="n">
        <f aca="false">SUMPRODUCT(Dados_2020!$R$7:$R$74,B_2020!J7:J74)</f>
        <v>0.176408812737003</v>
      </c>
      <c r="J15" s="37" t="n">
        <f aca="false">SUMPRODUCT(Dados_2020!$R$7:$R$74,B2_2020!J7:J74)</f>
        <v>0.523370578844254</v>
      </c>
      <c r="K15" s="37" t="n">
        <f aca="false">SUMPRODUCT(Dados_2020!$S$7:$S$74,B_2020!J7:J74)</f>
        <v>0.879438545476935</v>
      </c>
      <c r="L15" s="37" t="n">
        <f aca="false">SUMPRODUCT(Dados_2020!$S$7:$S$74,B2_2020!J7:J74)</f>
        <v>1.78459311598294</v>
      </c>
      <c r="M15" s="17" t="n">
        <f aca="false">RANK(H15,$H$10:$H$77,0)</f>
        <v>58</v>
      </c>
      <c r="N15" s="17" t="n">
        <f aca="false">RANK(J15,$J$10:$J$77,0)</f>
        <v>62</v>
      </c>
    </row>
    <row r="16" customFormat="false" ht="15" hidden="false" customHeight="false" outlineLevel="0" collapsed="false">
      <c r="B16" s="14" t="s">
        <v>77</v>
      </c>
      <c r="C16" s="7" t="s">
        <v>78</v>
      </c>
      <c r="D16" s="14" t="n">
        <v>7</v>
      </c>
      <c r="E16" s="36" t="n">
        <f aca="false">SUM(B_2020!K7:K74)</f>
        <v>2.21323135352475</v>
      </c>
      <c r="F16" s="36" t="n">
        <f aca="false">SUM(B2_2020!K7:K74)</f>
        <v>3.95461138992065</v>
      </c>
      <c r="G16" s="36" t="n">
        <f aca="false">SUMPRODUCT(Dados_2020!$Q$7:$Q$74,B_2020!K7:K74)</f>
        <v>7.98042990882935</v>
      </c>
      <c r="H16" s="36" t="n">
        <f aca="false">SUMPRODUCT(Dados_2020!$Q$7:$Q$74,B2_2020!K7:K74)</f>
        <v>21.3804776342656</v>
      </c>
      <c r="I16" s="36" t="n">
        <f aca="false">SUMPRODUCT(Dados_2020!$R$7:$R$74,B_2020!K7:K74)</f>
        <v>0.340761009084376</v>
      </c>
      <c r="J16" s="36" t="n">
        <f aca="false">SUMPRODUCT(Dados_2020!$R$7:$R$74,B2_2020!K7:K74)</f>
        <v>0.66544693694713</v>
      </c>
      <c r="K16" s="36" t="n">
        <f aca="false">SUMPRODUCT(Dados_2020!$S$7:$S$74,B_2020!K7:K74)</f>
        <v>0.822976327738036</v>
      </c>
      <c r="L16" s="36" t="n">
        <f aca="false">SUMPRODUCT(Dados_2020!$S$7:$S$74,B2_2020!K7:K74)</f>
        <v>1.67001764552147</v>
      </c>
      <c r="M16" s="14" t="n">
        <f aca="false">RANK(H16,$H$10:$H$77,0)</f>
        <v>55</v>
      </c>
      <c r="N16" s="14" t="n">
        <f aca="false">RANK(J16,$J$10:$J$77,0)</f>
        <v>53</v>
      </c>
    </row>
    <row r="17" customFormat="false" ht="15" hidden="false" customHeight="false" outlineLevel="0" collapsed="false">
      <c r="B17" s="17" t="s">
        <v>79</v>
      </c>
      <c r="C17" s="9" t="s">
        <v>80</v>
      </c>
      <c r="D17" s="17" t="n">
        <v>8</v>
      </c>
      <c r="E17" s="37" t="n">
        <f aca="false">SUM(B_2020!L7:L74)</f>
        <v>3.50035258948802</v>
      </c>
      <c r="F17" s="37" t="n">
        <f aca="false">SUM(B2_2020!L7:L74)</f>
        <v>6.2769325521804</v>
      </c>
      <c r="G17" s="37" t="n">
        <f aca="false">SUMPRODUCT(Dados_2020!$Q$7:$Q$74,B_2020!L7:L74)</f>
        <v>27.7455205012767</v>
      </c>
      <c r="H17" s="37" t="n">
        <f aca="false">SUMPRODUCT(Dados_2020!$Q$7:$Q$74,B2_2020!L7:L74)</f>
        <v>49.1115079571643</v>
      </c>
      <c r="I17" s="37" t="n">
        <f aca="false">SUMPRODUCT(Dados_2020!$R$7:$R$74,B_2020!L7:L74)</f>
        <v>0.56189555564425</v>
      </c>
      <c r="J17" s="37" t="n">
        <f aca="false">SUMPRODUCT(Dados_2020!$R$7:$R$74,B2_2020!L7:L74)</f>
        <v>1.0795978507376</v>
      </c>
      <c r="K17" s="37" t="n">
        <f aca="false">SUMPRODUCT(Dados_2020!$S$7:$S$74,B_2020!L7:L74)</f>
        <v>1.31221188575064</v>
      </c>
      <c r="L17" s="37" t="n">
        <f aca="false">SUMPRODUCT(Dados_2020!$S$7:$S$74,B2_2020!L7:L74)</f>
        <v>2.66279470017044</v>
      </c>
      <c r="M17" s="17" t="n">
        <f aca="false">RANK(H17,$H$10:$H$77,0)</f>
        <v>3</v>
      </c>
      <c r="N17" s="17" t="n">
        <f aca="false">RANK(J17,$J$10:$J$77,0)</f>
        <v>9</v>
      </c>
    </row>
    <row r="18" customFormat="false" ht="15" hidden="false" customHeight="false" outlineLevel="0" collapsed="false">
      <c r="B18" s="14" t="s">
        <v>81</v>
      </c>
      <c r="C18" s="7" t="s">
        <v>82</v>
      </c>
      <c r="D18" s="14" t="n">
        <v>9</v>
      </c>
      <c r="E18" s="36" t="n">
        <f aca="false">SUM(B_2020!M7:M74)</f>
        <v>2.53645081296237</v>
      </c>
      <c r="F18" s="36" t="n">
        <f aca="false">SUM(B2_2020!M7:M74)</f>
        <v>4.51702447685056</v>
      </c>
      <c r="G18" s="36" t="n">
        <f aca="false">SUMPRODUCT(Dados_2020!$Q$7:$Q$74,B_2020!M7:M74)</f>
        <v>13.9738912420263</v>
      </c>
      <c r="H18" s="36" t="n">
        <f aca="false">SUMPRODUCT(Dados_2020!$Q$7:$Q$74,B2_2020!M7:M74)</f>
        <v>29.2145515603635</v>
      </c>
      <c r="I18" s="36" t="n">
        <f aca="false">SUMPRODUCT(Dados_2020!$R$7:$R$74,B_2020!M7:M74)</f>
        <v>0.349902986331044</v>
      </c>
      <c r="J18" s="36" t="n">
        <f aca="false">SUMPRODUCT(Dados_2020!$R$7:$R$74,B2_2020!M7:M74)</f>
        <v>0.71918733800594</v>
      </c>
      <c r="K18" s="36" t="n">
        <f aca="false">SUMPRODUCT(Dados_2020!$S$7:$S$74,B_2020!M7:M74)</f>
        <v>0.936019252922451</v>
      </c>
      <c r="L18" s="36" t="n">
        <f aca="false">SUMPRODUCT(Dados_2020!$S$7:$S$74,B2_2020!M7:M74)</f>
        <v>1.89940903066399</v>
      </c>
      <c r="M18" s="14" t="n">
        <f aca="false">RANK(H18,$H$10:$H$77,0)</f>
        <v>30</v>
      </c>
      <c r="N18" s="14" t="n">
        <f aca="false">RANK(J18,$J$10:$J$77,0)</f>
        <v>42</v>
      </c>
    </row>
    <row r="19" customFormat="false" ht="15" hidden="false" customHeight="false" outlineLevel="0" collapsed="false">
      <c r="B19" s="17" t="s">
        <v>83</v>
      </c>
      <c r="C19" s="9" t="s">
        <v>84</v>
      </c>
      <c r="D19" s="17" t="n">
        <v>10</v>
      </c>
      <c r="E19" s="37" t="n">
        <f aca="false">SUM(B_2020!N7:N74)</f>
        <v>2.91112313704309</v>
      </c>
      <c r="F19" s="37" t="n">
        <f aca="false">SUM(B2_2020!N7:N74)</f>
        <v>5.14253524933363</v>
      </c>
      <c r="G19" s="37" t="n">
        <f aca="false">SUMPRODUCT(Dados_2020!$Q$7:$Q$74,B_2020!N7:N74)</f>
        <v>18.1908054034277</v>
      </c>
      <c r="H19" s="37" t="n">
        <f aca="false">SUMPRODUCT(Dados_2020!$Q$7:$Q$74,B2_2020!N7:N74)</f>
        <v>35.3616860698302</v>
      </c>
      <c r="I19" s="37" t="n">
        <f aca="false">SUMPRODUCT(Dados_2020!$R$7:$R$74,B_2020!N7:N74)</f>
        <v>0.431599428646757</v>
      </c>
      <c r="J19" s="37" t="n">
        <f aca="false">SUMPRODUCT(Dados_2020!$R$7:$R$74,B2_2020!N7:N74)</f>
        <v>0.847653418574617</v>
      </c>
      <c r="K19" s="37" t="n">
        <f aca="false">SUMPRODUCT(Dados_2020!$S$7:$S$74,B_2020!N7:N74)</f>
        <v>1.05456552128839</v>
      </c>
      <c r="L19" s="37" t="n">
        <f aca="false">SUMPRODUCT(Dados_2020!$S$7:$S$74,B2_2020!N7:N74)</f>
        <v>2.13996802769611</v>
      </c>
      <c r="M19" s="17" t="n">
        <f aca="false">RANK(H19,$H$10:$H$77,0)</f>
        <v>15</v>
      </c>
      <c r="N19" s="17" t="n">
        <f aca="false">RANK(J19,$J$10:$J$77,0)</f>
        <v>24</v>
      </c>
    </row>
    <row r="20" customFormat="false" ht="15" hidden="false" customHeight="false" outlineLevel="0" collapsed="false">
      <c r="B20" s="14" t="s">
        <v>85</v>
      </c>
      <c r="C20" s="7" t="s">
        <v>86</v>
      </c>
      <c r="D20" s="14" t="n">
        <v>11</v>
      </c>
      <c r="E20" s="36" t="n">
        <f aca="false">SUM(B_2020!O7:O74)</f>
        <v>2.35431295975452</v>
      </c>
      <c r="F20" s="36" t="n">
        <f aca="false">SUM(B2_2020!O7:O74)</f>
        <v>4.10071336118414</v>
      </c>
      <c r="G20" s="36" t="n">
        <f aca="false">SUMPRODUCT(Dados_2020!$Q$7:$Q$74,B_2020!O7:O74)</f>
        <v>10.4393274683841</v>
      </c>
      <c r="H20" s="36" t="n">
        <f aca="false">SUMPRODUCT(Dados_2020!$Q$7:$Q$74,B2_2020!O7:O74)</f>
        <v>23.878007272772</v>
      </c>
      <c r="I20" s="36" t="n">
        <f aca="false">SUMPRODUCT(Dados_2020!$R$7:$R$74,B_2020!O7:O74)</f>
        <v>0.365805626201667</v>
      </c>
      <c r="J20" s="36" t="n">
        <f aca="false">SUMPRODUCT(Dados_2020!$R$7:$R$74,B2_2020!O7:O74)</f>
        <v>0.691427617327529</v>
      </c>
      <c r="K20" s="36" t="n">
        <f aca="false">SUMPRODUCT(Dados_2020!$S$7:$S$74,B_2020!O7:O74)</f>
        <v>0.825348952606242</v>
      </c>
      <c r="L20" s="36" t="n">
        <f aca="false">SUMPRODUCT(Dados_2020!$S$7:$S$74,B2_2020!O7:O74)</f>
        <v>1.67483227415969</v>
      </c>
      <c r="M20" s="14" t="n">
        <f aca="false">RANK(H20,$H$10:$H$77,0)</f>
        <v>47</v>
      </c>
      <c r="N20" s="14" t="n">
        <f aca="false">RANK(J20,$J$10:$J$77,0)</f>
        <v>45</v>
      </c>
    </row>
    <row r="21" customFormat="false" ht="15" hidden="false" customHeight="false" outlineLevel="0" collapsed="false">
      <c r="B21" s="17" t="s">
        <v>87</v>
      </c>
      <c r="C21" s="9" t="s">
        <v>88</v>
      </c>
      <c r="D21" s="17" t="n">
        <v>12</v>
      </c>
      <c r="E21" s="37" t="n">
        <f aca="false">SUM(B_2020!P7:P74)</f>
        <v>2.46948550399374</v>
      </c>
      <c r="F21" s="37" t="n">
        <f aca="false">SUM(B2_2020!P7:P74)</f>
        <v>4.4838271468745</v>
      </c>
      <c r="G21" s="37" t="n">
        <f aca="false">SUMPRODUCT(Dados_2020!$Q$7:$Q$74,B_2020!P7:P74)</f>
        <v>13.2592348618658</v>
      </c>
      <c r="H21" s="37" t="n">
        <f aca="false">SUMPRODUCT(Dados_2020!$Q$7:$Q$74,B2_2020!P7:P74)</f>
        <v>28.7597422673608</v>
      </c>
      <c r="I21" s="37" t="n">
        <f aca="false">SUMPRODUCT(Dados_2020!$R$7:$R$74,B_2020!P7:P74)</f>
        <v>0.383187029151741</v>
      </c>
      <c r="J21" s="37" t="n">
        <f aca="false">SUMPRODUCT(Dados_2020!$R$7:$R$74,B2_2020!P7:P74)</f>
        <v>0.758767529491547</v>
      </c>
      <c r="K21" s="37" t="n">
        <f aca="false">SUMPRODUCT(Dados_2020!$S$7:$S$74,B_2020!P7:P74)</f>
        <v>0.951978002170525</v>
      </c>
      <c r="L21" s="37" t="n">
        <f aca="false">SUMPRODUCT(Dados_2020!$S$7:$S$74,B2_2020!P7:P74)</f>
        <v>1.93179318552539</v>
      </c>
      <c r="M21" s="17" t="n">
        <f aca="false">RANK(H21,$H$10:$H$77,0)</f>
        <v>35</v>
      </c>
      <c r="N21" s="17" t="n">
        <f aca="false">RANK(J21,$J$10:$J$77,0)</f>
        <v>36</v>
      </c>
    </row>
    <row r="22" customFormat="false" ht="15" hidden="false" customHeight="false" outlineLevel="0" collapsed="false">
      <c r="B22" s="14" t="s">
        <v>89</v>
      </c>
      <c r="C22" s="7" t="s">
        <v>90</v>
      </c>
      <c r="D22" s="14" t="n">
        <v>13</v>
      </c>
      <c r="E22" s="36" t="n">
        <f aca="false">SUM(B_2020!Q7:Q74)</f>
        <v>2.53339430329036</v>
      </c>
      <c r="F22" s="36" t="n">
        <f aca="false">SUM(B2_2020!Q7:Q74)</f>
        <v>4.41194941847364</v>
      </c>
      <c r="G22" s="36" t="n">
        <f aca="false">SUMPRODUCT(Dados_2020!$Q$7:$Q$74,B_2020!Q7:Q74)</f>
        <v>22.1280914650478</v>
      </c>
      <c r="H22" s="36" t="n">
        <f aca="false">SUMPRODUCT(Dados_2020!$Q$7:$Q$74,B2_2020!Q7:Q74)</f>
        <v>36.5837115320021</v>
      </c>
      <c r="I22" s="36" t="n">
        <f aca="false">SUMPRODUCT(Dados_2020!$R$7:$R$74,B_2020!Q7:Q74)</f>
        <v>0.460201516030118</v>
      </c>
      <c r="J22" s="36" t="n">
        <f aca="false">SUMPRODUCT(Dados_2020!$R$7:$R$74,B2_2020!Q7:Q74)</f>
        <v>0.810464180047435</v>
      </c>
      <c r="K22" s="36" t="n">
        <f aca="false">SUMPRODUCT(Dados_2020!$S$7:$S$74,B_2020!Q7:Q74)</f>
        <v>0.887805279625674</v>
      </c>
      <c r="L22" s="36" t="n">
        <f aca="false">SUMPRODUCT(Dados_2020!$S$7:$S$74,B2_2020!Q7:Q74)</f>
        <v>1.80157123940258</v>
      </c>
      <c r="M22" s="14" t="n">
        <f aca="false">RANK(H22,$H$10:$H$77,0)</f>
        <v>13</v>
      </c>
      <c r="N22" s="14" t="n">
        <f aca="false">RANK(J22,$J$10:$J$77,0)</f>
        <v>28</v>
      </c>
    </row>
    <row r="23" customFormat="false" ht="15" hidden="false" customHeight="false" outlineLevel="0" collapsed="false">
      <c r="B23" s="17" t="s">
        <v>91</v>
      </c>
      <c r="C23" s="9" t="s">
        <v>92</v>
      </c>
      <c r="D23" s="17" t="n">
        <v>14</v>
      </c>
      <c r="E23" s="37" t="n">
        <f aca="false">SUM(B_2020!R7:R74)</f>
        <v>2.29468103767597</v>
      </c>
      <c r="F23" s="37" t="n">
        <f aca="false">SUM(B2_2020!R7:R74)</f>
        <v>4.29813892925088</v>
      </c>
      <c r="G23" s="37" t="n">
        <f aca="false">SUMPRODUCT(Dados_2020!$Q$7:$Q$74,B_2020!R7:R74)</f>
        <v>35.3057135120127</v>
      </c>
      <c r="H23" s="37" t="n">
        <f aca="false">SUMPRODUCT(Dados_2020!$Q$7:$Q$74,B2_2020!R7:R74)</f>
        <v>50.7224696490413</v>
      </c>
      <c r="I23" s="37" t="n">
        <f aca="false">SUMPRODUCT(Dados_2020!$R$7:$R$74,B_2020!R7:R74)</f>
        <v>0.530975913144748</v>
      </c>
      <c r="J23" s="37" t="n">
        <f aca="false">SUMPRODUCT(Dados_2020!$R$7:$R$74,B2_2020!R7:R74)</f>
        <v>0.904527102927693</v>
      </c>
      <c r="K23" s="37" t="n">
        <f aca="false">SUMPRODUCT(Dados_2020!$S$7:$S$74,B_2020!R7:R74)</f>
        <v>0.946834340537515</v>
      </c>
      <c r="L23" s="37" t="n">
        <f aca="false">SUMPRODUCT(Dados_2020!$S$7:$S$74,B2_2020!R7:R74)</f>
        <v>1.92135545432925</v>
      </c>
      <c r="M23" s="17" t="n">
        <f aca="false">RANK(H23,$H$10:$H$77,0)</f>
        <v>2</v>
      </c>
      <c r="N23" s="17" t="n">
        <f aca="false">RANK(J23,$J$10:$J$77,0)</f>
        <v>19</v>
      </c>
    </row>
    <row r="24" customFormat="false" ht="15" hidden="false" customHeight="false" outlineLevel="0" collapsed="false">
      <c r="B24" s="14" t="s">
        <v>93</v>
      </c>
      <c r="C24" s="7" t="s">
        <v>94</v>
      </c>
      <c r="D24" s="14" t="n">
        <v>15</v>
      </c>
      <c r="E24" s="36" t="n">
        <f aca="false">SUM(B_2020!S7:S74)</f>
        <v>2.67581904033309</v>
      </c>
      <c r="F24" s="36" t="n">
        <f aca="false">SUM(B2_2020!S7:S74)</f>
        <v>5.11269252965818</v>
      </c>
      <c r="G24" s="36" t="n">
        <f aca="false">SUMPRODUCT(Dados_2020!$Q$7:$Q$74,B_2020!S7:S74)</f>
        <v>25.3536512658238</v>
      </c>
      <c r="H24" s="36" t="n">
        <f aca="false">SUMPRODUCT(Dados_2020!$Q$7:$Q$74,B2_2020!S7:S74)</f>
        <v>44.1055723716785</v>
      </c>
      <c r="I24" s="36" t="n">
        <f aca="false">SUMPRODUCT(Dados_2020!$R$7:$R$74,B_2020!S7:S74)</f>
        <v>0.62776478637587</v>
      </c>
      <c r="J24" s="36" t="n">
        <f aca="false">SUMPRODUCT(Dados_2020!$R$7:$R$74,B2_2020!S7:S74)</f>
        <v>1.0821277131516</v>
      </c>
      <c r="K24" s="36" t="n">
        <f aca="false">SUMPRODUCT(Dados_2020!$S$7:$S$74,B_2020!S7:S74)</f>
        <v>1.15166658253281</v>
      </c>
      <c r="L24" s="36" t="n">
        <f aca="false">SUMPRODUCT(Dados_2020!$S$7:$S$74,B2_2020!S7:S74)</f>
        <v>2.33700952234365</v>
      </c>
      <c r="M24" s="14" t="n">
        <f aca="false">RANK(H24,$H$10:$H$77,0)</f>
        <v>5</v>
      </c>
      <c r="N24" s="14" t="n">
        <f aca="false">RANK(J24,$J$10:$J$77,0)</f>
        <v>8</v>
      </c>
    </row>
    <row r="25" customFormat="false" ht="15" hidden="false" customHeight="false" outlineLevel="0" collapsed="false">
      <c r="B25" s="17" t="s">
        <v>95</v>
      </c>
      <c r="C25" s="9" t="s">
        <v>96</v>
      </c>
      <c r="D25" s="17" t="n">
        <v>16</v>
      </c>
      <c r="E25" s="37" t="n">
        <f aca="false">SUM(B_2020!T7:T74)</f>
        <v>2.44404168038939</v>
      </c>
      <c r="F25" s="37" t="n">
        <f aca="false">SUM(B2_2020!T7:T74)</f>
        <v>4.63087845547225</v>
      </c>
      <c r="G25" s="37" t="n">
        <f aca="false">SUMPRODUCT(Dados_2020!$Q$7:$Q$74,B_2020!T7:T74)</f>
        <v>19.9925286471623</v>
      </c>
      <c r="H25" s="37" t="n">
        <f aca="false">SUMPRODUCT(Dados_2020!$Q$7:$Q$74,B2_2020!T7:T74)</f>
        <v>36.8203988084044</v>
      </c>
      <c r="I25" s="37" t="n">
        <f aca="false">SUMPRODUCT(Dados_2020!$R$7:$R$74,B_2020!T7:T74)</f>
        <v>0.46067284181502</v>
      </c>
      <c r="J25" s="37" t="n">
        <f aca="false">SUMPRODUCT(Dados_2020!$R$7:$R$74,B2_2020!T7:T74)</f>
        <v>0.868415616259427</v>
      </c>
      <c r="K25" s="37" t="n">
        <f aca="false">SUMPRODUCT(Dados_2020!$S$7:$S$74,B_2020!T7:T74)</f>
        <v>1.03349921378736</v>
      </c>
      <c r="L25" s="37" t="n">
        <f aca="false">SUMPRODUCT(Dados_2020!$S$7:$S$74,B2_2020!T7:T74)</f>
        <v>2.09721940411251</v>
      </c>
      <c r="M25" s="17" t="n">
        <f aca="false">RANK(H25,$H$10:$H$77,0)</f>
        <v>11</v>
      </c>
      <c r="N25" s="17" t="n">
        <f aca="false">RANK(J25,$J$10:$J$77,0)</f>
        <v>21</v>
      </c>
    </row>
    <row r="26" customFormat="false" ht="15" hidden="false" customHeight="false" outlineLevel="0" collapsed="false">
      <c r="B26" s="14" t="s">
        <v>97</v>
      </c>
      <c r="C26" s="7" t="s">
        <v>98</v>
      </c>
      <c r="D26" s="14" t="n">
        <v>17</v>
      </c>
      <c r="E26" s="36" t="n">
        <f aca="false">SUM(B_2020!U7:U74)</f>
        <v>3.04944777561127</v>
      </c>
      <c r="F26" s="36" t="n">
        <f aca="false">SUM(B2_2020!U7:U74)</f>
        <v>5.59543803686009</v>
      </c>
      <c r="G26" s="36" t="n">
        <f aca="false">SUMPRODUCT(Dados_2020!$Q$7:$Q$74,B_2020!U7:U74)</f>
        <v>16.3784916169447</v>
      </c>
      <c r="H26" s="36" t="n">
        <f aca="false">SUMPRODUCT(Dados_2020!$Q$7:$Q$74,B2_2020!U7:U74)</f>
        <v>35.9700743250134</v>
      </c>
      <c r="I26" s="36" t="n">
        <f aca="false">SUMPRODUCT(Dados_2020!$R$7:$R$74,B_2020!U7:U74)</f>
        <v>0.543344936964366</v>
      </c>
      <c r="J26" s="36" t="n">
        <f aca="false">SUMPRODUCT(Dados_2020!$R$7:$R$74,B2_2020!U7:U74)</f>
        <v>1.01805303802541</v>
      </c>
      <c r="K26" s="36" t="n">
        <f aca="false">SUMPRODUCT(Dados_2020!$S$7:$S$74,B_2020!U7:U74)</f>
        <v>1.20323517662229</v>
      </c>
      <c r="L26" s="36" t="n">
        <f aca="false">SUMPRODUCT(Dados_2020!$S$7:$S$74,B2_2020!U7:U74)</f>
        <v>2.4416546490399</v>
      </c>
      <c r="M26" s="14" t="n">
        <f aca="false">RANK(H26,$H$10:$H$77,0)</f>
        <v>14</v>
      </c>
      <c r="N26" s="14" t="n">
        <f aca="false">RANK(J26,$J$10:$J$77,0)</f>
        <v>12</v>
      </c>
    </row>
    <row r="27" customFormat="false" ht="15" hidden="false" customHeight="false" outlineLevel="0" collapsed="false">
      <c r="B27" s="17" t="s">
        <v>99</v>
      </c>
      <c r="C27" s="9" t="s">
        <v>100</v>
      </c>
      <c r="D27" s="17" t="n">
        <v>18</v>
      </c>
      <c r="E27" s="37" t="n">
        <f aca="false">SUM(B_2020!V7:V74)</f>
        <v>1.90436245480405</v>
      </c>
      <c r="F27" s="37" t="n">
        <f aca="false">SUM(B2_2020!V7:V74)</f>
        <v>3.68135579227999</v>
      </c>
      <c r="G27" s="37" t="n">
        <f aca="false">SUMPRODUCT(Dados_2020!$Q$7:$Q$74,B_2020!V7:V74)</f>
        <v>13.8642747292207</v>
      </c>
      <c r="H27" s="37" t="n">
        <f aca="false">SUMPRODUCT(Dados_2020!$Q$7:$Q$74,B2_2020!V7:V74)</f>
        <v>27.5383694312839</v>
      </c>
      <c r="I27" s="37" t="n">
        <f aca="false">SUMPRODUCT(Dados_2020!$R$7:$R$74,B_2020!V7:V74)</f>
        <v>0.449725361523478</v>
      </c>
      <c r="J27" s="37" t="n">
        <f aca="false">SUMPRODUCT(Dados_2020!$R$7:$R$74,B2_2020!V7:V74)</f>
        <v>0.781051504309885</v>
      </c>
      <c r="K27" s="37" t="n">
        <f aca="false">SUMPRODUCT(Dados_2020!$S$7:$S$74,B_2020!V7:V74)</f>
        <v>0.839807176334498</v>
      </c>
      <c r="L27" s="37" t="n">
        <f aca="false">SUMPRODUCT(Dados_2020!$S$7:$S$74,B2_2020!V7:V74)</f>
        <v>1.70417150049619</v>
      </c>
      <c r="M27" s="17" t="n">
        <f aca="false">RANK(H27,$H$10:$H$77,0)</f>
        <v>41</v>
      </c>
      <c r="N27" s="17" t="n">
        <f aca="false">RANK(J27,$J$10:$J$77,0)</f>
        <v>33</v>
      </c>
    </row>
    <row r="28" customFormat="false" ht="15" hidden="false" customHeight="false" outlineLevel="0" collapsed="false">
      <c r="B28" s="14" t="s">
        <v>101</v>
      </c>
      <c r="C28" s="7" t="s">
        <v>102</v>
      </c>
      <c r="D28" s="14" t="n">
        <v>19</v>
      </c>
      <c r="E28" s="36" t="n">
        <f aca="false">SUM(B_2020!W7:W74)</f>
        <v>2.40933843574619</v>
      </c>
      <c r="F28" s="36" t="n">
        <f aca="false">SUM(B2_2020!W7:W74)</f>
        <v>3.78235478056261</v>
      </c>
      <c r="G28" s="36" t="n">
        <f aca="false">SUMPRODUCT(Dados_2020!$Q$7:$Q$74,B_2020!W7:W74)</f>
        <v>4.69852773112735</v>
      </c>
      <c r="H28" s="36" t="n">
        <f aca="false">SUMPRODUCT(Dados_2020!$Q$7:$Q$74,B2_2020!W7:W74)</f>
        <v>15.2639897002578</v>
      </c>
      <c r="I28" s="36" t="n">
        <f aca="false">SUMPRODUCT(Dados_2020!$R$7:$R$74,B_2020!W7:W74)</f>
        <v>0.194316338601137</v>
      </c>
      <c r="J28" s="36" t="n">
        <f aca="false">SUMPRODUCT(Dados_2020!$R$7:$R$74,B2_2020!W7:W74)</f>
        <v>0.450319667323169</v>
      </c>
      <c r="K28" s="36" t="n">
        <f aca="false">SUMPRODUCT(Dados_2020!$S$7:$S$74,B_2020!W7:W74)</f>
        <v>0.648887621176575</v>
      </c>
      <c r="L28" s="36" t="n">
        <f aca="false">SUMPRODUCT(Dados_2020!$S$7:$S$74,B2_2020!W7:W74)</f>
        <v>1.31674963276741</v>
      </c>
      <c r="M28" s="14" t="n">
        <f aca="false">RANK(H28,$H$10:$H$77,0)</f>
        <v>68</v>
      </c>
      <c r="N28" s="14" t="n">
        <f aca="false">RANK(J28,$J$10:$J$77,0)</f>
        <v>67</v>
      </c>
    </row>
    <row r="29" customFormat="false" ht="15" hidden="false" customHeight="false" outlineLevel="0" collapsed="false">
      <c r="B29" s="17" t="s">
        <v>103</v>
      </c>
      <c r="C29" s="9" t="s">
        <v>104</v>
      </c>
      <c r="D29" s="17" t="n">
        <v>20</v>
      </c>
      <c r="E29" s="37" t="n">
        <f aca="false">SUM(B_2020!X7:X74)</f>
        <v>2.49379180066513</v>
      </c>
      <c r="F29" s="37" t="n">
        <f aca="false">SUM(B2_2020!X7:X74)</f>
        <v>4.53463252862447</v>
      </c>
      <c r="G29" s="37" t="n">
        <f aca="false">SUMPRODUCT(Dados_2020!$Q$7:$Q$74,B_2020!X7:X74)</f>
        <v>13.2271048058781</v>
      </c>
      <c r="H29" s="37" t="n">
        <f aca="false">SUMPRODUCT(Dados_2020!$Q$7:$Q$74,B2_2020!X7:X74)</f>
        <v>28.9315246241214</v>
      </c>
      <c r="I29" s="37" t="n">
        <f aca="false">SUMPRODUCT(Dados_2020!$R$7:$R$74,B_2020!X7:X74)</f>
        <v>0.331818131898083</v>
      </c>
      <c r="J29" s="37" t="n">
        <f aca="false">SUMPRODUCT(Dados_2020!$R$7:$R$74,B2_2020!X7:X74)</f>
        <v>0.712339472173127</v>
      </c>
      <c r="K29" s="37" t="n">
        <f aca="false">SUMPRODUCT(Dados_2020!$S$7:$S$74,B_2020!X7:X74)</f>
        <v>0.964501471643347</v>
      </c>
      <c r="L29" s="37" t="n">
        <f aca="false">SUMPRODUCT(Dados_2020!$S$7:$S$74,B2_2020!X7:X74)</f>
        <v>1.9572063284043</v>
      </c>
      <c r="M29" s="17" t="n">
        <f aca="false">RANK(H29,$H$10:$H$77,0)</f>
        <v>34</v>
      </c>
      <c r="N29" s="17" t="n">
        <f aca="false">RANK(J29,$J$10:$J$77,0)</f>
        <v>43</v>
      </c>
    </row>
    <row r="30" customFormat="false" ht="15" hidden="false" customHeight="false" outlineLevel="0" collapsed="false">
      <c r="B30" s="14" t="s">
        <v>105</v>
      </c>
      <c r="C30" s="7" t="s">
        <v>106</v>
      </c>
      <c r="D30" s="14" t="n">
        <v>21</v>
      </c>
      <c r="E30" s="36" t="n">
        <f aca="false">SUM(B_2020!Y7:Y74)</f>
        <v>2.28752913299086</v>
      </c>
      <c r="F30" s="36" t="n">
        <f aca="false">SUM(B2_2020!Y7:Y74)</f>
        <v>3.71283686669248</v>
      </c>
      <c r="G30" s="36" t="n">
        <f aca="false">SUMPRODUCT(Dados_2020!$Q$7:$Q$74,B_2020!Y7:Y74)</f>
        <v>7.01583261885321</v>
      </c>
      <c r="H30" s="36" t="n">
        <f aca="false">SUMPRODUCT(Dados_2020!$Q$7:$Q$74,B2_2020!Y7:Y74)</f>
        <v>17.9836806795007</v>
      </c>
      <c r="I30" s="36" t="n">
        <f aca="false">SUMPRODUCT(Dados_2020!$R$7:$R$74,B_2020!Y7:Y74)</f>
        <v>0.278408611247381</v>
      </c>
      <c r="J30" s="36" t="n">
        <f aca="false">SUMPRODUCT(Dados_2020!$R$7:$R$74,B2_2020!Y7:Y74)</f>
        <v>0.54416183819069</v>
      </c>
      <c r="K30" s="36" t="n">
        <f aca="false">SUMPRODUCT(Dados_2020!$S$7:$S$74,B_2020!Y7:Y74)</f>
        <v>0.67360053524336</v>
      </c>
      <c r="L30" s="36" t="n">
        <f aca="false">SUMPRODUCT(Dados_2020!$S$7:$S$74,B2_2020!Y7:Y74)</f>
        <v>1.36689810140832</v>
      </c>
      <c r="M30" s="14" t="n">
        <f aca="false">RANK(H30,$H$10:$H$77,0)</f>
        <v>60</v>
      </c>
      <c r="N30" s="14" t="n">
        <f aca="false">RANK(J30,$J$10:$J$77,0)</f>
        <v>61</v>
      </c>
    </row>
    <row r="31" customFormat="false" ht="15" hidden="false" customHeight="false" outlineLevel="0" collapsed="false">
      <c r="B31" s="17" t="s">
        <v>107</v>
      </c>
      <c r="C31" s="9" t="s">
        <v>108</v>
      </c>
      <c r="D31" s="17" t="n">
        <v>22</v>
      </c>
      <c r="E31" s="37" t="n">
        <f aca="false">SUM(B_2020!Z7:Z74)</f>
        <v>2.58026106398044</v>
      </c>
      <c r="F31" s="37" t="n">
        <f aca="false">SUM(B2_2020!Z7:Z74)</f>
        <v>4.43966029647606</v>
      </c>
      <c r="G31" s="37" t="n">
        <f aca="false">SUMPRODUCT(Dados_2020!$Q$7:$Q$74,B_2020!Z7:Z74)</f>
        <v>10.822837463021</v>
      </c>
      <c r="H31" s="37" t="n">
        <f aca="false">SUMPRODUCT(Dados_2020!$Q$7:$Q$74,B2_2020!Z7:Z74)</f>
        <v>25.1310516008429</v>
      </c>
      <c r="I31" s="37" t="n">
        <f aca="false">SUMPRODUCT(Dados_2020!$R$7:$R$74,B_2020!Z7:Z74)</f>
        <v>0.392884279011649</v>
      </c>
      <c r="J31" s="37" t="n">
        <f aca="false">SUMPRODUCT(Dados_2020!$R$7:$R$74,B2_2020!Z7:Z74)</f>
        <v>0.739575266878742</v>
      </c>
      <c r="K31" s="37" t="n">
        <f aca="false">SUMPRODUCT(Dados_2020!$S$7:$S$74,B_2020!Z7:Z74)</f>
        <v>0.87875220811953</v>
      </c>
      <c r="L31" s="37" t="n">
        <f aca="false">SUMPRODUCT(Dados_2020!$S$7:$S$74,B2_2020!Z7:Z74)</f>
        <v>1.78320037179454</v>
      </c>
      <c r="M31" s="17" t="n">
        <f aca="false">RANK(H31,$H$10:$H$77,0)</f>
        <v>44</v>
      </c>
      <c r="N31" s="17" t="n">
        <f aca="false">RANK(J31,$J$10:$J$77,0)</f>
        <v>39</v>
      </c>
    </row>
    <row r="32" customFormat="false" ht="15" hidden="false" customHeight="false" outlineLevel="0" collapsed="false">
      <c r="B32" s="14" t="s">
        <v>109</v>
      </c>
      <c r="C32" s="7" t="s">
        <v>110</v>
      </c>
      <c r="D32" s="14" t="n">
        <v>23</v>
      </c>
      <c r="E32" s="36" t="n">
        <f aca="false">SUM(B_2020!AA7:AA74)</f>
        <v>2.29861123654609</v>
      </c>
      <c r="F32" s="36" t="n">
        <f aca="false">SUM(B2_2020!AA7:AA74)</f>
        <v>3.85115030423572</v>
      </c>
      <c r="G32" s="36" t="n">
        <f aca="false">SUMPRODUCT(Dados_2020!$Q$7:$Q$74,B_2020!AA7:AA74)</f>
        <v>9.7513858440972</v>
      </c>
      <c r="H32" s="36" t="n">
        <f aca="false">SUMPRODUCT(Dados_2020!$Q$7:$Q$74,B2_2020!AA7:AA74)</f>
        <v>21.6982883971453</v>
      </c>
      <c r="I32" s="36" t="n">
        <f aca="false">SUMPRODUCT(Dados_2020!$R$7:$R$74,B_2020!AA7:AA74)</f>
        <v>0.339883053282015</v>
      </c>
      <c r="J32" s="36" t="n">
        <f aca="false">SUMPRODUCT(Dados_2020!$R$7:$R$74,B2_2020!AA7:AA74)</f>
        <v>0.629358973069908</v>
      </c>
      <c r="K32" s="36" t="n">
        <f aca="false">SUMPRODUCT(Dados_2020!$S$7:$S$74,B_2020!AA7:AA74)</f>
        <v>0.733730072639097</v>
      </c>
      <c r="L32" s="36" t="n">
        <f aca="false">SUMPRODUCT(Dados_2020!$S$7:$S$74,B2_2020!AA7:AA74)</f>
        <v>1.48891544878929</v>
      </c>
      <c r="M32" s="14" t="n">
        <f aca="false">RANK(H32,$H$10:$H$77,0)</f>
        <v>54</v>
      </c>
      <c r="N32" s="14" t="n">
        <f aca="false">RANK(J32,$J$10:$J$77,0)</f>
        <v>55</v>
      </c>
    </row>
    <row r="33" customFormat="false" ht="15" hidden="false" customHeight="false" outlineLevel="0" collapsed="false">
      <c r="B33" s="17" t="s">
        <v>111</v>
      </c>
      <c r="C33" s="9" t="s">
        <v>112</v>
      </c>
      <c r="D33" s="17" t="n">
        <v>24</v>
      </c>
      <c r="E33" s="37" t="n">
        <f aca="false">SUM(B_2020!AB7:AB74)</f>
        <v>2.46995595798517</v>
      </c>
      <c r="F33" s="37" t="n">
        <f aca="false">SUM(B2_2020!AB7:AB74)</f>
        <v>5.00162505045127</v>
      </c>
      <c r="G33" s="37" t="n">
        <f aca="false">SUMPRODUCT(Dados_2020!$Q$7:$Q$74,B_2020!AB7:AB74)</f>
        <v>12.9081426274353</v>
      </c>
      <c r="H33" s="37" t="n">
        <f aca="false">SUMPRODUCT(Dados_2020!$Q$7:$Q$74,B2_2020!AB7:AB74)</f>
        <v>32.3895228862043</v>
      </c>
      <c r="I33" s="37" t="n">
        <f aca="false">SUMPRODUCT(Dados_2020!$R$7:$R$74,B_2020!AB7:AB74)</f>
        <v>0.503879885712713</v>
      </c>
      <c r="J33" s="37" t="n">
        <f aca="false">SUMPRODUCT(Dados_2020!$R$7:$R$74,B2_2020!AB7:AB74)</f>
        <v>0.975917758634514</v>
      </c>
      <c r="K33" s="37" t="n">
        <f aca="false">SUMPRODUCT(Dados_2020!$S$7:$S$74,B_2020!AB7:AB74)</f>
        <v>1.19646699124783</v>
      </c>
      <c r="L33" s="37" t="n">
        <f aca="false">SUMPRODUCT(Dados_2020!$S$7:$S$74,B2_2020!AB7:AB74)</f>
        <v>2.42792036699247</v>
      </c>
      <c r="M33" s="17" t="n">
        <f aca="false">RANK(H33,$H$10:$H$77,0)</f>
        <v>27</v>
      </c>
      <c r="N33" s="17" t="n">
        <f aca="false">RANK(J33,$J$10:$J$77,0)</f>
        <v>13</v>
      </c>
    </row>
    <row r="34" customFormat="false" ht="15" hidden="false" customHeight="false" outlineLevel="0" collapsed="false">
      <c r="B34" s="14" t="s">
        <v>113</v>
      </c>
      <c r="C34" s="7" t="s">
        <v>114</v>
      </c>
      <c r="D34" s="14" t="n">
        <v>25</v>
      </c>
      <c r="E34" s="36" t="n">
        <f aca="false">SUM(B_2020!AC7:AC74)</f>
        <v>2.65622190057705</v>
      </c>
      <c r="F34" s="36" t="n">
        <f aca="false">SUM(B2_2020!AC7:AC74)</f>
        <v>4.62929156006577</v>
      </c>
      <c r="G34" s="36" t="n">
        <f aca="false">SUMPRODUCT(Dados_2020!$Q$7:$Q$74,B_2020!AC7:AC74)</f>
        <v>13.4113963002683</v>
      </c>
      <c r="H34" s="36" t="n">
        <f aca="false">SUMPRODUCT(Dados_2020!$Q$7:$Q$74,B2_2020!AC7:AC74)</f>
        <v>28.5943127516822</v>
      </c>
      <c r="I34" s="36" t="n">
        <f aca="false">SUMPRODUCT(Dados_2020!$R$7:$R$74,B_2020!AC7:AC74)</f>
        <v>0.48176415778201</v>
      </c>
      <c r="J34" s="36" t="n">
        <f aca="false">SUMPRODUCT(Dados_2020!$R$7:$R$74,B2_2020!AC7:AC74)</f>
        <v>0.84964936361843</v>
      </c>
      <c r="K34" s="36" t="n">
        <f aca="false">SUMPRODUCT(Dados_2020!$S$7:$S$74,B_2020!AC7:AC74)</f>
        <v>0.93247285991522</v>
      </c>
      <c r="L34" s="36" t="n">
        <f aca="false">SUMPRODUCT(Dados_2020!$S$7:$S$74,B2_2020!AC7:AC74)</f>
        <v>1.89221254310972</v>
      </c>
      <c r="M34" s="14" t="n">
        <f aca="false">RANK(H34,$H$10:$H$77,0)</f>
        <v>37</v>
      </c>
      <c r="N34" s="14" t="n">
        <f aca="false">RANK(J34,$J$10:$J$77,0)</f>
        <v>23</v>
      </c>
    </row>
    <row r="35" customFormat="false" ht="15" hidden="false" customHeight="false" outlineLevel="0" collapsed="false">
      <c r="B35" s="17" t="s">
        <v>115</v>
      </c>
      <c r="C35" s="9" t="s">
        <v>116</v>
      </c>
      <c r="D35" s="17" t="n">
        <v>26</v>
      </c>
      <c r="E35" s="37" t="n">
        <f aca="false">SUM(B_2020!AD7:AD74)</f>
        <v>2.63007339519782</v>
      </c>
      <c r="F35" s="37" t="n">
        <f aca="false">SUM(B2_2020!AD7:AD74)</f>
        <v>4.81168782308588</v>
      </c>
      <c r="G35" s="37" t="n">
        <f aca="false">SUMPRODUCT(Dados_2020!$Q$7:$Q$74,B_2020!AD7:AD74)</f>
        <v>16.475274122704</v>
      </c>
      <c r="H35" s="37" t="n">
        <f aca="false">SUMPRODUCT(Dados_2020!$Q$7:$Q$74,B2_2020!AD7:AD74)</f>
        <v>33.2629579373783</v>
      </c>
      <c r="I35" s="37" t="n">
        <f aca="false">SUMPRODUCT(Dados_2020!$R$7:$R$74,B_2020!AD7:AD74)</f>
        <v>0.531522327398536</v>
      </c>
      <c r="J35" s="37" t="n">
        <f aca="false">SUMPRODUCT(Dados_2020!$R$7:$R$74,B2_2020!AD7:AD74)</f>
        <v>0.938291378354031</v>
      </c>
      <c r="K35" s="37" t="n">
        <f aca="false">SUMPRODUCT(Dados_2020!$S$7:$S$74,B_2020!AD7:AD74)</f>
        <v>1.03103113213562</v>
      </c>
      <c r="L35" s="37" t="n">
        <f aca="false">SUMPRODUCT(Dados_2020!$S$7:$S$74,B2_2020!AD7:AD74)</f>
        <v>2.09221107061605</v>
      </c>
      <c r="M35" s="17" t="n">
        <f aca="false">RANK(H35,$H$10:$H$77,0)</f>
        <v>22</v>
      </c>
      <c r="N35" s="17" t="n">
        <f aca="false">RANK(J35,$J$10:$J$77,0)</f>
        <v>15</v>
      </c>
    </row>
    <row r="36" customFormat="false" ht="15" hidden="false" customHeight="false" outlineLevel="0" collapsed="false">
      <c r="B36" s="14" t="s">
        <v>117</v>
      </c>
      <c r="C36" s="7" t="s">
        <v>118</v>
      </c>
      <c r="D36" s="14" t="n">
        <v>27</v>
      </c>
      <c r="E36" s="36" t="n">
        <f aca="false">SUM(B_2020!AE7:AE74)</f>
        <v>2.79194560024601</v>
      </c>
      <c r="F36" s="36" t="n">
        <f aca="false">SUM(B2_2020!AE7:AE74)</f>
        <v>4.81337144207313</v>
      </c>
      <c r="G36" s="36" t="n">
        <f aca="false">SUMPRODUCT(Dados_2020!$Q$7:$Q$74,B_2020!AE7:AE74)</f>
        <v>10.8418477663817</v>
      </c>
      <c r="H36" s="36" t="n">
        <f aca="false">SUMPRODUCT(Dados_2020!$Q$7:$Q$74,B2_2020!AE7:AE74)</f>
        <v>26.3968686048974</v>
      </c>
      <c r="I36" s="36" t="n">
        <f aca="false">SUMPRODUCT(Dados_2020!$R$7:$R$74,B_2020!AE7:AE74)</f>
        <v>0.399672717717909</v>
      </c>
      <c r="J36" s="36" t="n">
        <f aca="false">SUMPRODUCT(Dados_2020!$R$7:$R$74,B2_2020!AE7:AE74)</f>
        <v>0.77657408981459</v>
      </c>
      <c r="K36" s="36" t="n">
        <f aca="false">SUMPRODUCT(Dados_2020!$S$7:$S$74,B_2020!AE7:AE74)</f>
        <v>0.955325995091074</v>
      </c>
      <c r="L36" s="36" t="n">
        <f aca="false">SUMPRODUCT(Dados_2020!$S$7:$S$74,B2_2020!AE7:AE74)</f>
        <v>1.93858707140759</v>
      </c>
      <c r="M36" s="14" t="n">
        <f aca="false">RANK(H36,$H$10:$H$77,0)</f>
        <v>43</v>
      </c>
      <c r="N36" s="14" t="n">
        <f aca="false">RANK(J36,$J$10:$J$77,0)</f>
        <v>34</v>
      </c>
    </row>
    <row r="37" customFormat="false" ht="15" hidden="false" customHeight="false" outlineLevel="0" collapsed="false">
      <c r="B37" s="17" t="s">
        <v>119</v>
      </c>
      <c r="C37" s="9" t="s">
        <v>120</v>
      </c>
      <c r="D37" s="17" t="n">
        <v>28</v>
      </c>
      <c r="E37" s="37" t="n">
        <f aca="false">SUM(B_2020!AF7:AF74)</f>
        <v>2.46238822319731</v>
      </c>
      <c r="F37" s="37" t="n">
        <f aca="false">SUM(B2_2020!AF7:AF74)</f>
        <v>4.2293685632426</v>
      </c>
      <c r="G37" s="37" t="n">
        <f aca="false">SUMPRODUCT(Dados_2020!$Q$7:$Q$74,B_2020!AF7:AF74)</f>
        <v>8.72901510438569</v>
      </c>
      <c r="H37" s="37" t="n">
        <f aca="false">SUMPRODUCT(Dados_2020!$Q$7:$Q$74,B2_2020!AF7:AF74)</f>
        <v>22.3260590532296</v>
      </c>
      <c r="I37" s="37" t="n">
        <f aca="false">SUMPRODUCT(Dados_2020!$R$7:$R$74,B_2020!AF7:AF74)</f>
        <v>0.326464718390911</v>
      </c>
      <c r="J37" s="37" t="n">
        <f aca="false">SUMPRODUCT(Dados_2020!$R$7:$R$74,B2_2020!AF7:AF74)</f>
        <v>0.655923905490732</v>
      </c>
      <c r="K37" s="37" t="n">
        <f aca="false">SUMPRODUCT(Dados_2020!$S$7:$S$74,B_2020!AF7:AF74)</f>
        <v>0.835075033044179</v>
      </c>
      <c r="L37" s="37" t="n">
        <f aca="false">SUMPRODUCT(Dados_2020!$S$7:$S$74,B2_2020!AF7:AF74)</f>
        <v>1.69456883936292</v>
      </c>
      <c r="M37" s="17" t="n">
        <f aca="false">RANK(H37,$H$10:$H$77,0)</f>
        <v>52</v>
      </c>
      <c r="N37" s="17" t="n">
        <f aca="false">RANK(J37,$J$10:$J$77,0)</f>
        <v>54</v>
      </c>
    </row>
    <row r="38" customFormat="false" ht="15" hidden="false" customHeight="false" outlineLevel="0" collapsed="false">
      <c r="B38" s="14" t="s">
        <v>121</v>
      </c>
      <c r="C38" s="7" t="s">
        <v>122</v>
      </c>
      <c r="D38" s="14" t="n">
        <v>29</v>
      </c>
      <c r="E38" s="36" t="n">
        <f aca="false">SUM(B_2020!AG7:AG74)</f>
        <v>2.75452887378472</v>
      </c>
      <c r="F38" s="36" t="n">
        <f aca="false">SUM(B2_2020!AG7:AG74)</f>
        <v>4.97344088239802</v>
      </c>
      <c r="G38" s="36" t="n">
        <f aca="false">SUMPRODUCT(Dados_2020!$Q$7:$Q$74,B_2020!AG7:AG74)</f>
        <v>16.1069970078719</v>
      </c>
      <c r="H38" s="36" t="n">
        <f aca="false">SUMPRODUCT(Dados_2020!$Q$7:$Q$74,B2_2020!AG7:AG74)</f>
        <v>33.1816884551797</v>
      </c>
      <c r="I38" s="36" t="n">
        <f aca="false">SUMPRODUCT(Dados_2020!$R$7:$R$74,B_2020!AG7:AG74)</f>
        <v>0.518083420078641</v>
      </c>
      <c r="J38" s="36" t="n">
        <f aca="false">SUMPRODUCT(Dados_2020!$R$7:$R$74,B2_2020!AG7:AG74)</f>
        <v>0.931806725333429</v>
      </c>
      <c r="K38" s="36" t="n">
        <f aca="false">SUMPRODUCT(Dados_2020!$S$7:$S$74,B_2020!AG7:AG74)</f>
        <v>1.04865797141092</v>
      </c>
      <c r="L38" s="36" t="n">
        <f aca="false">SUMPRODUCT(Dados_2020!$S$7:$S$74,B2_2020!AG7:AG74)</f>
        <v>2.12798018284001</v>
      </c>
      <c r="M38" s="14" t="n">
        <f aca="false">RANK(H38,$H$10:$H$77,0)</f>
        <v>23</v>
      </c>
      <c r="N38" s="14" t="n">
        <f aca="false">RANK(J38,$J$10:$J$77,0)</f>
        <v>17</v>
      </c>
    </row>
    <row r="39" customFormat="false" ht="15" hidden="false" customHeight="false" outlineLevel="0" collapsed="false">
      <c r="B39" s="17" t="s">
        <v>123</v>
      </c>
      <c r="C39" s="9" t="s">
        <v>124</v>
      </c>
      <c r="D39" s="17" t="n">
        <v>30</v>
      </c>
      <c r="E39" s="37" t="n">
        <f aca="false">SUM(B_2020!AH7:AH74)</f>
        <v>1.95035369848635</v>
      </c>
      <c r="F39" s="37" t="n">
        <f aca="false">SUM(B2_2020!AH7:AH74)</f>
        <v>3.12649514480929</v>
      </c>
      <c r="G39" s="37" t="n">
        <f aca="false">SUMPRODUCT(Dados_2020!$Q$7:$Q$74,B_2020!AH7:AH74)</f>
        <v>7.09193346131536</v>
      </c>
      <c r="H39" s="37" t="n">
        <f aca="false">SUMPRODUCT(Dados_2020!$Q$7:$Q$74,B2_2020!AH7:AH74)</f>
        <v>16.1424285762185</v>
      </c>
      <c r="I39" s="37" t="n">
        <f aca="false">SUMPRODUCT(Dados_2020!$R$7:$R$74,B_2020!AH7:AH74)</f>
        <v>0.274816892298161</v>
      </c>
      <c r="J39" s="37" t="n">
        <f aca="false">SUMPRODUCT(Dados_2020!$R$7:$R$74,B2_2020!AH7:AH74)</f>
        <v>0.49411226080805</v>
      </c>
      <c r="K39" s="37" t="n">
        <f aca="false">SUMPRODUCT(Dados_2020!$S$7:$S$74,B_2020!AH7:AH74)</f>
        <v>0.555844530294875</v>
      </c>
      <c r="L39" s="37" t="n">
        <f aca="false">SUMPRODUCT(Dados_2020!$S$7:$S$74,B2_2020!AH7:AH74)</f>
        <v>1.12794273962946</v>
      </c>
      <c r="M39" s="17" t="n">
        <f aca="false">RANK(H39,$H$10:$H$77,0)</f>
        <v>67</v>
      </c>
      <c r="N39" s="17" t="n">
        <f aca="false">RANK(J39,$J$10:$J$77,0)</f>
        <v>63</v>
      </c>
    </row>
    <row r="40" customFormat="false" ht="15" hidden="false" customHeight="false" outlineLevel="0" collapsed="false">
      <c r="B40" s="14" t="s">
        <v>125</v>
      </c>
      <c r="C40" s="7" t="s">
        <v>126</v>
      </c>
      <c r="D40" s="14" t="n">
        <v>31</v>
      </c>
      <c r="E40" s="36" t="n">
        <f aca="false">SUM(B_2020!AI7:AI74)</f>
        <v>2.6906539123178</v>
      </c>
      <c r="F40" s="36" t="n">
        <f aca="false">SUM(B2_2020!AI7:AI74)</f>
        <v>4.65213184678562</v>
      </c>
      <c r="G40" s="36" t="n">
        <f aca="false">SUMPRODUCT(Dados_2020!$Q$7:$Q$74,B_2020!AI7:AI74)</f>
        <v>12.6415619094278</v>
      </c>
      <c r="H40" s="36" t="n">
        <f aca="false">SUMPRODUCT(Dados_2020!$Q$7:$Q$74,B2_2020!AI7:AI74)</f>
        <v>27.7352791824581</v>
      </c>
      <c r="I40" s="36" t="n">
        <f aca="false">SUMPRODUCT(Dados_2020!$R$7:$R$74,B_2020!AI7:AI74)</f>
        <v>0.490180649752821</v>
      </c>
      <c r="J40" s="36" t="n">
        <f aca="false">SUMPRODUCT(Dados_2020!$R$7:$R$74,B2_2020!AI7:AI74)</f>
        <v>0.855904541048318</v>
      </c>
      <c r="K40" s="36" t="n">
        <f aca="false">SUMPRODUCT(Dados_2020!$S$7:$S$74,B_2020!AI7:AI74)</f>
        <v>0.926994609854662</v>
      </c>
      <c r="L40" s="36" t="n">
        <f aca="false">SUMPRODUCT(Dados_2020!$S$7:$S$74,B2_2020!AI7:AI74)</f>
        <v>1.88109585122035</v>
      </c>
      <c r="M40" s="14" t="n">
        <f aca="false">RANK(H40,$H$10:$H$77,0)</f>
        <v>39</v>
      </c>
      <c r="N40" s="14" t="n">
        <f aca="false">RANK(J40,$J$10:$J$77,0)</f>
        <v>22</v>
      </c>
    </row>
    <row r="41" customFormat="false" ht="15" hidden="false" customHeight="false" outlineLevel="0" collapsed="false">
      <c r="B41" s="17" t="s">
        <v>127</v>
      </c>
      <c r="C41" s="9" t="s">
        <v>128</v>
      </c>
      <c r="D41" s="17" t="n">
        <v>32</v>
      </c>
      <c r="E41" s="37" t="n">
        <f aca="false">SUM(B_2020!AJ7:AJ74)</f>
        <v>2.83181801257273</v>
      </c>
      <c r="F41" s="37" t="n">
        <f aca="false">SUM(B2_2020!AJ7:AJ74)</f>
        <v>5.20180161619928</v>
      </c>
      <c r="G41" s="37" t="n">
        <f aca="false">SUMPRODUCT(Dados_2020!$Q$7:$Q$74,B_2020!AJ7:AJ74)</f>
        <v>15.9118565960388</v>
      </c>
      <c r="H41" s="37" t="n">
        <f aca="false">SUMPRODUCT(Dados_2020!$Q$7:$Q$74,B2_2020!AJ7:AJ74)</f>
        <v>34.1490551014413</v>
      </c>
      <c r="I41" s="37" t="n">
        <f aca="false">SUMPRODUCT(Dados_2020!$R$7:$R$74,B_2020!AJ7:AJ74)</f>
        <v>0.579668101801625</v>
      </c>
      <c r="J41" s="37" t="n">
        <f aca="false">SUMPRODUCT(Dados_2020!$R$7:$R$74,B2_2020!AJ7:AJ74)</f>
        <v>1.02155919351048</v>
      </c>
      <c r="K41" s="37" t="n">
        <f aca="false">SUMPRODUCT(Dados_2020!$S$7:$S$74,B_2020!AJ7:AJ74)</f>
        <v>1.12005441784478</v>
      </c>
      <c r="L41" s="37" t="n">
        <f aca="false">SUMPRODUCT(Dados_2020!$S$7:$S$74,B2_2020!AJ7:AJ74)</f>
        <v>2.27286080862883</v>
      </c>
      <c r="M41" s="17" t="n">
        <f aca="false">RANK(H41,$H$10:$H$77,0)</f>
        <v>19</v>
      </c>
      <c r="N41" s="17" t="n">
        <f aca="false">RANK(J41,$J$10:$J$77,0)</f>
        <v>11</v>
      </c>
    </row>
    <row r="42" customFormat="false" ht="15" hidden="false" customHeight="false" outlineLevel="0" collapsed="false">
      <c r="B42" s="14" t="s">
        <v>129</v>
      </c>
      <c r="C42" s="7" t="s">
        <v>130</v>
      </c>
      <c r="D42" s="14" t="n">
        <v>33</v>
      </c>
      <c r="E42" s="36" t="n">
        <f aca="false">SUM(B_2020!AK7:AK74)</f>
        <v>2.3467076825002</v>
      </c>
      <c r="F42" s="36" t="n">
        <f aca="false">SUM(B2_2020!AK7:AK74)</f>
        <v>3.59314372065628</v>
      </c>
      <c r="G42" s="36" t="n">
        <f aca="false">SUMPRODUCT(Dados_2020!$Q$7:$Q$74,B_2020!AK7:AK74)</f>
        <v>7.67573901308671</v>
      </c>
      <c r="H42" s="36" t="n">
        <f aca="false">SUMPRODUCT(Dados_2020!$Q$7:$Q$74,B2_2020!AK7:AK74)</f>
        <v>17.2671561930858</v>
      </c>
      <c r="I42" s="36" t="n">
        <f aca="false">SUMPRODUCT(Dados_2020!$R$7:$R$74,B_2020!AK7:AK74)</f>
        <v>0.372097639942065</v>
      </c>
      <c r="J42" s="36" t="n">
        <f aca="false">SUMPRODUCT(Dados_2020!$R$7:$R$74,B2_2020!AK7:AK74)</f>
        <v>0.604499661965863</v>
      </c>
      <c r="K42" s="36" t="n">
        <f aca="false">SUMPRODUCT(Dados_2020!$S$7:$S$74,B_2020!AK7:AK74)</f>
        <v>0.589065759341706</v>
      </c>
      <c r="L42" s="36" t="n">
        <f aca="false">SUMPRODUCT(Dados_2020!$S$7:$S$74,B2_2020!AK7:AK74)</f>
        <v>1.19535663337608</v>
      </c>
      <c r="M42" s="14" t="n">
        <f aca="false">RANK(H42,$H$10:$H$77,0)</f>
        <v>64</v>
      </c>
      <c r="N42" s="14" t="n">
        <f aca="false">RANK(J42,$J$10:$J$77,0)</f>
        <v>56</v>
      </c>
    </row>
    <row r="43" customFormat="false" ht="15" hidden="false" customHeight="false" outlineLevel="0" collapsed="false">
      <c r="B43" s="17" t="s">
        <v>131</v>
      </c>
      <c r="C43" s="9" t="s">
        <v>132</v>
      </c>
      <c r="D43" s="17" t="n">
        <v>34</v>
      </c>
      <c r="E43" s="37" t="n">
        <f aca="false">SUM(B_2020!AL7:AL74)</f>
        <v>2.16328182885409</v>
      </c>
      <c r="F43" s="37" t="n">
        <f aca="false">SUM(B2_2020!AL7:AL74)</f>
        <v>3.61378541903896</v>
      </c>
      <c r="G43" s="37" t="n">
        <f aca="false">SUMPRODUCT(Dados_2020!$Q$7:$Q$74,B_2020!AL7:AL74)</f>
        <v>8.50291275071089</v>
      </c>
      <c r="H43" s="37" t="n">
        <f aca="false">SUMPRODUCT(Dados_2020!$Q$7:$Q$74,B2_2020!AL7:AL74)</f>
        <v>19.6646447840135</v>
      </c>
      <c r="I43" s="37" t="n">
        <f aca="false">SUMPRODUCT(Dados_2020!$R$7:$R$74,B_2020!AL7:AL74)</f>
        <v>0.397298389415498</v>
      </c>
      <c r="J43" s="37" t="n">
        <f aca="false">SUMPRODUCT(Dados_2020!$R$7:$R$74,B2_2020!AL7:AL74)</f>
        <v>0.667749465116447</v>
      </c>
      <c r="K43" s="37" t="n">
        <f aca="false">SUMPRODUCT(Dados_2020!$S$7:$S$74,B_2020!AL7:AL74)</f>
        <v>0.685508098790324</v>
      </c>
      <c r="L43" s="37" t="n">
        <f aca="false">SUMPRODUCT(Dados_2020!$S$7:$S$74,B2_2020!AL7:AL74)</f>
        <v>1.39106142247645</v>
      </c>
      <c r="M43" s="17" t="n">
        <f aca="false">RANK(H43,$H$10:$H$77,0)</f>
        <v>57</v>
      </c>
      <c r="N43" s="17" t="n">
        <f aca="false">RANK(J43,$J$10:$J$77,0)</f>
        <v>51</v>
      </c>
    </row>
    <row r="44" customFormat="false" ht="15" hidden="false" customHeight="false" outlineLevel="0" collapsed="false">
      <c r="B44" s="14" t="s">
        <v>133</v>
      </c>
      <c r="C44" s="7" t="s">
        <v>134</v>
      </c>
      <c r="D44" s="14" t="n">
        <v>35</v>
      </c>
      <c r="E44" s="36" t="n">
        <f aca="false">SUM(B_2020!AM7:AM74)</f>
        <v>1.926320748092</v>
      </c>
      <c r="F44" s="36" t="n">
        <f aca="false">SUM(B2_2020!AM7:AM74)</f>
        <v>3.15277970640626</v>
      </c>
      <c r="G44" s="36" t="n">
        <f aca="false">SUMPRODUCT(Dados_2020!$Q$7:$Q$74,B_2020!AM7:AM74)</f>
        <v>7.05839087429868</v>
      </c>
      <c r="H44" s="36" t="n">
        <f aca="false">SUMPRODUCT(Dados_2020!$Q$7:$Q$74,B2_2020!AM7:AM74)</f>
        <v>16.4960829525393</v>
      </c>
      <c r="I44" s="36" t="n">
        <f aca="false">SUMPRODUCT(Dados_2020!$R$7:$R$74,B_2020!AM7:AM74)</f>
        <v>0.350013209830424</v>
      </c>
      <c r="J44" s="36" t="n">
        <f aca="false">SUMPRODUCT(Dados_2020!$R$7:$R$74,B2_2020!AM7:AM74)</f>
        <v>0.578690440844296</v>
      </c>
      <c r="K44" s="36" t="n">
        <f aca="false">SUMPRODUCT(Dados_2020!$S$7:$S$74,B_2020!AM7:AM74)</f>
        <v>0.579624590002715</v>
      </c>
      <c r="L44" s="36" t="n">
        <f aca="false">SUMPRODUCT(Dados_2020!$S$7:$S$74,B2_2020!AM7:AM74)</f>
        <v>1.17619822157364</v>
      </c>
      <c r="M44" s="14" t="n">
        <f aca="false">RANK(H44,$H$10:$H$77,0)</f>
        <v>65</v>
      </c>
      <c r="N44" s="14" t="n">
        <f aca="false">RANK(J44,$J$10:$J$77,0)</f>
        <v>58</v>
      </c>
    </row>
    <row r="45" customFormat="false" ht="15" hidden="false" customHeight="false" outlineLevel="0" collapsed="false">
      <c r="B45" s="17" t="s">
        <v>135</v>
      </c>
      <c r="C45" s="9" t="s">
        <v>136</v>
      </c>
      <c r="D45" s="17" t="n">
        <v>36</v>
      </c>
      <c r="E45" s="37" t="n">
        <f aca="false">SUM(B_2020!AN7:AN74)</f>
        <v>2.23086414296131</v>
      </c>
      <c r="F45" s="37" t="n">
        <f aca="false">SUM(B2_2020!AN7:AN74)</f>
        <v>4.30922145889153</v>
      </c>
      <c r="G45" s="37" t="n">
        <f aca="false">SUMPRODUCT(Dados_2020!$Q$7:$Q$74,B_2020!AN7:AN74)</f>
        <v>17.0689582100817</v>
      </c>
      <c r="H45" s="37" t="n">
        <f aca="false">SUMPRODUCT(Dados_2020!$Q$7:$Q$74,B2_2020!AN7:AN74)</f>
        <v>33.0620709378554</v>
      </c>
      <c r="I45" s="37" t="n">
        <f aca="false">SUMPRODUCT(Dados_2020!$R$7:$R$74,B_2020!AN7:AN74)</f>
        <v>0.443897506480017</v>
      </c>
      <c r="J45" s="37" t="n">
        <f aca="false">SUMPRODUCT(Dados_2020!$R$7:$R$74,B2_2020!AN7:AN74)</f>
        <v>0.831413935662121</v>
      </c>
      <c r="K45" s="37" t="n">
        <f aca="false">SUMPRODUCT(Dados_2020!$S$7:$S$74,B_2020!AN7:AN74)</f>
        <v>0.982231813758348</v>
      </c>
      <c r="L45" s="37" t="n">
        <f aca="false">SUMPRODUCT(Dados_2020!$S$7:$S$74,B2_2020!AN7:AN74)</f>
        <v>1.99318547287686</v>
      </c>
      <c r="M45" s="17" t="n">
        <f aca="false">RANK(H45,$H$10:$H$77,0)</f>
        <v>24</v>
      </c>
      <c r="N45" s="17" t="n">
        <f aca="false">RANK(J45,$J$10:$J$77,0)</f>
        <v>27</v>
      </c>
    </row>
    <row r="46" customFormat="false" ht="15" hidden="false" customHeight="false" outlineLevel="0" collapsed="false">
      <c r="B46" s="14" t="s">
        <v>137</v>
      </c>
      <c r="C46" s="7" t="s">
        <v>138</v>
      </c>
      <c r="D46" s="14" t="n">
        <v>37</v>
      </c>
      <c r="E46" s="36" t="n">
        <f aca="false">SUM(B_2020!AO7:AO74)</f>
        <v>1.86031631970885</v>
      </c>
      <c r="F46" s="36" t="n">
        <f aca="false">SUM(B2_2020!AO7:AO74)</f>
        <v>3.34454797909569</v>
      </c>
      <c r="G46" s="36" t="n">
        <f aca="false">SUMPRODUCT(Dados_2020!$Q$7:$Q$74,B_2020!AO7:AO74)</f>
        <v>10.5975223595623</v>
      </c>
      <c r="H46" s="36" t="n">
        <f aca="false">SUMPRODUCT(Dados_2020!$Q$7:$Q$74,B2_2020!AO7:AO74)</f>
        <v>22.0187943712424</v>
      </c>
      <c r="I46" s="36" t="n">
        <f aca="false">SUMPRODUCT(Dados_2020!$R$7:$R$74,B_2020!AO7:AO74)</f>
        <v>0.326910794440733</v>
      </c>
      <c r="J46" s="36" t="n">
        <f aca="false">SUMPRODUCT(Dados_2020!$R$7:$R$74,B2_2020!AO7:AO74)</f>
        <v>0.603650577497329</v>
      </c>
      <c r="K46" s="36" t="n">
        <f aca="false">SUMPRODUCT(Dados_2020!$S$7:$S$74,B_2020!AO7:AO74)</f>
        <v>0.701447986668549</v>
      </c>
      <c r="L46" s="36" t="n">
        <f aca="false">SUMPRODUCT(Dados_2020!$S$7:$S$74,B2_2020!AO7:AO74)</f>
        <v>1.42340730306506</v>
      </c>
      <c r="M46" s="14" t="n">
        <f aca="false">RANK(H46,$H$10:$H$77,0)</f>
        <v>53</v>
      </c>
      <c r="N46" s="14" t="n">
        <f aca="false">RANK(J46,$J$10:$J$77,0)</f>
        <v>57</v>
      </c>
    </row>
    <row r="47" customFormat="false" ht="15" hidden="false" customHeight="false" outlineLevel="0" collapsed="false">
      <c r="B47" s="17" t="s">
        <v>139</v>
      </c>
      <c r="C47" s="9" t="s">
        <v>140</v>
      </c>
      <c r="D47" s="17" t="n">
        <v>38</v>
      </c>
      <c r="E47" s="37" t="n">
        <f aca="false">SUM(B_2020!AP7:AP74)</f>
        <v>1.90661968464818</v>
      </c>
      <c r="F47" s="37" t="n">
        <f aca="false">SUM(B2_2020!AP7:AP74)</f>
        <v>3.6263944361616</v>
      </c>
      <c r="G47" s="37" t="n">
        <f aca="false">SUMPRODUCT(Dados_2020!$Q$7:$Q$74,B_2020!AP7:AP74)</f>
        <v>3.14059328234726</v>
      </c>
      <c r="H47" s="37" t="n">
        <f aca="false">SUMPRODUCT(Dados_2020!$Q$7:$Q$74,B2_2020!AP7:AP74)</f>
        <v>16.3743867482331</v>
      </c>
      <c r="I47" s="37" t="n">
        <f aca="false">SUMPRODUCT(Dados_2020!$R$7:$R$74,B_2020!AP7:AP74)</f>
        <v>0.167011892688931</v>
      </c>
      <c r="J47" s="37" t="n">
        <f aca="false">SUMPRODUCT(Dados_2020!$R$7:$R$74,B2_2020!AP7:AP74)</f>
        <v>0.487669445457109</v>
      </c>
      <c r="K47" s="37" t="n">
        <f aca="false">SUMPRODUCT(Dados_2020!$S$7:$S$74,B_2020!AP7:AP74)</f>
        <v>0.812765668582255</v>
      </c>
      <c r="L47" s="37" t="n">
        <f aca="false">SUMPRODUCT(Dados_2020!$S$7:$S$74,B2_2020!AP7:AP74)</f>
        <v>1.64929775311651</v>
      </c>
      <c r="M47" s="17" t="n">
        <f aca="false">RANK(H47,$H$10:$H$77,0)</f>
        <v>66</v>
      </c>
      <c r="N47" s="17" t="n">
        <f aca="false">RANK(J47,$J$10:$J$77,0)</f>
        <v>64</v>
      </c>
    </row>
    <row r="48" customFormat="false" ht="15" hidden="false" customHeight="false" outlineLevel="0" collapsed="false">
      <c r="B48" s="14" t="s">
        <v>141</v>
      </c>
      <c r="C48" s="7" t="s">
        <v>142</v>
      </c>
      <c r="D48" s="14" t="n">
        <v>39</v>
      </c>
      <c r="E48" s="36" t="n">
        <f aca="false">SUM(B_2020!AQ7:AQ74)</f>
        <v>1.62525926850895</v>
      </c>
      <c r="F48" s="36" t="n">
        <f aca="false">SUM(B2_2020!AQ7:AQ74)</f>
        <v>3.4941837481012</v>
      </c>
      <c r="G48" s="36" t="n">
        <f aca="false">SUMPRODUCT(Dados_2020!$Q$7:$Q$74,B_2020!AQ7:AQ74)</f>
        <v>9.60120389379027</v>
      </c>
      <c r="H48" s="36" t="n">
        <f aca="false">SUMPRODUCT(Dados_2020!$Q$7:$Q$74,B2_2020!AQ7:AQ74)</f>
        <v>23.9827155100625</v>
      </c>
      <c r="I48" s="36" t="n">
        <f aca="false">SUMPRODUCT(Dados_2020!$R$7:$R$74,B_2020!AQ7:AQ74)</f>
        <v>0.361636532733721</v>
      </c>
      <c r="J48" s="36" t="n">
        <f aca="false">SUMPRODUCT(Dados_2020!$R$7:$R$74,B2_2020!AQ7:AQ74)</f>
        <v>0.710103533663473</v>
      </c>
      <c r="K48" s="36" t="n">
        <f aca="false">SUMPRODUCT(Dados_2020!$S$7:$S$74,B_2020!AQ7:AQ74)</f>
        <v>0.883253840567668</v>
      </c>
      <c r="L48" s="36" t="n">
        <f aca="false">SUMPRODUCT(Dados_2020!$S$7:$S$74,B2_2020!AQ7:AQ74)</f>
        <v>1.79233527078088</v>
      </c>
      <c r="M48" s="14" t="n">
        <f aca="false">RANK(H48,$H$10:$H$77,0)</f>
        <v>46</v>
      </c>
      <c r="N48" s="14" t="n">
        <f aca="false">RANK(J48,$J$10:$J$77,0)</f>
        <v>44</v>
      </c>
    </row>
    <row r="49" customFormat="false" ht="15" hidden="false" customHeight="false" outlineLevel="0" collapsed="false">
      <c r="B49" s="17" t="s">
        <v>143</v>
      </c>
      <c r="C49" s="9" t="s">
        <v>144</v>
      </c>
      <c r="D49" s="17" t="n">
        <v>40</v>
      </c>
      <c r="E49" s="37" t="n">
        <f aca="false">SUM(B_2020!AR7:AR74)</f>
        <v>1.97028521537538</v>
      </c>
      <c r="F49" s="37" t="n">
        <f aca="false">SUM(B2_2020!AR7:AR74)</f>
        <v>3.71195414403984</v>
      </c>
      <c r="G49" s="37" t="n">
        <f aca="false">SUMPRODUCT(Dados_2020!$Q$7:$Q$74,B_2020!AR7:AR74)</f>
        <v>17.5290449136749</v>
      </c>
      <c r="H49" s="37" t="n">
        <f aca="false">SUMPRODUCT(Dados_2020!$Q$7:$Q$74,B2_2020!AR7:AR74)</f>
        <v>30.93131568641</v>
      </c>
      <c r="I49" s="37" t="n">
        <f aca="false">SUMPRODUCT(Dados_2020!$R$7:$R$74,B_2020!AR7:AR74)</f>
        <v>0.359685974529773</v>
      </c>
      <c r="J49" s="37" t="n">
        <f aca="false">SUMPRODUCT(Dados_2020!$R$7:$R$74,B2_2020!AR7:AR74)</f>
        <v>0.684425767288361</v>
      </c>
      <c r="K49" s="37" t="n">
        <f aca="false">SUMPRODUCT(Dados_2020!$S$7:$S$74,B_2020!AR7:AR74)</f>
        <v>0.823112858244484</v>
      </c>
      <c r="L49" s="37" t="n">
        <f aca="false">SUMPRODUCT(Dados_2020!$S$7:$S$74,B2_2020!AR7:AR74)</f>
        <v>1.67029469887919</v>
      </c>
      <c r="M49" s="17" t="n">
        <f aca="false">RANK(H49,$H$10:$H$77,0)</f>
        <v>28</v>
      </c>
      <c r="N49" s="17" t="n">
        <f aca="false">RANK(J49,$J$10:$J$77,0)</f>
        <v>48</v>
      </c>
    </row>
    <row r="50" customFormat="false" ht="15" hidden="false" customHeight="false" outlineLevel="0" collapsed="false">
      <c r="B50" s="14" t="s">
        <v>145</v>
      </c>
      <c r="C50" s="7" t="s">
        <v>146</v>
      </c>
      <c r="D50" s="14" t="n">
        <v>41</v>
      </c>
      <c r="E50" s="36" t="n">
        <f aca="false">SUM(B_2020!AS7:AS74)</f>
        <v>1.65602712064882</v>
      </c>
      <c r="F50" s="36" t="n">
        <f aca="false">SUM(B2_2020!AS7:AS74)</f>
        <v>3.41134589456634</v>
      </c>
      <c r="G50" s="36" t="n">
        <f aca="false">SUMPRODUCT(Dados_2020!$Q$7:$Q$74,B_2020!AS7:AS74)</f>
        <v>19.2612664638909</v>
      </c>
      <c r="H50" s="36" t="n">
        <f aca="false">SUMPRODUCT(Dados_2020!$Q$7:$Q$74,B2_2020!AS7:AS74)</f>
        <v>32.7685738018863</v>
      </c>
      <c r="I50" s="36" t="n">
        <f aca="false">SUMPRODUCT(Dados_2020!$R$7:$R$74,B_2020!AS7:AS74)</f>
        <v>0.406813016078724</v>
      </c>
      <c r="J50" s="36" t="n">
        <f aca="false">SUMPRODUCT(Dados_2020!$R$7:$R$74,B2_2020!AS7:AS74)</f>
        <v>0.73409786653784</v>
      </c>
      <c r="K50" s="36" t="n">
        <f aca="false">SUMPRODUCT(Dados_2020!$S$7:$S$74,B_2020!AS7:AS74)</f>
        <v>0.829563776071593</v>
      </c>
      <c r="L50" s="36" t="n">
        <f aca="false">SUMPRODUCT(Dados_2020!$S$7:$S$74,B2_2020!AS7:AS74)</f>
        <v>1.68338516848077</v>
      </c>
      <c r="M50" s="14" t="n">
        <f aca="false">RANK(H50,$H$10:$H$77,0)</f>
        <v>26</v>
      </c>
      <c r="N50" s="14" t="n">
        <f aca="false">RANK(J50,$J$10:$J$77,0)</f>
        <v>40</v>
      </c>
    </row>
    <row r="51" customFormat="false" ht="15" hidden="false" customHeight="false" outlineLevel="0" collapsed="false">
      <c r="B51" s="17" t="s">
        <v>147</v>
      </c>
      <c r="C51" s="9" t="s">
        <v>148</v>
      </c>
      <c r="D51" s="17" t="n">
        <v>42</v>
      </c>
      <c r="E51" s="37" t="n">
        <f aca="false">SUM(B_2020!AT7:AT74)</f>
        <v>1.86745351821389</v>
      </c>
      <c r="F51" s="37" t="n">
        <f aca="false">SUM(B2_2020!AT7:AT74)</f>
        <v>4.05116769092009</v>
      </c>
      <c r="G51" s="37" t="n">
        <f aca="false">SUMPRODUCT(Dados_2020!$Q$7:$Q$74,B_2020!AT7:AT74)</f>
        <v>18.3320543615412</v>
      </c>
      <c r="H51" s="37" t="n">
        <f aca="false">SUMPRODUCT(Dados_2020!$Q$7:$Q$74,B2_2020!AT7:AT74)</f>
        <v>35.135895867349</v>
      </c>
      <c r="I51" s="37" t="n">
        <f aca="false">SUMPRODUCT(Dados_2020!$R$7:$R$74,B_2020!AT7:AT74)</f>
        <v>0.478410295273009</v>
      </c>
      <c r="J51" s="37" t="n">
        <f aca="false">SUMPRODUCT(Dados_2020!$R$7:$R$74,B2_2020!AT7:AT74)</f>
        <v>0.885570850426497</v>
      </c>
      <c r="K51" s="37" t="n">
        <f aca="false">SUMPRODUCT(Dados_2020!$S$7:$S$74,B_2020!AT7:AT74)</f>
        <v>1.03202347168443</v>
      </c>
      <c r="L51" s="37" t="n">
        <f aca="false">SUMPRODUCT(Dados_2020!$S$7:$S$74,B2_2020!AT7:AT74)</f>
        <v>2.09422476712347</v>
      </c>
      <c r="M51" s="17" t="n">
        <f aca="false">RANK(H51,$H$10:$H$77,0)</f>
        <v>17</v>
      </c>
      <c r="N51" s="17" t="n">
        <f aca="false">RANK(J51,$J$10:$J$77,0)</f>
        <v>20</v>
      </c>
    </row>
    <row r="52" customFormat="false" ht="15" hidden="false" customHeight="false" outlineLevel="0" collapsed="false">
      <c r="B52" s="14" t="s">
        <v>149</v>
      </c>
      <c r="C52" s="7" t="s">
        <v>150</v>
      </c>
      <c r="D52" s="14" t="n">
        <v>43</v>
      </c>
      <c r="E52" s="36" t="n">
        <f aca="false">SUM(B_2020!AU7:AU74)</f>
        <v>2.17236767578641</v>
      </c>
      <c r="F52" s="36" t="n">
        <f aca="false">SUM(B2_2020!AU7:AU74)</f>
        <v>3.94053111236104</v>
      </c>
      <c r="G52" s="36" t="n">
        <f aca="false">SUMPRODUCT(Dados_2020!$Q$7:$Q$74,B_2020!AU7:AU74)</f>
        <v>15.4232260527185</v>
      </c>
      <c r="H52" s="36" t="n">
        <f aca="false">SUMPRODUCT(Dados_2020!$Q$7:$Q$74,B2_2020!AU7:AU74)</f>
        <v>29.0293740165537</v>
      </c>
      <c r="I52" s="36" t="n">
        <f aca="false">SUMPRODUCT(Dados_2020!$R$7:$R$74,B_2020!AU7:AU74)</f>
        <v>0.402039733857593</v>
      </c>
      <c r="J52" s="36" t="n">
        <f aca="false">SUMPRODUCT(Dados_2020!$R$7:$R$74,B2_2020!AU7:AU74)</f>
        <v>0.731719513123598</v>
      </c>
      <c r="K52" s="36" t="n">
        <f aca="false">SUMPRODUCT(Dados_2020!$S$7:$S$74,B_2020!AU7:AU74)</f>
        <v>0.835634164547194</v>
      </c>
      <c r="L52" s="36" t="n">
        <f aca="false">SUMPRODUCT(Dados_2020!$S$7:$S$74,B2_2020!AU7:AU74)</f>
        <v>1.69570345216371</v>
      </c>
      <c r="M52" s="14" t="n">
        <f aca="false">RANK(H52,$H$10:$H$77,0)</f>
        <v>33</v>
      </c>
      <c r="N52" s="14" t="n">
        <f aca="false">RANK(J52,$J$10:$J$77,0)</f>
        <v>41</v>
      </c>
    </row>
    <row r="53" customFormat="false" ht="15" hidden="false" customHeight="false" outlineLevel="0" collapsed="false">
      <c r="B53" s="17" t="s">
        <v>151</v>
      </c>
      <c r="C53" s="9" t="s">
        <v>152</v>
      </c>
      <c r="D53" s="17" t="n">
        <v>44</v>
      </c>
      <c r="E53" s="37" t="n">
        <f aca="false">SUM(B_2020!AV7:AV74)</f>
        <v>1.84816909330189</v>
      </c>
      <c r="F53" s="37" t="n">
        <f aca="false">SUM(B2_2020!AV7:AV74)</f>
        <v>3.55997977915918</v>
      </c>
      <c r="G53" s="37" t="n">
        <f aca="false">SUMPRODUCT(Dados_2020!$Q$7:$Q$74,B_2020!AV7:AV74)</f>
        <v>5.77746033480883</v>
      </c>
      <c r="H53" s="37" t="n">
        <f aca="false">SUMPRODUCT(Dados_2020!$Q$7:$Q$74,B2_2020!AV7:AV74)</f>
        <v>18.9499697284931</v>
      </c>
      <c r="I53" s="37" t="n">
        <f aca="false">SUMPRODUCT(Dados_2020!$R$7:$R$74,B_2020!AV7:AV74)</f>
        <v>0.346283982906576</v>
      </c>
      <c r="J53" s="37" t="n">
        <f aca="false">SUMPRODUCT(Dados_2020!$R$7:$R$74,B2_2020!AV7:AV74)</f>
        <v>0.665456609930185</v>
      </c>
      <c r="K53" s="37" t="n">
        <f aca="false">SUMPRODUCT(Dados_2020!$S$7:$S$74,B_2020!AV7:AV74)</f>
        <v>0.809001850592748</v>
      </c>
      <c r="L53" s="37" t="n">
        <f aca="false">SUMPRODUCT(Dados_2020!$S$7:$S$74,B2_2020!AV7:AV74)</f>
        <v>1.64166005778415</v>
      </c>
      <c r="M53" s="17" t="n">
        <f aca="false">RANK(H53,$H$10:$H$77,0)</f>
        <v>59</v>
      </c>
      <c r="N53" s="17" t="n">
        <f aca="false">RANK(J53,$J$10:$J$77,0)</f>
        <v>52</v>
      </c>
    </row>
    <row r="54" customFormat="false" ht="15" hidden="false" customHeight="false" outlineLevel="0" collapsed="false">
      <c r="B54" s="14" t="s">
        <v>153</v>
      </c>
      <c r="C54" s="7" t="s">
        <v>154</v>
      </c>
      <c r="D54" s="14" t="n">
        <v>45</v>
      </c>
      <c r="E54" s="36" t="n">
        <f aca="false">SUM(B_2020!AW7:AW74)</f>
        <v>1.9796318897624</v>
      </c>
      <c r="F54" s="36" t="n">
        <f aca="false">SUM(B2_2020!AW7:AW74)</f>
        <v>3.33429119395689</v>
      </c>
      <c r="G54" s="36" t="n">
        <f aca="false">SUMPRODUCT(Dados_2020!$Q$7:$Q$74,B_2020!AW7:AW74)</f>
        <v>7.0665523870648</v>
      </c>
      <c r="H54" s="36" t="n">
        <f aca="false">SUMPRODUCT(Dados_2020!$Q$7:$Q$74,B2_2020!AW7:AW74)</f>
        <v>17.490755575636</v>
      </c>
      <c r="I54" s="36" t="n">
        <f aca="false">SUMPRODUCT(Dados_2020!$R$7:$R$74,B_2020!AW7:AW74)</f>
        <v>0.432675192940275</v>
      </c>
      <c r="J54" s="36" t="n">
        <f aca="false">SUMPRODUCT(Dados_2020!$R$7:$R$74,B2_2020!AW7:AW74)</f>
        <v>0.685255792193398</v>
      </c>
      <c r="K54" s="36" t="n">
        <f aca="false">SUMPRODUCT(Dados_2020!$S$7:$S$74,B_2020!AW7:AW74)</f>
        <v>0.640212082486909</v>
      </c>
      <c r="L54" s="36" t="n">
        <f aca="false">SUMPRODUCT(Dados_2020!$S$7:$S$74,B2_2020!AW7:AW74)</f>
        <v>1.29914487038504</v>
      </c>
      <c r="M54" s="14" t="n">
        <f aca="false">RANK(H54,$H$10:$H$77,0)</f>
        <v>61</v>
      </c>
      <c r="N54" s="14" t="n">
        <f aca="false">RANK(J54,$J$10:$J$77,0)</f>
        <v>47</v>
      </c>
    </row>
    <row r="55" customFormat="false" ht="15" hidden="false" customHeight="false" outlineLevel="0" collapsed="false">
      <c r="B55" s="17" t="s">
        <v>155</v>
      </c>
      <c r="C55" s="9" t="s">
        <v>156</v>
      </c>
      <c r="D55" s="17" t="n">
        <v>46</v>
      </c>
      <c r="E55" s="37" t="n">
        <f aca="false">SUM(B_2020!AX7:AX74)</f>
        <v>1.69416134605398</v>
      </c>
      <c r="F55" s="37" t="n">
        <f aca="false">SUM(B2_2020!AX7:AX74)</f>
        <v>3.61365723270397</v>
      </c>
      <c r="G55" s="37" t="n">
        <f aca="false">SUMPRODUCT(Dados_2020!$Q$7:$Q$74,B_2020!AX7:AX74)</f>
        <v>10.3050285411205</v>
      </c>
      <c r="H55" s="37" t="n">
        <f aca="false">SUMPRODUCT(Dados_2020!$Q$7:$Q$74,B2_2020!AX7:AX74)</f>
        <v>25.075690861979</v>
      </c>
      <c r="I55" s="37" t="n">
        <f aca="false">SUMPRODUCT(Dados_2020!$R$7:$R$74,B_2020!AX7:AX74)</f>
        <v>0.443845128365261</v>
      </c>
      <c r="J55" s="37" t="n">
        <f aca="false">SUMPRODUCT(Dados_2020!$R$7:$R$74,B2_2020!AX7:AX74)</f>
        <v>0.801741331353542</v>
      </c>
      <c r="K55" s="37" t="n">
        <f aca="false">SUMPRODUCT(Dados_2020!$S$7:$S$74,B_2020!AX7:AX74)</f>
        <v>0.907153891101759</v>
      </c>
      <c r="L55" s="37" t="n">
        <f aca="false">SUMPRODUCT(Dados_2020!$S$7:$S$74,B2_2020!AX7:AX74)</f>
        <v>1.84083424307878</v>
      </c>
      <c r="M55" s="17" t="n">
        <f aca="false">RANK(H55,$H$10:$H$77,0)</f>
        <v>45</v>
      </c>
      <c r="N55" s="17" t="n">
        <f aca="false">RANK(J55,$J$10:$J$77,0)</f>
        <v>29</v>
      </c>
    </row>
    <row r="56" customFormat="false" ht="15" hidden="false" customHeight="false" outlineLevel="0" collapsed="false">
      <c r="B56" s="14" t="s">
        <v>157</v>
      </c>
      <c r="C56" s="7" t="s">
        <v>158</v>
      </c>
      <c r="D56" s="14" t="n">
        <v>47</v>
      </c>
      <c r="E56" s="36" t="n">
        <f aca="false">SUM(B_2020!AY7:AY74)</f>
        <v>1.75871811037839</v>
      </c>
      <c r="F56" s="36" t="n">
        <f aca="false">SUM(B2_2020!AY7:AY74)</f>
        <v>3.59128972252932</v>
      </c>
      <c r="G56" s="36" t="n">
        <f aca="false">SUMPRODUCT(Dados_2020!$Q$7:$Q$74,B_2020!AY7:AY74)</f>
        <v>22.5918113341083</v>
      </c>
      <c r="H56" s="36" t="n">
        <f aca="false">SUMPRODUCT(Dados_2020!$Q$7:$Q$74,B2_2020!AY7:AY74)</f>
        <v>36.693584956095</v>
      </c>
      <c r="I56" s="36" t="n">
        <f aca="false">SUMPRODUCT(Dados_2020!$R$7:$R$74,B_2020!AY7:AY74)</f>
        <v>0.566544644463128</v>
      </c>
      <c r="J56" s="36" t="n">
        <f aca="false">SUMPRODUCT(Dados_2020!$R$7:$R$74,B2_2020!AY7:AY74)</f>
        <v>0.908233535934312</v>
      </c>
      <c r="K56" s="36" t="n">
        <f aca="false">SUMPRODUCT(Dados_2020!$S$7:$S$74,B_2020!AY7:AY74)</f>
        <v>0.866073472856824</v>
      </c>
      <c r="L56" s="36" t="n">
        <f aca="false">SUMPRODUCT(Dados_2020!$S$7:$S$74,B2_2020!AY7:AY74)</f>
        <v>1.7574721571449</v>
      </c>
      <c r="M56" s="14" t="n">
        <f aca="false">RANK(H56,$H$10:$H$77,0)</f>
        <v>12</v>
      </c>
      <c r="N56" s="14" t="n">
        <f aca="false">RANK(J56,$J$10:$J$77,0)</f>
        <v>18</v>
      </c>
    </row>
    <row r="57" customFormat="false" ht="15" hidden="false" customHeight="false" outlineLevel="0" collapsed="false">
      <c r="B57" s="17" t="s">
        <v>159</v>
      </c>
      <c r="C57" s="9" t="s">
        <v>160</v>
      </c>
      <c r="D57" s="17" t="n">
        <v>48</v>
      </c>
      <c r="E57" s="37" t="n">
        <f aca="false">SUM(B_2020!AZ7:AZ74)</f>
        <v>1.95611058371873</v>
      </c>
      <c r="F57" s="37" t="n">
        <f aca="false">SUM(B2_2020!AZ7:AZ74)</f>
        <v>3.70894868466565</v>
      </c>
      <c r="G57" s="37" t="n">
        <f aca="false">SUMPRODUCT(Dados_2020!$Q$7:$Q$74,B_2020!AZ7:AZ74)</f>
        <v>25.4211334463595</v>
      </c>
      <c r="H57" s="37" t="n">
        <f aca="false">SUMPRODUCT(Dados_2020!$Q$7:$Q$74,B2_2020!AZ7:AZ74)</f>
        <v>38.9093518230124</v>
      </c>
      <c r="I57" s="37" t="n">
        <f aca="false">SUMPRODUCT(Dados_2020!$R$7:$R$74,B_2020!AZ7:AZ74)</f>
        <v>0.363176491852374</v>
      </c>
      <c r="J57" s="37" t="n">
        <f aca="false">SUMPRODUCT(Dados_2020!$R$7:$R$74,B2_2020!AZ7:AZ74)</f>
        <v>0.689998812830072</v>
      </c>
      <c r="K57" s="37" t="n">
        <f aca="false">SUMPRODUCT(Dados_2020!$S$7:$S$74,B_2020!AZ7:AZ74)</f>
        <v>0.828391409851127</v>
      </c>
      <c r="L57" s="37" t="n">
        <f aca="false">SUMPRODUCT(Dados_2020!$S$7:$S$74,B2_2020!AZ7:AZ74)</f>
        <v>1.68100615439592</v>
      </c>
      <c r="M57" s="17" t="n">
        <f aca="false">RANK(H57,$H$10:$H$77,0)</f>
        <v>9</v>
      </c>
      <c r="N57" s="17" t="n">
        <f aca="false">RANK(J57,$J$10:$J$77,0)</f>
        <v>46</v>
      </c>
    </row>
    <row r="58" customFormat="false" ht="15" hidden="false" customHeight="false" outlineLevel="0" collapsed="false">
      <c r="B58" s="14" t="s">
        <v>161</v>
      </c>
      <c r="C58" s="7" t="s">
        <v>162</v>
      </c>
      <c r="D58" s="14" t="n">
        <v>49</v>
      </c>
      <c r="E58" s="36" t="n">
        <f aca="false">SUM(B_2020!BA7:BA74)</f>
        <v>2.399625683821</v>
      </c>
      <c r="F58" s="36" t="n">
        <f aca="false">SUM(B2_2020!BA7:BA74)</f>
        <v>4.97170080643998</v>
      </c>
      <c r="G58" s="36" t="n">
        <f aca="false">SUMPRODUCT(Dados_2020!$Q$7:$Q$74,B_2020!BA7:BA74)</f>
        <v>19.4101683128784</v>
      </c>
      <c r="H58" s="36" t="n">
        <f aca="false">SUMPRODUCT(Dados_2020!$Q$7:$Q$74,B2_2020!BA7:BA74)</f>
        <v>39.2024759517296</v>
      </c>
      <c r="I58" s="36" t="n">
        <f aca="false">SUMPRODUCT(Dados_2020!$R$7:$R$74,B_2020!BA7:BA74)</f>
        <v>0.696628147762106</v>
      </c>
      <c r="J58" s="36" t="n">
        <f aca="false">SUMPRODUCT(Dados_2020!$R$7:$R$74,B2_2020!BA7:BA74)</f>
        <v>1.1761998554111</v>
      </c>
      <c r="K58" s="36" t="n">
        <f aca="false">SUMPRODUCT(Dados_2020!$S$7:$S$74,B_2020!BA7:BA74)</f>
        <v>1.21556288394137</v>
      </c>
      <c r="L58" s="36" t="n">
        <f aca="false">SUMPRODUCT(Dados_2020!$S$7:$S$74,B2_2020!BA7:BA74)</f>
        <v>2.46667054324949</v>
      </c>
      <c r="M58" s="14" t="n">
        <f aca="false">RANK(H58,$H$10:$H$77,0)</f>
        <v>8</v>
      </c>
      <c r="N58" s="14" t="n">
        <f aca="false">RANK(J58,$J$10:$J$77,0)</f>
        <v>3</v>
      </c>
    </row>
    <row r="59" customFormat="false" ht="15" hidden="false" customHeight="false" outlineLevel="0" collapsed="false">
      <c r="B59" s="17" t="s">
        <v>163</v>
      </c>
      <c r="C59" s="9" t="s">
        <v>164</v>
      </c>
      <c r="D59" s="17" t="n">
        <v>50</v>
      </c>
      <c r="E59" s="37" t="n">
        <f aca="false">SUM(B_2020!BB7:BB74)</f>
        <v>2.3456079633493</v>
      </c>
      <c r="F59" s="37" t="n">
        <f aca="false">SUM(B2_2020!BB7:BB74)</f>
        <v>4.69948796846971</v>
      </c>
      <c r="G59" s="37" t="n">
        <f aca="false">SUMPRODUCT(Dados_2020!$Q$7:$Q$74,B_2020!BB7:BB74)</f>
        <v>15.339852806849</v>
      </c>
      <c r="H59" s="37" t="n">
        <f aca="false">SUMPRODUCT(Dados_2020!$Q$7:$Q$74,B2_2020!BB7:BB74)</f>
        <v>33.4531329348592</v>
      </c>
      <c r="I59" s="37" t="n">
        <f aca="false">SUMPRODUCT(Dados_2020!$R$7:$R$74,B_2020!BB7:BB74)</f>
        <v>0.649833613247905</v>
      </c>
      <c r="J59" s="37" t="n">
        <f aca="false">SUMPRODUCT(Dados_2020!$R$7:$R$74,B2_2020!BB7:BB74)</f>
        <v>1.08872213704303</v>
      </c>
      <c r="K59" s="37" t="n">
        <f aca="false">SUMPRODUCT(Dados_2020!$S$7:$S$74,B_2020!BB7:BB74)</f>
        <v>1.1124438560576</v>
      </c>
      <c r="L59" s="37" t="n">
        <f aca="false">SUMPRODUCT(Dados_2020!$S$7:$S$74,B2_2020!BB7:BB74)</f>
        <v>2.25741714148004</v>
      </c>
      <c r="M59" s="17" t="n">
        <f aca="false">RANK(H59,$H$10:$H$77,0)</f>
        <v>21</v>
      </c>
      <c r="N59" s="17" t="n">
        <f aca="false">RANK(J59,$J$10:$J$77,0)</f>
        <v>6</v>
      </c>
    </row>
    <row r="60" customFormat="false" ht="15" hidden="false" customHeight="false" outlineLevel="0" collapsed="false">
      <c r="B60" s="14" t="s">
        <v>165</v>
      </c>
      <c r="C60" s="7" t="s">
        <v>166</v>
      </c>
      <c r="D60" s="14" t="n">
        <v>51</v>
      </c>
      <c r="E60" s="36" t="n">
        <f aca="false">SUM(B_2020!BC7:BC74)</f>
        <v>2.35465318637123</v>
      </c>
      <c r="F60" s="36" t="n">
        <f aca="false">SUM(B2_2020!BC7:BC74)</f>
        <v>4.90479669967978</v>
      </c>
      <c r="G60" s="36" t="n">
        <f aca="false">SUMPRODUCT(Dados_2020!$Q$7:$Q$74,B_2020!BC7:BC74)</f>
        <v>13.1502670148077</v>
      </c>
      <c r="H60" s="36" t="n">
        <f aca="false">SUMPRODUCT(Dados_2020!$Q$7:$Q$74,B2_2020!BC7:BC74)</f>
        <v>32.7738093035842</v>
      </c>
      <c r="I60" s="36" t="n">
        <f aca="false">SUMPRODUCT(Dados_2020!$R$7:$R$74,B_2020!BC7:BC74)</f>
        <v>0.468411176221156</v>
      </c>
      <c r="J60" s="36" t="n">
        <f aca="false">SUMPRODUCT(Dados_2020!$R$7:$R$74,B2_2020!BC7:BC74)</f>
        <v>0.943893664532814</v>
      </c>
      <c r="K60" s="36" t="n">
        <f aca="false">SUMPRODUCT(Dados_2020!$S$7:$S$74,B_2020!BC7:BC74)</f>
        <v>1.20519800383798</v>
      </c>
      <c r="L60" s="36" t="n">
        <f aca="false">SUMPRODUCT(Dados_2020!$S$7:$S$74,B2_2020!BC7:BC74)</f>
        <v>2.44563769931101</v>
      </c>
      <c r="M60" s="14" t="n">
        <f aca="false">RANK(H60,$H$10:$H$77,0)</f>
        <v>25</v>
      </c>
      <c r="N60" s="14" t="n">
        <f aca="false">RANK(J60,$J$10:$J$77,0)</f>
        <v>14</v>
      </c>
    </row>
    <row r="61" customFormat="false" ht="15" hidden="false" customHeight="false" outlineLevel="0" collapsed="false">
      <c r="B61" s="17" t="s">
        <v>167</v>
      </c>
      <c r="C61" s="9" t="s">
        <v>168</v>
      </c>
      <c r="D61" s="17" t="n">
        <v>52</v>
      </c>
      <c r="E61" s="37" t="n">
        <f aca="false">SUM(B_2020!BD7:BD74)</f>
        <v>1.55515634325065</v>
      </c>
      <c r="F61" s="37" t="n">
        <f aca="false">SUM(B2_2020!BD7:BD74)</f>
        <v>3.5407512138359</v>
      </c>
      <c r="G61" s="37" t="n">
        <f aca="false">SUMPRODUCT(Dados_2020!$Q$7:$Q$74,B_2020!BD7:BD74)</f>
        <v>8.01081875663552</v>
      </c>
      <c r="H61" s="37" t="n">
        <f aca="false">SUMPRODUCT(Dados_2020!$Q$7:$Q$74,B2_2020!BD7:BD74)</f>
        <v>23.2901176305859</v>
      </c>
      <c r="I61" s="37" t="n">
        <f aca="false">SUMPRODUCT(Dados_2020!$R$7:$R$74,B_2020!BD7:BD74)</f>
        <v>0.461810075255388</v>
      </c>
      <c r="J61" s="37" t="n">
        <f aca="false">SUMPRODUCT(Dados_2020!$R$7:$R$74,B2_2020!BD7:BD74)</f>
        <v>0.832030647124241</v>
      </c>
      <c r="K61" s="37" t="n">
        <f aca="false">SUMPRODUCT(Dados_2020!$S$7:$S$74,B_2020!BD7:BD74)</f>
        <v>0.938392275560814</v>
      </c>
      <c r="L61" s="37" t="n">
        <f aca="false">SUMPRODUCT(Dados_2020!$S$7:$S$74,B2_2020!BD7:BD74)</f>
        <v>1.90422446647389</v>
      </c>
      <c r="M61" s="17" t="n">
        <f aca="false">RANK(H61,$H$10:$H$77,0)</f>
        <v>50</v>
      </c>
      <c r="N61" s="17" t="n">
        <f aca="false">RANK(J61,$J$10:$J$77,0)</f>
        <v>26</v>
      </c>
    </row>
    <row r="62" customFormat="false" ht="15" hidden="false" customHeight="false" outlineLevel="0" collapsed="false">
      <c r="B62" s="14" t="s">
        <v>169</v>
      </c>
      <c r="C62" s="7" t="s">
        <v>170</v>
      </c>
      <c r="D62" s="14" t="n">
        <v>53</v>
      </c>
      <c r="E62" s="36" t="n">
        <f aca="false">SUM(B_2020!BE7:BE74)</f>
        <v>1.48925294118563</v>
      </c>
      <c r="F62" s="36" t="n">
        <f aca="false">SUM(B2_2020!BE7:BE74)</f>
        <v>3.46876057720442</v>
      </c>
      <c r="G62" s="36" t="n">
        <f aca="false">SUMPRODUCT(Dados_2020!$Q$7:$Q$74,B_2020!BE7:BE74)</f>
        <v>4.97106977449393</v>
      </c>
      <c r="H62" s="36" t="n">
        <f aca="false">SUMPRODUCT(Dados_2020!$Q$7:$Q$74,B2_2020!BE7:BE74)</f>
        <v>20.2035269298065</v>
      </c>
      <c r="I62" s="36" t="n">
        <f aca="false">SUMPRODUCT(Dados_2020!$R$7:$R$74,B_2020!BE7:BE74)</f>
        <v>0.390084123050732</v>
      </c>
      <c r="J62" s="36" t="n">
        <f aca="false">SUMPRODUCT(Dados_2020!$R$7:$R$74,B2_2020!BE7:BE74)</f>
        <v>0.759169710388913</v>
      </c>
      <c r="K62" s="36" t="n">
        <f aca="false">SUMPRODUCT(Dados_2020!$S$7:$S$74,B_2020!BE7:BE74)</f>
        <v>0.935515448076361</v>
      </c>
      <c r="L62" s="36" t="n">
        <f aca="false">SUMPRODUCT(Dados_2020!$S$7:$S$74,B2_2020!BE7:BE74)</f>
        <v>1.89838668900663</v>
      </c>
      <c r="M62" s="14" t="n">
        <f aca="false">RANK(H62,$H$10:$H$77,0)</f>
        <v>56</v>
      </c>
      <c r="N62" s="14" t="n">
        <f aca="false">RANK(J62,$J$10:$J$77,0)</f>
        <v>35</v>
      </c>
    </row>
    <row r="63" customFormat="false" ht="15" hidden="false" customHeight="false" outlineLevel="0" collapsed="false">
      <c r="B63" s="17" t="s">
        <v>171</v>
      </c>
      <c r="C63" s="9" t="s">
        <v>172</v>
      </c>
      <c r="D63" s="17" t="n">
        <v>54</v>
      </c>
      <c r="E63" s="37" t="n">
        <f aca="false">SUM(B_2020!BF7:BF74)</f>
        <v>1.11180198776667</v>
      </c>
      <c r="F63" s="37" t="n">
        <f aca="false">SUM(B2_2020!BF7:BF74)</f>
        <v>3.1912983902272</v>
      </c>
      <c r="G63" s="37" t="n">
        <f aca="false">SUMPRODUCT(Dados_2020!$Q$7:$Q$74,B_2020!BF7:BF74)</f>
        <v>1.26780318863832</v>
      </c>
      <c r="H63" s="37" t="n">
        <f aca="false">SUMPRODUCT(Dados_2020!$Q$7:$Q$74,B2_2020!BF7:BF74)</f>
        <v>17.2696812712172</v>
      </c>
      <c r="I63" s="37" t="n">
        <f aca="false">SUMPRODUCT(Dados_2020!$R$7:$R$74,B_2020!BF7:BF74)</f>
        <v>0.0383842379878123</v>
      </c>
      <c r="J63" s="37" t="n">
        <f aca="false">SUMPRODUCT(Dados_2020!$R$7:$R$74,B2_2020!BF7:BF74)</f>
        <v>0.426113053529747</v>
      </c>
      <c r="K63" s="37" t="n">
        <f aca="false">SUMPRODUCT(Dados_2020!$S$7:$S$74,B_2020!BF7:BF74)</f>
        <v>0.982770146132731</v>
      </c>
      <c r="L63" s="37" t="n">
        <f aca="false">SUMPRODUCT(Dados_2020!$S$7:$S$74,B2_2020!BF7:BF74)</f>
        <v>1.99427787922449</v>
      </c>
      <c r="M63" s="17" t="n">
        <f aca="false">RANK(H63,$H$10:$H$77,0)</f>
        <v>63</v>
      </c>
      <c r="N63" s="17" t="n">
        <f aca="false">RANK(J63,$J$10:$J$77,0)</f>
        <v>68</v>
      </c>
    </row>
    <row r="64" customFormat="false" ht="15" hidden="false" customHeight="false" outlineLevel="0" collapsed="false">
      <c r="B64" s="14" t="s">
        <v>173</v>
      </c>
      <c r="C64" s="7" t="s">
        <v>174</v>
      </c>
      <c r="D64" s="14" t="n">
        <v>55</v>
      </c>
      <c r="E64" s="36" t="n">
        <f aca="false">SUM(B_2020!BG7:BG74)</f>
        <v>1.5263885710492</v>
      </c>
      <c r="F64" s="36" t="n">
        <f aca="false">SUM(B2_2020!BG7:BG74)</f>
        <v>3.58873267810632</v>
      </c>
      <c r="G64" s="36" t="n">
        <f aca="false">SUMPRODUCT(Dados_2020!$Q$7:$Q$74,B_2020!BG7:BG74)</f>
        <v>11.963946255425</v>
      </c>
      <c r="H64" s="36" t="n">
        <f aca="false">SUMPRODUCT(Dados_2020!$Q$7:$Q$74,B2_2020!BG7:BG74)</f>
        <v>27.8338361606947</v>
      </c>
      <c r="I64" s="36" t="n">
        <f aca="false">SUMPRODUCT(Dados_2020!$R$7:$R$74,B_2020!BG7:BG74)</f>
        <v>0.41379937690967</v>
      </c>
      <c r="J64" s="36" t="n">
        <f aca="false">SUMPRODUCT(Dados_2020!$R$7:$R$74,B2_2020!BG7:BG74)</f>
        <v>0.798330091616844</v>
      </c>
      <c r="K64" s="36" t="n">
        <f aca="false">SUMPRODUCT(Dados_2020!$S$7:$S$74,B_2020!BG7:BG74)</f>
        <v>0.974663970118106</v>
      </c>
      <c r="L64" s="36" t="n">
        <f aca="false">SUMPRODUCT(Dados_2020!$S$7:$S$74,B2_2020!BG7:BG74)</f>
        <v>1.97782849116089</v>
      </c>
      <c r="M64" s="14" t="n">
        <f aca="false">RANK(H64,$H$10:$H$77,0)</f>
        <v>38</v>
      </c>
      <c r="N64" s="14" t="n">
        <f aca="false">RANK(J64,$J$10:$J$77,0)</f>
        <v>30</v>
      </c>
    </row>
    <row r="65" customFormat="false" ht="15" hidden="false" customHeight="false" outlineLevel="0" collapsed="false">
      <c r="B65" s="17" t="s">
        <v>175</v>
      </c>
      <c r="C65" s="9" t="s">
        <v>176</v>
      </c>
      <c r="D65" s="17" t="n">
        <v>56</v>
      </c>
      <c r="E65" s="37" t="n">
        <f aca="false">SUM(B_2020!BH7:BH74)</f>
        <v>1.51601972853041</v>
      </c>
      <c r="F65" s="37" t="n">
        <f aca="false">SUM(B2_2020!BH7:BH74)</f>
        <v>3.39639623493224</v>
      </c>
      <c r="G65" s="37" t="n">
        <f aca="false">SUMPRODUCT(Dados_2020!$Q$7:$Q$74,B_2020!BH7:BH74)</f>
        <v>12.5632338705908</v>
      </c>
      <c r="H65" s="37" t="n">
        <f aca="false">SUMPRODUCT(Dados_2020!$Q$7:$Q$74,B2_2020!BH7:BH74)</f>
        <v>27.0328696772143</v>
      </c>
      <c r="I65" s="37" t="n">
        <f aca="false">SUMPRODUCT(Dados_2020!$R$7:$R$74,B_2020!BH7:BH74)</f>
        <v>0.40703424788093</v>
      </c>
      <c r="J65" s="37" t="n">
        <f aca="false">SUMPRODUCT(Dados_2020!$R$7:$R$74,B2_2020!BH7:BH74)</f>
        <v>0.75763651616925</v>
      </c>
      <c r="K65" s="37" t="n">
        <f aca="false">SUMPRODUCT(Dados_2020!$S$7:$S$74,B_2020!BH7:BH74)</f>
        <v>0.888666069243733</v>
      </c>
      <c r="L65" s="37" t="n">
        <f aca="false">SUMPRODUCT(Dados_2020!$S$7:$S$74,B2_2020!BH7:BH74)</f>
        <v>1.80331798934275</v>
      </c>
      <c r="M65" s="17" t="n">
        <f aca="false">RANK(H65,$H$10:$H$77,0)</f>
        <v>42</v>
      </c>
      <c r="N65" s="17" t="n">
        <f aca="false">RANK(J65,$J$10:$J$77,0)</f>
        <v>37</v>
      </c>
    </row>
    <row r="66" customFormat="false" ht="15" hidden="false" customHeight="false" outlineLevel="0" collapsed="false">
      <c r="B66" s="14" t="s">
        <v>177</v>
      </c>
      <c r="C66" s="7" t="s">
        <v>178</v>
      </c>
      <c r="D66" s="14" t="n">
        <v>57</v>
      </c>
      <c r="E66" s="36" t="n">
        <f aca="false">SUM(B_2020!BI7:BI74)</f>
        <v>2.12885306308762</v>
      </c>
      <c r="F66" s="36" t="n">
        <f aca="false">SUM(B2_2020!BI7:BI74)</f>
        <v>4.14673920725912</v>
      </c>
      <c r="G66" s="36" t="n">
        <f aca="false">SUMPRODUCT(Dados_2020!$Q$7:$Q$74,B_2020!BI7:BI74)</f>
        <v>13.6481348584811</v>
      </c>
      <c r="H66" s="36" t="n">
        <f aca="false">SUMPRODUCT(Dados_2020!$Q$7:$Q$74,B2_2020!BI7:BI74)</f>
        <v>29.1759174626496</v>
      </c>
      <c r="I66" s="36" t="n">
        <f aca="false">SUMPRODUCT(Dados_2020!$R$7:$R$74,B_2020!BI7:BI74)</f>
        <v>0.465738208749781</v>
      </c>
      <c r="J66" s="36" t="n">
        <f aca="false">SUMPRODUCT(Dados_2020!$R$7:$R$74,B2_2020!BI7:BI74)</f>
        <v>0.84197959279466</v>
      </c>
      <c r="K66" s="36" t="n">
        <f aca="false">SUMPRODUCT(Dados_2020!$S$7:$S$74,B_2020!BI7:BI74)</f>
        <v>0.953653133729949</v>
      </c>
      <c r="L66" s="36" t="n">
        <f aca="false">SUMPRODUCT(Dados_2020!$S$7:$S$74,B2_2020!BI7:BI74)</f>
        <v>1.93519243185669</v>
      </c>
      <c r="M66" s="14" t="n">
        <f aca="false">RANK(H66,$H$10:$H$77,0)</f>
        <v>31</v>
      </c>
      <c r="N66" s="14" t="n">
        <f aca="false">RANK(J66,$J$10:$J$77,0)</f>
        <v>25</v>
      </c>
    </row>
    <row r="67" customFormat="false" ht="15" hidden="false" customHeight="false" outlineLevel="0" collapsed="false">
      <c r="B67" s="17" t="s">
        <v>179</v>
      </c>
      <c r="C67" s="9" t="s">
        <v>180</v>
      </c>
      <c r="D67" s="17" t="n">
        <v>58</v>
      </c>
      <c r="E67" s="37" t="n">
        <f aca="false">SUM(B_2020!BJ7:BJ74)</f>
        <v>1.5077363167004</v>
      </c>
      <c r="F67" s="37" t="n">
        <f aca="false">SUM(B2_2020!BJ7:BJ74)</f>
        <v>3.42900476935699</v>
      </c>
      <c r="G67" s="37" t="n">
        <f aca="false">SUMPRODUCT(Dados_2020!$Q$7:$Q$74,B_2020!BJ7:BJ74)</f>
        <v>8.00214949752342</v>
      </c>
      <c r="H67" s="37" t="n">
        <f aca="false">SUMPRODUCT(Dados_2020!$Q$7:$Q$74,B2_2020!BJ7:BJ74)</f>
        <v>22.7864518444467</v>
      </c>
      <c r="I67" s="37" t="n">
        <f aca="false">SUMPRODUCT(Dados_2020!$R$7:$R$74,B_2020!BJ7:BJ74)</f>
        <v>0.31801514257847</v>
      </c>
      <c r="J67" s="37" t="n">
        <f aca="false">SUMPRODUCT(Dados_2020!$R$7:$R$74,B2_2020!BJ7:BJ74)</f>
        <v>0.676241846219407</v>
      </c>
      <c r="K67" s="37" t="n">
        <f aca="false">SUMPRODUCT(Dados_2020!$S$7:$S$74,B_2020!BJ7:BJ74)</f>
        <v>0.90799160592121</v>
      </c>
      <c r="L67" s="37" t="n">
        <f aca="false">SUMPRODUCT(Dados_2020!$S$7:$S$74,B2_2020!BJ7:BJ74)</f>
        <v>1.84253416868204</v>
      </c>
      <c r="M67" s="17" t="n">
        <f aca="false">RANK(H67,$H$10:$H$77,0)</f>
        <v>51</v>
      </c>
      <c r="N67" s="17" t="n">
        <f aca="false">RANK(J67,$J$10:$J$77,0)</f>
        <v>50</v>
      </c>
    </row>
    <row r="68" customFormat="false" ht="15" hidden="false" customHeight="false" outlineLevel="0" collapsed="false">
      <c r="B68" s="14" t="s">
        <v>181</v>
      </c>
      <c r="C68" s="7" t="s">
        <v>182</v>
      </c>
      <c r="D68" s="14" t="n">
        <v>59</v>
      </c>
      <c r="E68" s="36" t="n">
        <f aca="false">SUM(B_2020!BK7:BK74)</f>
        <v>1.51917878820625</v>
      </c>
      <c r="F68" s="36" t="n">
        <f aca="false">SUM(B2_2020!BK7:BK74)</f>
        <v>3.50314143930853</v>
      </c>
      <c r="G68" s="36" t="n">
        <f aca="false">SUMPRODUCT(Dados_2020!$Q$7:$Q$74,B_2020!BK7:BK74)</f>
        <v>18.8531615459526</v>
      </c>
      <c r="H68" s="36" t="n">
        <f aca="false">SUMPRODUCT(Dados_2020!$Q$7:$Q$74,B2_2020!BK7:BK74)</f>
        <v>34.1199003706817</v>
      </c>
      <c r="I68" s="36" t="n">
        <f aca="false">SUMPRODUCT(Dados_2020!$R$7:$R$74,B_2020!BK7:BK74)</f>
        <v>0.567852093828328</v>
      </c>
      <c r="J68" s="36" t="n">
        <f aca="false">SUMPRODUCT(Dados_2020!$R$7:$R$74,B2_2020!BK7:BK74)</f>
        <v>0.937768333106806</v>
      </c>
      <c r="K68" s="36" t="n">
        <f aca="false">SUMPRODUCT(Dados_2020!$S$7:$S$74,B_2020!BK7:BK74)</f>
        <v>0.937620888518309</v>
      </c>
      <c r="L68" s="36" t="n">
        <f aca="false">SUMPRODUCT(Dados_2020!$S$7:$S$74,B2_2020!BK7:BK74)</f>
        <v>1.90265913594239</v>
      </c>
      <c r="M68" s="14" t="n">
        <f aca="false">RANK(H68,$H$10:$H$77,0)</f>
        <v>20</v>
      </c>
      <c r="N68" s="14" t="n">
        <f aca="false">RANK(J68,$J$10:$J$77,0)</f>
        <v>16</v>
      </c>
    </row>
    <row r="69" customFormat="false" ht="15" hidden="false" customHeight="false" outlineLevel="0" collapsed="false">
      <c r="B69" s="17" t="s">
        <v>183</v>
      </c>
      <c r="C69" s="9" t="s">
        <v>184</v>
      </c>
      <c r="D69" s="17" t="n">
        <v>60</v>
      </c>
      <c r="E69" s="37" t="n">
        <f aca="false">SUM(B_2020!BL7:BL74)</f>
        <v>1.33493686776357</v>
      </c>
      <c r="F69" s="37" t="n">
        <f aca="false">SUM(B2_2020!BL7:BL74)</f>
        <v>3.39274997415032</v>
      </c>
      <c r="G69" s="37" t="n">
        <f aca="false">SUMPRODUCT(Dados_2020!$Q$7:$Q$74,B_2020!BL7:BL74)</f>
        <v>19.4363765733338</v>
      </c>
      <c r="H69" s="37" t="n">
        <f aca="false">SUMPRODUCT(Dados_2020!$Q$7:$Q$74,B2_2020!BL7:BL74)</f>
        <v>35.2714000944956</v>
      </c>
      <c r="I69" s="37" t="n">
        <f aca="false">SUMPRODUCT(Dados_2020!$R$7:$R$74,B_2020!BL7:BL74)</f>
        <v>0.769312803638147</v>
      </c>
      <c r="J69" s="37" t="n">
        <f aca="false">SUMPRODUCT(Dados_2020!$R$7:$R$74,B2_2020!BL7:BL74)</f>
        <v>1.15299869864712</v>
      </c>
      <c r="K69" s="37" t="n">
        <f aca="false">SUMPRODUCT(Dados_2020!$S$7:$S$74,B_2020!BL7:BL74)</f>
        <v>0.972522618882452</v>
      </c>
      <c r="L69" s="37" t="n">
        <f aca="false">SUMPRODUCT(Dados_2020!$S$7:$S$74,B2_2020!BL7:BL74)</f>
        <v>1.97348317255539</v>
      </c>
      <c r="M69" s="17" t="n">
        <f aca="false">RANK(H69,$H$10:$H$77,0)</f>
        <v>16</v>
      </c>
      <c r="N69" s="17" t="n">
        <f aca="false">RANK(J69,$J$10:$J$77,0)</f>
        <v>4</v>
      </c>
    </row>
    <row r="70" customFormat="false" ht="15" hidden="false" customHeight="false" outlineLevel="0" collapsed="false">
      <c r="B70" s="14" t="s">
        <v>185</v>
      </c>
      <c r="C70" s="7" t="s">
        <v>186</v>
      </c>
      <c r="D70" s="14" t="n">
        <v>61</v>
      </c>
      <c r="E70" s="36" t="n">
        <f aca="false">SUM(B_2020!BM7:BM74)</f>
        <v>1.38415527615896</v>
      </c>
      <c r="F70" s="36" t="n">
        <f aca="false">SUM(B2_2020!BM7:BM74)</f>
        <v>3.37462766216949</v>
      </c>
      <c r="G70" s="36" t="n">
        <f aca="false">SUMPRODUCT(Dados_2020!$Q$7:$Q$74,B_2020!BM7:BM74)</f>
        <v>8.15823888618067</v>
      </c>
      <c r="H70" s="36" t="n">
        <f aca="false">SUMPRODUCT(Dados_2020!$Q$7:$Q$74,B2_2020!BM7:BM74)</f>
        <v>23.4750706008174</v>
      </c>
      <c r="I70" s="36" t="n">
        <f aca="false">SUMPRODUCT(Dados_2020!$R$7:$R$74,B_2020!BM7:BM74)</f>
        <v>0.720234562264219</v>
      </c>
      <c r="J70" s="36" t="n">
        <f aca="false">SUMPRODUCT(Dados_2020!$R$7:$R$74,B2_2020!BM7:BM74)</f>
        <v>1.09136456262566</v>
      </c>
      <c r="K70" s="36" t="n">
        <f aca="false">SUMPRODUCT(Dados_2020!$S$7:$S$74,B_2020!BM7:BM74)</f>
        <v>0.940697389694023</v>
      </c>
      <c r="L70" s="36" t="n">
        <f aca="false">SUMPRODUCT(Dados_2020!$S$7:$S$74,B2_2020!BM7:BM74)</f>
        <v>1.90890209953289</v>
      </c>
      <c r="M70" s="14" t="n">
        <f aca="false">RANK(H70,$H$10:$H$77,0)</f>
        <v>49</v>
      </c>
      <c r="N70" s="14" t="n">
        <f aca="false">RANK(J70,$J$10:$J$77,0)</f>
        <v>5</v>
      </c>
    </row>
    <row r="71" customFormat="false" ht="15" hidden="false" customHeight="false" outlineLevel="0" collapsed="false">
      <c r="B71" s="17" t="s">
        <v>187</v>
      </c>
      <c r="C71" s="9" t="s">
        <v>188</v>
      </c>
      <c r="D71" s="17" t="n">
        <v>62</v>
      </c>
      <c r="E71" s="37" t="n">
        <f aca="false">SUM(B_2020!BN7:BN74)</f>
        <v>1.21689813401805</v>
      </c>
      <c r="F71" s="37" t="n">
        <f aca="false">SUM(B2_2020!BN7:BN74)</f>
        <v>3.24576732453754</v>
      </c>
      <c r="G71" s="37" t="n">
        <f aca="false">SUMPRODUCT(Dados_2020!$Q$7:$Q$74,B_2020!BN7:BN74)</f>
        <v>13.5414033775199</v>
      </c>
      <c r="H71" s="37" t="n">
        <f aca="false">SUMPRODUCT(Dados_2020!$Q$7:$Q$74,B2_2020!BN7:BN74)</f>
        <v>29.1537013328224</v>
      </c>
      <c r="I71" s="37" t="n">
        <f aca="false">SUMPRODUCT(Dados_2020!$R$7:$R$74,B_2020!BN7:BN74)</f>
        <v>0.881684798559153</v>
      </c>
      <c r="J71" s="37" t="n">
        <f aca="false">SUMPRODUCT(Dados_2020!$R$7:$R$74,B2_2020!BN7:BN74)</f>
        <v>1.25997400704196</v>
      </c>
      <c r="K71" s="37" t="n">
        <f aca="false">SUMPRODUCT(Dados_2020!$S$7:$S$74,B_2020!BN7:BN74)</f>
        <v>0.958843722206863</v>
      </c>
      <c r="L71" s="37" t="n">
        <f aca="false">SUMPRODUCT(Dados_2020!$S$7:$S$74,B2_2020!BN7:BN74)</f>
        <v>1.94572538894783</v>
      </c>
      <c r="M71" s="17" t="n">
        <f aca="false">RANK(H71,$H$10:$H$77,0)</f>
        <v>32</v>
      </c>
      <c r="N71" s="17" t="n">
        <f aca="false">RANK(J71,$J$10:$J$77,0)</f>
        <v>2</v>
      </c>
    </row>
    <row r="72" customFormat="false" ht="15" hidden="false" customHeight="false" outlineLevel="0" collapsed="false">
      <c r="B72" s="14" t="s">
        <v>189</v>
      </c>
      <c r="C72" s="7" t="s">
        <v>190</v>
      </c>
      <c r="D72" s="14" t="n">
        <v>63</v>
      </c>
      <c r="E72" s="36" t="n">
        <f aca="false">SUM(B_2020!BO7:BO74)</f>
        <v>1.45853617567149</v>
      </c>
      <c r="F72" s="36" t="n">
        <f aca="false">SUM(B2_2020!BO7:BO74)</f>
        <v>3.43050665858693</v>
      </c>
      <c r="G72" s="36" t="n">
        <f aca="false">SUMPRODUCT(Dados_2020!$Q$7:$Q$74,B_2020!BO7:BO74)</f>
        <v>21.7647581431038</v>
      </c>
      <c r="H72" s="36" t="n">
        <f aca="false">SUMPRODUCT(Dados_2020!$Q$7:$Q$74,B2_2020!BO7:BO74)</f>
        <v>36.9392163497734</v>
      </c>
      <c r="I72" s="36" t="n">
        <f aca="false">SUMPRODUCT(Dados_2020!$R$7:$R$74,B_2020!BO7:BO74)</f>
        <v>0.716793188648462</v>
      </c>
      <c r="J72" s="36" t="n">
        <f aca="false">SUMPRODUCT(Dados_2020!$R$7:$R$74,B2_2020!BO7:BO74)</f>
        <v>1.08447344946535</v>
      </c>
      <c r="K72" s="36" t="n">
        <f aca="false">SUMPRODUCT(Dados_2020!$S$7:$S$74,B_2020!BO7:BO74)</f>
        <v>0.931953388989344</v>
      </c>
      <c r="L72" s="36" t="n">
        <f aca="false">SUMPRODUCT(Dados_2020!$S$7:$S$74,B2_2020!BO7:BO74)</f>
        <v>1.89115841119449</v>
      </c>
      <c r="M72" s="14" t="n">
        <f aca="false">RANK(H72,$H$10:$H$77,0)</f>
        <v>10</v>
      </c>
      <c r="N72" s="14" t="n">
        <f aca="false">RANK(J72,$J$10:$J$77,0)</f>
        <v>7</v>
      </c>
    </row>
    <row r="73" customFormat="false" ht="15" hidden="false" customHeight="false" outlineLevel="0" collapsed="false">
      <c r="B73" s="17" t="s">
        <v>191</v>
      </c>
      <c r="C73" s="9" t="s">
        <v>192</v>
      </c>
      <c r="D73" s="17" t="n">
        <v>64</v>
      </c>
      <c r="E73" s="37" t="n">
        <f aca="false">SUM(B_2020!BP7:BP74)</f>
        <v>1.53697324019874</v>
      </c>
      <c r="F73" s="37" t="n">
        <f aca="false">SUM(B2_2020!BP7:BP74)</f>
        <v>3.39363248563297</v>
      </c>
      <c r="G73" s="37" t="n">
        <f aca="false">SUMPRODUCT(Dados_2020!$Q$7:$Q$74,B_2020!BP7:BP74)</f>
        <v>14.3633977036301</v>
      </c>
      <c r="H73" s="37" t="n">
        <f aca="false">SUMPRODUCT(Dados_2020!$Q$7:$Q$74,B2_2020!BP7:BP74)</f>
        <v>28.6505274390688</v>
      </c>
      <c r="I73" s="37" t="n">
        <f aca="false">SUMPRODUCT(Dados_2020!$R$7:$R$74,B_2020!BP7:BP74)</f>
        <v>0.713867762446079</v>
      </c>
      <c r="J73" s="37" t="n">
        <f aca="false">SUMPRODUCT(Dados_2020!$R$7:$R$74,B2_2020!BP7:BP74)</f>
        <v>1.06004787088263</v>
      </c>
      <c r="K73" s="37" t="n">
        <f aca="false">SUMPRODUCT(Dados_2020!$S$7:$S$74,B_2020!BP7:BP74)</f>
        <v>0.877457290041513</v>
      </c>
      <c r="L73" s="37" t="n">
        <f aca="false">SUMPRODUCT(Dados_2020!$S$7:$S$74,B2_2020!BP7:BP74)</f>
        <v>1.7805726704052</v>
      </c>
      <c r="M73" s="17" t="n">
        <f aca="false">RANK(H73,$H$10:$H$77,0)</f>
        <v>36</v>
      </c>
      <c r="N73" s="17" t="n">
        <f aca="false">RANK(J73,$J$10:$J$77,0)</f>
        <v>10</v>
      </c>
    </row>
    <row r="74" customFormat="false" ht="15" hidden="false" customHeight="false" outlineLevel="0" collapsed="false">
      <c r="B74" s="14" t="s">
        <v>193</v>
      </c>
      <c r="C74" s="7" t="s">
        <v>194</v>
      </c>
      <c r="D74" s="14" t="n">
        <v>65</v>
      </c>
      <c r="E74" s="36" t="n">
        <f aca="false">SUM(B_2020!BQ7:BQ74)</f>
        <v>1.54398634883402</v>
      </c>
      <c r="F74" s="36" t="n">
        <f aca="false">SUM(B2_2020!BQ7:BQ74)</f>
        <v>3.32927942705198</v>
      </c>
      <c r="G74" s="36" t="n">
        <f aca="false">SUMPRODUCT(Dados_2020!$Q$7:$Q$74,B_2020!BQ7:BQ74)</f>
        <v>15.5227828742161</v>
      </c>
      <c r="H74" s="36" t="n">
        <f aca="false">SUMPRODUCT(Dados_2020!$Q$7:$Q$74,B2_2020!BQ7:BQ74)</f>
        <v>29.260744693007</v>
      </c>
      <c r="I74" s="36" t="n">
        <f aca="false">SUMPRODUCT(Dados_2020!$R$7:$R$74,B_2020!BQ7:BQ74)</f>
        <v>0.463144999986307</v>
      </c>
      <c r="J74" s="36" t="n">
        <f aca="false">SUMPRODUCT(Dados_2020!$R$7:$R$74,B2_2020!BQ7:BQ74)</f>
        <v>0.796018656220392</v>
      </c>
      <c r="K74" s="36" t="n">
        <f aca="false">SUMPRODUCT(Dados_2020!$S$7:$S$74,B_2020!BQ7:BQ74)</f>
        <v>0.843729634393208</v>
      </c>
      <c r="L74" s="36" t="n">
        <f aca="false">SUMPRODUCT(Dados_2020!$S$7:$S$74,B2_2020!BQ7:BQ74)</f>
        <v>1.71213111482661</v>
      </c>
      <c r="M74" s="14" t="n">
        <f aca="false">RANK(H74,$H$10:$H$77,0)</f>
        <v>29</v>
      </c>
      <c r="N74" s="14" t="n">
        <f aca="false">RANK(J74,$J$10:$J$77,0)</f>
        <v>31</v>
      </c>
    </row>
    <row r="75" customFormat="false" ht="15" hidden="false" customHeight="false" outlineLevel="0" collapsed="false">
      <c r="B75" s="17" t="s">
        <v>195</v>
      </c>
      <c r="C75" s="9" t="s">
        <v>196</v>
      </c>
      <c r="D75" s="17" t="n">
        <v>66</v>
      </c>
      <c r="E75" s="37" t="n">
        <f aca="false">SUM(B_2020!BR7:BR74)</f>
        <v>1.65236776712954</v>
      </c>
      <c r="F75" s="37" t="n">
        <f aca="false">SUM(B2_2020!BR7:BR74)</f>
        <v>3.572053227479</v>
      </c>
      <c r="G75" s="37" t="n">
        <f aca="false">SUMPRODUCT(Dados_2020!$Q$7:$Q$74,B_2020!BR7:BR74)</f>
        <v>28.499176964716</v>
      </c>
      <c r="H75" s="37" t="n">
        <f aca="false">SUMPRODUCT(Dados_2020!$Q$7:$Q$74,B2_2020!BR7:BR74)</f>
        <v>43.2712980691643</v>
      </c>
      <c r="I75" s="37" t="n">
        <f aca="false">SUMPRODUCT(Dados_2020!$R$7:$R$74,B_2020!BR7:BR74)</f>
        <v>0.432081044879141</v>
      </c>
      <c r="J75" s="37" t="n">
        <f aca="false">SUMPRODUCT(Dados_2020!$R$7:$R$74,B2_2020!BR7:BR74)</f>
        <v>0.790012594495514</v>
      </c>
      <c r="K75" s="37" t="n">
        <f aca="false">SUMPRODUCT(Dados_2020!$S$7:$S$74,B_2020!BR7:BR74)</f>
        <v>0.907243483645473</v>
      </c>
      <c r="L75" s="37" t="n">
        <f aca="false">SUMPRODUCT(Dados_2020!$S$7:$S$74,B2_2020!BR7:BR74)</f>
        <v>1.84101604797871</v>
      </c>
      <c r="M75" s="17" t="n">
        <f aca="false">RANK(H75,$H$10:$H$77,0)</f>
        <v>7</v>
      </c>
      <c r="N75" s="17" t="n">
        <f aca="false">RANK(J75,$J$10:$J$77,0)</f>
        <v>32</v>
      </c>
    </row>
    <row r="76" customFormat="false" ht="15" hidden="false" customHeight="false" outlineLevel="0" collapsed="false">
      <c r="B76" s="14" t="s">
        <v>197</v>
      </c>
      <c r="C76" s="7" t="s">
        <v>198</v>
      </c>
      <c r="D76" s="14" t="n">
        <v>67</v>
      </c>
      <c r="E76" s="36" t="n">
        <f aca="false">SUM(B_2020!BS7:BS74)</f>
        <v>1.73818779518137</v>
      </c>
      <c r="F76" s="36" t="n">
        <f aca="false">SUM(B2_2020!BS7:BS74)</f>
        <v>3.52713215403158</v>
      </c>
      <c r="G76" s="36" t="n">
        <f aca="false">SUMPRODUCT(Dados_2020!$Q$7:$Q$74,B_2020!BS7:BS74)</f>
        <v>29.9801399945824</v>
      </c>
      <c r="H76" s="36" t="n">
        <f aca="false">SUMPRODUCT(Dados_2020!$Q$7:$Q$74,B2_2020!BS7:BS74)</f>
        <v>43.7461986869498</v>
      </c>
      <c r="I76" s="36" t="n">
        <f aca="false">SUMPRODUCT(Dados_2020!$R$7:$R$74,B_2020!BS7:BS74)</f>
        <v>0.418737114043517</v>
      </c>
      <c r="J76" s="36" t="n">
        <f aca="false">SUMPRODUCT(Dados_2020!$R$7:$R$74,B2_2020!BS7:BS74)</f>
        <v>0.752291563335517</v>
      </c>
      <c r="K76" s="36" t="n">
        <f aca="false">SUMPRODUCT(Dados_2020!$S$7:$S$74,B_2020!BS7:BS74)</f>
        <v>0.845455229876945</v>
      </c>
      <c r="L76" s="36" t="n">
        <f aca="false">SUMPRODUCT(Dados_2020!$S$7:$S$74,B2_2020!BS7:BS74)</f>
        <v>1.71563276464295</v>
      </c>
      <c r="M76" s="14" t="n">
        <f aca="false">RANK(H76,$H$10:$H$77,0)</f>
        <v>6</v>
      </c>
      <c r="N76" s="14" t="n">
        <f aca="false">RANK(J76,$J$10:$J$77,0)</f>
        <v>38</v>
      </c>
    </row>
    <row r="77" customFormat="false" ht="15" hidden="false" customHeight="false" outlineLevel="0" collapsed="false">
      <c r="B77" s="17" t="s">
        <v>199</v>
      </c>
      <c r="C77" s="9" t="s">
        <v>200</v>
      </c>
      <c r="D77" s="17" t="n">
        <v>68</v>
      </c>
      <c r="E77" s="37" t="n">
        <f aca="false">SUM(B_2020!BT7:BT74)</f>
        <v>1</v>
      </c>
      <c r="F77" s="37" t="n">
        <f aca="false">SUM(B2_2020!BT7:BT74)</f>
        <v>3.11595398033151</v>
      </c>
      <c r="G77" s="37" t="n">
        <f aca="false">SUMPRODUCT(Dados_2020!$Q$7:$Q$74,B_2020!BT7:BT74)</f>
        <v>92.7942798533813</v>
      </c>
      <c r="H77" s="37" t="n">
        <f aca="false">SUMPRODUCT(Dados_2020!$Q$7:$Q$74,B2_2020!BT7:BT74)</f>
        <v>109.076701684719</v>
      </c>
      <c r="I77" s="37" t="n">
        <f aca="false">SUMPRODUCT(Dados_2020!$R$7:$R$74,B_2020!BT7:BT74)</f>
        <v>1</v>
      </c>
      <c r="J77" s="37" t="n">
        <f aca="false">SUMPRODUCT(Dados_2020!$R$7:$R$74,B2_2020!BT7:BT74)</f>
        <v>1.39452644859805</v>
      </c>
      <c r="K77" s="37" t="n">
        <f aca="false">SUMPRODUCT(Dados_2020!$S$7:$S$74,B_2020!BT7:BT74)</f>
        <v>1</v>
      </c>
      <c r="L77" s="37" t="n">
        <f aca="false">SUMPRODUCT(Dados_2020!$S$7:$S$74,B2_2020!BT7:BT74)</f>
        <v>2.02924141221843</v>
      </c>
      <c r="M77" s="17" t="n">
        <f aca="false">RANK(H77,$H$10:$H$77,0)</f>
        <v>1</v>
      </c>
      <c r="N77" s="17" t="n">
        <f aca="false">RANK(J77,$J$10:$J$77,0)</f>
        <v>1</v>
      </c>
    </row>
    <row r="80" customFormat="false" ht="15" hidden="false" customHeight="false" outlineLevel="0" collapsed="false">
      <c r="B80" s="4" t="s">
        <v>250</v>
      </c>
    </row>
    <row r="81" customFormat="false" ht="24" hidden="false" customHeight="true" outlineLevel="0" collapsed="false">
      <c r="B81" s="5" t="s">
        <v>251</v>
      </c>
      <c r="C81" s="5" t="s">
        <v>63</v>
      </c>
      <c r="D81" s="5"/>
      <c r="E81" s="5" t="s">
        <v>252</v>
      </c>
    </row>
    <row r="82" customFormat="false" ht="15" hidden="false" customHeight="false" outlineLevel="0" collapsed="false">
      <c r="B82" s="14" t="n">
        <v>1</v>
      </c>
      <c r="C82" s="7" t="str">
        <f aca="false">C77</f>
        <v>Serviços domésticos</v>
      </c>
      <c r="D82" s="7"/>
      <c r="E82" s="36" t="n">
        <f aca="false">H77</f>
        <v>109.076701684719</v>
      </c>
    </row>
    <row r="83" customFormat="false" ht="15" hidden="false" customHeight="false" outlineLevel="0" collapsed="false">
      <c r="B83" s="17" t="n">
        <v>2</v>
      </c>
      <c r="C83" s="9" t="str">
        <f aca="false">C23</f>
        <v>Confecção de artefatos do vestuário e acessórios</v>
      </c>
      <c r="D83" s="9"/>
      <c r="E83" s="37" t="n">
        <f aca="false">H23</f>
        <v>50.7224696490413</v>
      </c>
    </row>
    <row r="84" customFormat="false" ht="15" hidden="false" customHeight="false" outlineLevel="0" collapsed="false">
      <c r="B84" s="14" t="n">
        <v>3</v>
      </c>
      <c r="C84" s="7" t="str">
        <f aca="false">C17</f>
        <v>Abate e produtos de carne, inclusive os produtos do laticínio e da pesca</v>
      </c>
      <c r="D84" s="7"/>
      <c r="E84" s="36" t="n">
        <f aca="false">H17</f>
        <v>49.1115079571643</v>
      </c>
    </row>
    <row r="85" customFormat="false" ht="15" hidden="false" customHeight="false" outlineLevel="0" collapsed="false">
      <c r="B85" s="17" t="n">
        <v>4</v>
      </c>
      <c r="C85" s="9" t="str">
        <f aca="false">C11</f>
        <v>Pecuária, inclusive o apoio à pecuária</v>
      </c>
      <c r="D85" s="9"/>
      <c r="E85" s="37" t="n">
        <f aca="false">H11</f>
        <v>46.3848892965971</v>
      </c>
    </row>
    <row r="86" customFormat="false" ht="15" hidden="false" customHeight="false" outlineLevel="0" collapsed="false">
      <c r="B86" s="14" t="n">
        <v>5</v>
      </c>
      <c r="C86" s="7" t="str">
        <f aca="false">C24</f>
        <v>Fabricação de calçados e de artefatos de couro</v>
      </c>
      <c r="D86" s="7"/>
      <c r="E86" s="36" t="n">
        <f aca="false">H24</f>
        <v>44.1055723716785</v>
      </c>
    </row>
    <row r="87" customFormat="false" ht="15" hidden="false" customHeight="false" outlineLevel="0" collapsed="false">
      <c r="B87" s="17" t="n">
        <v>6</v>
      </c>
      <c r="C87" s="9" t="str">
        <f aca="false">C76</f>
        <v>Organizações associativas e outros serviços pessoais</v>
      </c>
      <c r="D87" s="9"/>
      <c r="E87" s="37" t="n">
        <f aca="false">H76</f>
        <v>43.7461986869498</v>
      </c>
    </row>
    <row r="88" customFormat="false" ht="15" hidden="false" customHeight="false" outlineLevel="0" collapsed="false">
      <c r="B88" s="14" t="n">
        <v>7</v>
      </c>
      <c r="C88" s="7" t="str">
        <f aca="false">C75</f>
        <v>Atividades artísticas, criativas e de espetáculos</v>
      </c>
      <c r="D88" s="7"/>
      <c r="E88" s="36" t="n">
        <f aca="false">H75</f>
        <v>43.2712980691643</v>
      </c>
    </row>
    <row r="89" customFormat="false" ht="15" hidden="false" customHeight="false" outlineLevel="0" collapsed="false">
      <c r="B89" s="17" t="n">
        <v>8</v>
      </c>
      <c r="C89" s="9" t="str">
        <f aca="false">C58</f>
        <v>Edição e edição integrada à impressão</v>
      </c>
      <c r="D89" s="9"/>
      <c r="E89" s="37" t="n">
        <f aca="false">H58</f>
        <v>39.2024759517296</v>
      </c>
    </row>
    <row r="90" customFormat="false" ht="15" hidden="false" customHeight="false" outlineLevel="0" collapsed="false">
      <c r="B90" s="14" t="n">
        <v>9</v>
      </c>
      <c r="C90" s="7" t="str">
        <f aca="false">C57</f>
        <v>Alimentação</v>
      </c>
      <c r="D90" s="7"/>
      <c r="E90" s="36" t="n">
        <f aca="false">H57</f>
        <v>38.9093518230124</v>
      </c>
    </row>
    <row r="91" customFormat="false" ht="15" hidden="false" customHeight="false" outlineLevel="0" collapsed="false">
      <c r="B91" s="17" t="n">
        <v>10</v>
      </c>
      <c r="C91" s="9" t="str">
        <f aca="false">C72</f>
        <v>Educação privada</v>
      </c>
      <c r="D91" s="9"/>
      <c r="E91" s="37" t="n">
        <f aca="false">H72</f>
        <v>36.9392163497734</v>
      </c>
    </row>
    <row r="94" customFormat="false" ht="15" hidden="false" customHeight="false" outlineLevel="0" collapsed="false">
      <c r="B94" s="4" t="s">
        <v>253</v>
      </c>
    </row>
    <row r="95" customFormat="false" ht="24" hidden="false" customHeight="true" outlineLevel="0" collapsed="false">
      <c r="B95" s="5" t="s">
        <v>251</v>
      </c>
      <c r="C95" s="5" t="s">
        <v>63</v>
      </c>
      <c r="D95" s="5"/>
      <c r="E95" s="5" t="s">
        <v>252</v>
      </c>
    </row>
    <row r="96" customFormat="false" ht="15" hidden="false" customHeight="false" outlineLevel="0" collapsed="false">
      <c r="B96" s="14" t="n">
        <v>1</v>
      </c>
      <c r="C96" s="7" t="str">
        <f aca="false">C77</f>
        <v>Serviços domésticos</v>
      </c>
      <c r="D96" s="7"/>
      <c r="E96" s="36" t="n">
        <f aca="false">J77</f>
        <v>1.39452644859805</v>
      </c>
    </row>
    <row r="97" customFormat="false" ht="15" hidden="false" customHeight="false" outlineLevel="0" collapsed="false">
      <c r="B97" s="17" t="n">
        <v>2</v>
      </c>
      <c r="C97" s="9" t="str">
        <f aca="false">C71</f>
        <v>Educação pública</v>
      </c>
      <c r="D97" s="9"/>
      <c r="E97" s="37" t="n">
        <f aca="false">J71</f>
        <v>1.25997400704196</v>
      </c>
    </row>
    <row r="98" customFormat="false" ht="15" hidden="false" customHeight="false" outlineLevel="0" collapsed="false">
      <c r="B98" s="14" t="n">
        <v>3</v>
      </c>
      <c r="C98" s="7" t="str">
        <f aca="false">C58</f>
        <v>Edição e edição integrada à impressão</v>
      </c>
      <c r="D98" s="7"/>
      <c r="E98" s="36" t="n">
        <f aca="false">J58</f>
        <v>1.1761998554111</v>
      </c>
    </row>
    <row r="99" customFormat="false" ht="15" hidden="false" customHeight="false" outlineLevel="0" collapsed="false">
      <c r="B99" s="17" t="n">
        <v>4</v>
      </c>
      <c r="C99" s="9" t="str">
        <f aca="false">C69</f>
        <v>Atividades de vigilância, segurança e investigação</v>
      </c>
      <c r="D99" s="9"/>
      <c r="E99" s="37" t="n">
        <f aca="false">J69</f>
        <v>1.15299869864712</v>
      </c>
    </row>
    <row r="100" customFormat="false" ht="15" hidden="false" customHeight="false" outlineLevel="0" collapsed="false">
      <c r="B100" s="14" t="n">
        <v>5</v>
      </c>
      <c r="C100" s="7" t="str">
        <f aca="false">C70</f>
        <v>Administração pública, defesa e seguridade social</v>
      </c>
      <c r="D100" s="7"/>
      <c r="E100" s="36" t="n">
        <f aca="false">J70</f>
        <v>1.09136456262566</v>
      </c>
    </row>
    <row r="101" customFormat="false" ht="15" hidden="false" customHeight="false" outlineLevel="0" collapsed="false">
      <c r="B101" s="17" t="n">
        <v>6</v>
      </c>
      <c r="C101" s="9" t="str">
        <f aca="false">C59</f>
        <v>Atividades de televisão, rádio, cinema e  gravação/edição de som e imagem</v>
      </c>
      <c r="D101" s="9"/>
      <c r="E101" s="37" t="n">
        <f aca="false">J59</f>
        <v>1.08872213704303</v>
      </c>
    </row>
    <row r="102" customFormat="false" ht="15" hidden="false" customHeight="false" outlineLevel="0" collapsed="false">
      <c r="B102" s="14" t="n">
        <v>7</v>
      </c>
      <c r="C102" s="7" t="str">
        <f aca="false">C72</f>
        <v>Educação privada</v>
      </c>
      <c r="D102" s="7"/>
      <c r="E102" s="36" t="n">
        <f aca="false">J72</f>
        <v>1.08447344946535</v>
      </c>
    </row>
    <row r="103" customFormat="false" ht="15" hidden="false" customHeight="false" outlineLevel="0" collapsed="false">
      <c r="B103" s="17" t="n">
        <v>8</v>
      </c>
      <c r="C103" s="9" t="str">
        <f aca="false">C24</f>
        <v>Fabricação de calçados e de artefatos de couro</v>
      </c>
      <c r="D103" s="9"/>
      <c r="E103" s="37" t="n">
        <f aca="false">J24</f>
        <v>1.0821277131516</v>
      </c>
    </row>
    <row r="104" customFormat="false" ht="15" hidden="false" customHeight="false" outlineLevel="0" collapsed="false">
      <c r="B104" s="14" t="n">
        <v>9</v>
      </c>
      <c r="C104" s="7" t="str">
        <f aca="false">C17</f>
        <v>Abate e produtos de carne, inclusive os produtos do laticínio e da pesca</v>
      </c>
      <c r="D104" s="7"/>
      <c r="E104" s="36" t="n">
        <f aca="false">J17</f>
        <v>1.0795978507376</v>
      </c>
    </row>
    <row r="105" customFormat="false" ht="15" hidden="false" customHeight="false" outlineLevel="0" collapsed="false">
      <c r="B105" s="17" t="n">
        <v>10</v>
      </c>
      <c r="C105" s="9" t="str">
        <f aca="false">C73</f>
        <v>Saúde pública</v>
      </c>
      <c r="D105" s="9"/>
      <c r="E105" s="37" t="n">
        <f aca="false">J73</f>
        <v>1.06004787088263</v>
      </c>
    </row>
    <row r="108" customFormat="false" ht="15" hidden="false" customHeight="false" outlineLevel="0" collapsed="false">
      <c r="B108" s="4" t="s">
        <v>254</v>
      </c>
    </row>
    <row r="109" customFormat="false" ht="13.5" hidden="false" customHeight="true" outlineLevel="0" collapsed="false">
      <c r="B109" s="38" t="s">
        <v>255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</row>
    <row r="110" customFormat="false" ht="27" hidden="false" customHeight="true" outlineLevel="0" collapsed="false">
      <c r="B110" s="38" t="s">
        <v>256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</row>
    <row r="111" customFormat="false" ht="13.5" hidden="false" customHeight="true" outlineLevel="0" collapsed="false">
      <c r="B111" s="38" t="s">
        <v>257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</row>
  </sheetData>
  <mergeCells count="26">
    <mergeCell ref="B3:V3"/>
    <mergeCell ref="B6:V6"/>
    <mergeCell ref="B7:V7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B109:V109"/>
    <mergeCell ref="B110:V110"/>
    <mergeCell ref="B111:V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D8E1"/>
    <pageSetUpPr fitToPage="false"/>
  </sheetPr>
  <dimension ref="B1:BT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46"/>
    <col collapsed="false" customWidth="true" hidden="false" outlineLevel="0" max="4" min="4" style="0" width="4.4"/>
    <col collapsed="false" customWidth="true" hidden="false" outlineLevel="0" max="10" min="5" style="0" width="12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258</v>
      </c>
    </row>
    <row r="3" customFormat="false" ht="24.75" hidden="false" customHeight="true" outlineLevel="0" collapsed="false">
      <c r="B3" s="15" t="s">
        <v>259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5" customFormat="false" ht="15" hidden="false" customHeight="false" outlineLevel="0" collapsed="false">
      <c r="B5" s="4" t="s">
        <v>237</v>
      </c>
    </row>
    <row r="6" customFormat="false" ht="13.5" hidden="false" customHeight="true" outlineLevel="0" collapsed="false">
      <c r="B6" s="35" t="s">
        <v>260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8" customFormat="false" ht="15" hidden="false" customHeight="false" outlineLevel="0" collapsed="false">
      <c r="B8" s="39" t="s">
        <v>261</v>
      </c>
      <c r="E8" s="40" t="n">
        <v>10000</v>
      </c>
      <c r="G8" s="41" t="s">
        <v>262</v>
      </c>
    </row>
    <row r="10" customFormat="false" ht="24" hidden="false" customHeight="true" outlineLevel="0" collapsed="false">
      <c r="B10" s="5" t="s">
        <v>62</v>
      </c>
      <c r="C10" s="5" t="s">
        <v>63</v>
      </c>
      <c r="D10" s="5" t="s">
        <v>64</v>
      </c>
      <c r="E10" s="5" t="s">
        <v>263</v>
      </c>
      <c r="F10" s="5" t="s">
        <v>264</v>
      </c>
      <c r="G10" s="5" t="s">
        <v>265</v>
      </c>
      <c r="H10" s="5" t="s">
        <v>266</v>
      </c>
      <c r="I10" s="5" t="s">
        <v>267</v>
      </c>
      <c r="J10" s="5" t="s">
        <v>268</v>
      </c>
    </row>
    <row r="11" customFormat="false" ht="15" hidden="false" customHeight="false" outlineLevel="0" collapsed="false">
      <c r="B11" s="14" t="s">
        <v>65</v>
      </c>
      <c r="C11" s="7" t="s">
        <v>66</v>
      </c>
      <c r="D11" s="14" t="n">
        <v>1</v>
      </c>
      <c r="E11" s="42" t="n">
        <f aca="false">SUMPRODUCT(B_2020!E7:BT7,$E$88:$BT$88)</f>
        <v>10290.6008580357</v>
      </c>
      <c r="F11" s="42" t="n">
        <f aca="false">E11*Dados_2020!$S$7</f>
        <v>5685.34018414725</v>
      </c>
      <c r="G11" s="43" t="n">
        <f aca="false">E11*Dados_2020!$Q$7</f>
        <v>118777.691804429</v>
      </c>
      <c r="H11" s="42" t="n">
        <f aca="false">SUMPRODUCT(B_2020!E7:BT7,$E$89:$BT$89)</f>
        <v>125.251792256003</v>
      </c>
      <c r="I11" s="42" t="n">
        <f aca="false">H11*Dados_2020!$S$7</f>
        <v>69.1989765683558</v>
      </c>
      <c r="J11" s="43" t="n">
        <f aca="false">H11*Dados_2020!$Q$7</f>
        <v>1445.69971994576</v>
      </c>
    </row>
    <row r="12" customFormat="false" ht="15" hidden="false" customHeight="false" outlineLevel="0" collapsed="false">
      <c r="B12" s="17" t="s">
        <v>67</v>
      </c>
      <c r="C12" s="9" t="s">
        <v>68</v>
      </c>
      <c r="D12" s="17" t="n">
        <v>2</v>
      </c>
      <c r="E12" s="44" t="n">
        <f aca="false">SUMPRODUCT(B_2020!E8:BT8,$E$88:$BT$88)</f>
        <v>34.7327628330833</v>
      </c>
      <c r="F12" s="44" t="n">
        <f aca="false">E12*Dados_2020!$S$8</f>
        <v>17.0122467118061</v>
      </c>
      <c r="G12" s="45" t="n">
        <f aca="false">E12*Dados_2020!$Q$8</f>
        <v>940.054699479214</v>
      </c>
      <c r="H12" s="44" t="n">
        <f aca="false">SUMPRODUCT(B_2020!E8:BT8,$E$89:$BT$89)</f>
        <v>248.240677363849</v>
      </c>
      <c r="I12" s="44" t="n">
        <f aca="false">H12*Dados_2020!$S$8</f>
        <v>121.589280631516</v>
      </c>
      <c r="J12" s="45" t="n">
        <f aca="false">H12*Dados_2020!$Q$8</f>
        <v>6718.72308227414</v>
      </c>
    </row>
    <row r="13" customFormat="false" ht="15" hidden="false" customHeight="false" outlineLevel="0" collapsed="false">
      <c r="B13" s="14" t="s">
        <v>69</v>
      </c>
      <c r="C13" s="7" t="s">
        <v>70</v>
      </c>
      <c r="D13" s="14" t="n">
        <v>3</v>
      </c>
      <c r="E13" s="42" t="n">
        <f aca="false">SUMPRODUCT(B_2020!E9:BT9,$E$88:$BT$88)</f>
        <v>40.9435141002958</v>
      </c>
      <c r="F13" s="42" t="n">
        <f aca="false">E13*Dados_2020!$S$9</f>
        <v>30.1061197507854</v>
      </c>
      <c r="G13" s="43" t="n">
        <f aca="false">E13*Dados_2020!$Q$9</f>
        <v>671.348465887225</v>
      </c>
      <c r="H13" s="42" t="n">
        <f aca="false">SUMPRODUCT(B_2020!E9:BT9,$E$89:$BT$89)</f>
        <v>39.1668774340098</v>
      </c>
      <c r="I13" s="42" t="n">
        <f aca="false">H13*Dados_2020!$S$9</f>
        <v>28.7997434564151</v>
      </c>
      <c r="J13" s="43" t="n">
        <f aca="false">H13*Dados_2020!$Q$9</f>
        <v>642.217055783336</v>
      </c>
    </row>
    <row r="14" customFormat="false" ht="15" hidden="false" customHeight="false" outlineLevel="0" collapsed="false">
      <c r="B14" s="17" t="s">
        <v>71</v>
      </c>
      <c r="C14" s="9" t="s">
        <v>72</v>
      </c>
      <c r="D14" s="17" t="n">
        <v>4</v>
      </c>
      <c r="E14" s="44" t="n">
        <f aca="false">SUMPRODUCT(B_2020!E10:BT10,$E$88:$BT$88)</f>
        <v>38.0377461405109</v>
      </c>
      <c r="F14" s="44" t="n">
        <f aca="false">E14*Dados_2020!$S$10</f>
        <v>15.9580730698386</v>
      </c>
      <c r="G14" s="45" t="n">
        <f aca="false">E14*Dados_2020!$Q$10</f>
        <v>171.822293470847</v>
      </c>
      <c r="H14" s="44" t="n">
        <f aca="false">SUMPRODUCT(B_2020!E10:BT10,$E$89:$BT$89)</f>
        <v>105.713362490628</v>
      </c>
      <c r="I14" s="44" t="n">
        <f aca="false">H14*Dados_2020!$S$10</f>
        <v>44.3501977444216</v>
      </c>
      <c r="J14" s="45" t="n">
        <f aca="false">H14*Dados_2020!$Q$10</f>
        <v>477.523361309512</v>
      </c>
    </row>
    <row r="15" customFormat="false" ht="15" hidden="false" customHeight="false" outlineLevel="0" collapsed="false">
      <c r="B15" s="14" t="s">
        <v>73</v>
      </c>
      <c r="C15" s="7" t="s">
        <v>74</v>
      </c>
      <c r="D15" s="14" t="n">
        <v>5</v>
      </c>
      <c r="E15" s="42" t="n">
        <f aca="false">SUMPRODUCT(B_2020!E11:BT11,$E$88:$BT$88)</f>
        <v>183.056103348311</v>
      </c>
      <c r="F15" s="42" t="n">
        <f aca="false">E15*Dados_2020!$S$11</f>
        <v>69.5084529108077</v>
      </c>
      <c r="G15" s="43" t="n">
        <f aca="false">E15*Dados_2020!$Q$11</f>
        <v>39.7908708224543</v>
      </c>
      <c r="H15" s="42" t="n">
        <f aca="false">SUMPRODUCT(B_2020!E11:BT11,$E$89:$BT$89)</f>
        <v>508.218869006743</v>
      </c>
      <c r="I15" s="42" t="n">
        <f aca="false">H15*Dados_2020!$S$11</f>
        <v>192.976397282549</v>
      </c>
      <c r="J15" s="43" t="n">
        <f aca="false">H15*Dados_2020!$Q$11</f>
        <v>110.471440155714</v>
      </c>
    </row>
    <row r="16" customFormat="false" ht="15" hidden="false" customHeight="false" outlineLevel="0" collapsed="false">
      <c r="B16" s="17" t="s">
        <v>75</v>
      </c>
      <c r="C16" s="9" t="s">
        <v>76</v>
      </c>
      <c r="D16" s="17" t="n">
        <v>6</v>
      </c>
      <c r="E16" s="44" t="n">
        <f aca="false">SUMPRODUCT(B_2020!E12:BT12,$E$88:$BT$88)</f>
        <v>10.7429684382649</v>
      </c>
      <c r="F16" s="44" t="n">
        <f aca="false">E16*Dados_2020!$S$12</f>
        <v>5.88846562818367</v>
      </c>
      <c r="G16" s="45" t="n">
        <f aca="false">E16*Dados_2020!$Q$12</f>
        <v>1.88520714377749</v>
      </c>
      <c r="H16" s="44" t="n">
        <f aca="false">SUMPRODUCT(B_2020!E12:BT12,$E$89:$BT$89)</f>
        <v>146.425219879695</v>
      </c>
      <c r="I16" s="44" t="n">
        <f aca="false">H16*Dados_2020!$S$12</f>
        <v>80.2589972516083</v>
      </c>
      <c r="J16" s="45" t="n">
        <f aca="false">H16*Dados_2020!$Q$12</f>
        <v>25.6951206859334</v>
      </c>
    </row>
    <row r="17" customFormat="false" ht="15" hidden="false" customHeight="false" outlineLevel="0" collapsed="false">
      <c r="B17" s="14" t="s">
        <v>77</v>
      </c>
      <c r="C17" s="7" t="s">
        <v>78</v>
      </c>
      <c r="D17" s="14" t="n">
        <v>7</v>
      </c>
      <c r="E17" s="42" t="n">
        <f aca="false">SUMPRODUCT(B_2020!E13:BT13,$E$88:$BT$88)</f>
        <v>4.01895650868138</v>
      </c>
      <c r="F17" s="42" t="n">
        <f aca="false">E17*Dados_2020!$S$13</f>
        <v>1.27043312258685</v>
      </c>
      <c r="G17" s="43" t="n">
        <f aca="false">E17*Dados_2020!$Q$13</f>
        <v>4.75910710433037</v>
      </c>
      <c r="H17" s="42" t="n">
        <f aca="false">SUMPRODUCT(B_2020!E13:BT13,$E$89:$BT$89)</f>
        <v>29.882994366544</v>
      </c>
      <c r="I17" s="42" t="n">
        <f aca="false">H17*Dados_2020!$S$13</f>
        <v>9.446319153573</v>
      </c>
      <c r="J17" s="43" t="n">
        <f aca="false">H17*Dados_2020!$Q$13</f>
        <v>35.3863920849308</v>
      </c>
    </row>
    <row r="18" customFormat="false" ht="15" hidden="false" customHeight="false" outlineLevel="0" collapsed="false">
      <c r="B18" s="17" t="s">
        <v>79</v>
      </c>
      <c r="C18" s="9" t="s">
        <v>80</v>
      </c>
      <c r="D18" s="17" t="n">
        <v>8</v>
      </c>
      <c r="E18" s="44" t="n">
        <f aca="false">SUMPRODUCT(B_2020!E14:BT14,$E$88:$BT$88)</f>
        <v>8.7781285012294</v>
      </c>
      <c r="F18" s="44" t="n">
        <f aca="false">E18*Dados_2020!$S$14</f>
        <v>1.29211300485432</v>
      </c>
      <c r="G18" s="45" t="n">
        <f aca="false">E18*Dados_2020!$Q$14</f>
        <v>18.0411079909563</v>
      </c>
      <c r="H18" s="44" t="n">
        <f aca="false">SUMPRODUCT(B_2020!E14:BT14,$E$89:$BT$89)</f>
        <v>18.7727260629388</v>
      </c>
      <c r="I18" s="44" t="n">
        <f aca="false">H18*Dados_2020!$S$14</f>
        <v>2.763286443015</v>
      </c>
      <c r="J18" s="45" t="n">
        <f aca="false">H18*Dados_2020!$Q$14</f>
        <v>38.5823445326285</v>
      </c>
    </row>
    <row r="19" customFormat="false" ht="15" hidden="false" customHeight="false" outlineLevel="0" collapsed="false">
      <c r="B19" s="14" t="s">
        <v>81</v>
      </c>
      <c r="C19" s="7" t="s">
        <v>82</v>
      </c>
      <c r="D19" s="14" t="n">
        <v>9</v>
      </c>
      <c r="E19" s="42" t="n">
        <f aca="false">SUMPRODUCT(B_2020!E15:BT15,$E$88:$BT$88)</f>
        <v>23.6888567765175</v>
      </c>
      <c r="F19" s="42" t="n">
        <f aca="false">E19*Dados_2020!$S$15</f>
        <v>4.90030643623132</v>
      </c>
      <c r="G19" s="43" t="n">
        <f aca="false">E19*Dados_2020!$Q$15</f>
        <v>43.3133397897686</v>
      </c>
      <c r="H19" s="42" t="n">
        <f aca="false">SUMPRODUCT(B_2020!E15:BT15,$E$89:$BT$89)</f>
        <v>19.7604901968096</v>
      </c>
      <c r="I19" s="42" t="n">
        <f aca="false">H19*Dados_2020!$S$15</f>
        <v>4.08767962962656</v>
      </c>
      <c r="J19" s="43" t="n">
        <f aca="false">H19*Dados_2020!$Q$15</f>
        <v>36.1306091881664</v>
      </c>
    </row>
    <row r="20" customFormat="false" ht="15" hidden="false" customHeight="false" outlineLevel="0" collapsed="false">
      <c r="B20" s="17" t="s">
        <v>83</v>
      </c>
      <c r="C20" s="9" t="s">
        <v>84</v>
      </c>
      <c r="D20" s="17" t="n">
        <v>10</v>
      </c>
      <c r="E20" s="44" t="n">
        <f aca="false">SUMPRODUCT(B_2020!E16:BT16,$E$88:$BT$88)</f>
        <v>87.1917864999927</v>
      </c>
      <c r="F20" s="44" t="n">
        <f aca="false">E20*Dados_2020!$S$16</f>
        <v>14.9355244659481</v>
      </c>
      <c r="G20" s="45" t="n">
        <f aca="false">E20*Dados_2020!$Q$16</f>
        <v>271.074729632684</v>
      </c>
      <c r="H20" s="44" t="n">
        <f aca="false">SUMPRODUCT(B_2020!E16:BT16,$E$89:$BT$89)</f>
        <v>70.0837281681704</v>
      </c>
      <c r="I20" s="44" t="n">
        <f aca="false">H20*Dados_2020!$S$16</f>
        <v>12.0049981625351</v>
      </c>
      <c r="J20" s="45" t="n">
        <f aca="false">H20*Dados_2020!$Q$16</f>
        <v>217.886666020301</v>
      </c>
    </row>
    <row r="21" customFormat="false" ht="15" hidden="false" customHeight="false" outlineLevel="0" collapsed="false">
      <c r="B21" s="14" t="s">
        <v>85</v>
      </c>
      <c r="C21" s="7" t="s">
        <v>86</v>
      </c>
      <c r="D21" s="14" t="n">
        <v>11</v>
      </c>
      <c r="E21" s="42" t="n">
        <f aca="false">SUMPRODUCT(B_2020!E17:BT17,$E$88:$BT$88)</f>
        <v>2.65629680698048</v>
      </c>
      <c r="F21" s="42" t="n">
        <f aca="false">E21*Dados_2020!$S$17</f>
        <v>0.66317967397236</v>
      </c>
      <c r="G21" s="43" t="n">
        <f aca="false">E21*Dados_2020!$Q$17</f>
        <v>5.14772736552203</v>
      </c>
      <c r="H21" s="42" t="n">
        <f aca="false">SUMPRODUCT(B_2020!E17:BT17,$E$89:$BT$89)</f>
        <v>8.69053716459874</v>
      </c>
      <c r="I21" s="42" t="n">
        <f aca="false">H21*Dados_2020!$S$17</f>
        <v>2.16970768790508</v>
      </c>
      <c r="J21" s="43" t="n">
        <f aca="false">H21*Dados_2020!$Q$17</f>
        <v>16.8416857128797</v>
      </c>
    </row>
    <row r="22" customFormat="false" ht="15" hidden="false" customHeight="false" outlineLevel="0" collapsed="false">
      <c r="B22" s="17" t="s">
        <v>87</v>
      </c>
      <c r="C22" s="9" t="s">
        <v>88</v>
      </c>
      <c r="D22" s="17" t="n">
        <v>12</v>
      </c>
      <c r="E22" s="44" t="n">
        <f aca="false">SUMPRODUCT(B_2020!E18:BT18,$E$88:$BT$88)</f>
        <v>0.230249948194765</v>
      </c>
      <c r="F22" s="44" t="n">
        <f aca="false">E22*Dados_2020!$S$18</f>
        <v>0.0511133287811203</v>
      </c>
      <c r="G22" s="45" t="n">
        <f aca="false">E22*Dados_2020!$Q$18</f>
        <v>0.224797326527712</v>
      </c>
      <c r="H22" s="44" t="n">
        <f aca="false">SUMPRODUCT(B_2020!E18:BT18,$E$89:$BT$89)</f>
        <v>1.50401065585005</v>
      </c>
      <c r="I22" s="44" t="n">
        <f aca="false">H22*Dados_2020!$S$18</f>
        <v>0.333876258151185</v>
      </c>
      <c r="J22" s="45" t="n">
        <f aca="false">H22*Dados_2020!$Q$18</f>
        <v>1.46839370499355</v>
      </c>
    </row>
    <row r="23" customFormat="false" ht="15" hidden="false" customHeight="false" outlineLevel="0" collapsed="false">
      <c r="B23" s="14" t="s">
        <v>89</v>
      </c>
      <c r="C23" s="7" t="s">
        <v>90</v>
      </c>
      <c r="D23" s="14" t="n">
        <v>13</v>
      </c>
      <c r="E23" s="42" t="n">
        <f aca="false">SUMPRODUCT(B_2020!E19:BT19,$E$88:$BT$88)</f>
        <v>22.5698401269775</v>
      </c>
      <c r="F23" s="42" t="n">
        <f aca="false">E23*Dados_2020!$S$19</f>
        <v>5.09103123749532</v>
      </c>
      <c r="G23" s="43" t="n">
        <f aca="false">E23*Dados_2020!$Q$19</f>
        <v>232.748563307427</v>
      </c>
      <c r="H23" s="42" t="n">
        <f aca="false">SUMPRODUCT(B_2020!E19:BT19,$E$89:$BT$89)</f>
        <v>25.1453201377166</v>
      </c>
      <c r="I23" s="42" t="n">
        <f aca="false">H23*Dados_2020!$S$19</f>
        <v>5.6719768318128</v>
      </c>
      <c r="J23" s="43" t="n">
        <f aca="false">H23*Dados_2020!$Q$19</f>
        <v>259.307868510923</v>
      </c>
    </row>
    <row r="24" customFormat="false" ht="15" hidden="false" customHeight="false" outlineLevel="0" collapsed="false">
      <c r="B24" s="17" t="s">
        <v>91</v>
      </c>
      <c r="C24" s="9" t="s">
        <v>92</v>
      </c>
      <c r="D24" s="17" t="n">
        <v>14</v>
      </c>
      <c r="E24" s="44" t="n">
        <f aca="false">SUMPRODUCT(B_2020!E20:BT20,$E$88:$BT$88)</f>
        <v>1.94100992100934</v>
      </c>
      <c r="F24" s="44" t="n">
        <f aca="false">E24*Dados_2020!$S$20</f>
        <v>0.730408645217314</v>
      </c>
      <c r="G24" s="45" t="n">
        <f aca="false">E24*Dados_2020!$Q$20</f>
        <v>45.9181282384185</v>
      </c>
      <c r="H24" s="44" t="n">
        <f aca="false">SUMPRODUCT(B_2020!E20:BT20,$E$89:$BT$89)</f>
        <v>5.31712811613312</v>
      </c>
      <c r="I24" s="44" t="n">
        <f aca="false">H24*Dados_2020!$S$20</f>
        <v>2.00085342259978</v>
      </c>
      <c r="J24" s="45" t="n">
        <f aca="false">H24*Dados_2020!$Q$20</f>
        <v>125.78635897427</v>
      </c>
    </row>
    <row r="25" customFormat="false" ht="15" hidden="false" customHeight="false" outlineLevel="0" collapsed="false">
      <c r="B25" s="14" t="s">
        <v>93</v>
      </c>
      <c r="C25" s="7" t="s">
        <v>94</v>
      </c>
      <c r="D25" s="14" t="n">
        <v>15</v>
      </c>
      <c r="E25" s="42" t="n">
        <f aca="false">SUMPRODUCT(B_2020!E21:BT21,$E$88:$BT$88)</f>
        <v>0.483359474310804</v>
      </c>
      <c r="F25" s="42" t="n">
        <f aca="false">E25*Dados_2020!$S$21</f>
        <v>0.177943054559768</v>
      </c>
      <c r="G25" s="43" t="n">
        <f aca="false">E25*Dados_2020!$Q$21</f>
        <v>5.44441445996597</v>
      </c>
      <c r="H25" s="42" t="n">
        <f aca="false">SUMPRODUCT(B_2020!E21:BT21,$E$89:$BT$89)</f>
        <v>5.32179358623215</v>
      </c>
      <c r="I25" s="42" t="n">
        <f aca="false">H25*Dados_2020!$S$21</f>
        <v>1.95915515635847</v>
      </c>
      <c r="J25" s="43" t="n">
        <f aca="false">H25*Dados_2020!$Q$21</f>
        <v>59.9430682416001</v>
      </c>
    </row>
    <row r="26" customFormat="false" ht="15" hidden="false" customHeight="false" outlineLevel="0" collapsed="false">
      <c r="B26" s="17" t="s">
        <v>95</v>
      </c>
      <c r="C26" s="9" t="s">
        <v>96</v>
      </c>
      <c r="D26" s="17" t="n">
        <v>16</v>
      </c>
      <c r="E26" s="44" t="n">
        <f aca="false">SUMPRODUCT(B_2020!E22:BT22,$E$88:$BT$88)</f>
        <v>19.7860120358523</v>
      </c>
      <c r="F26" s="44" t="n">
        <f aca="false">E26*Dados_2020!$S$22</f>
        <v>7.28408510105258</v>
      </c>
      <c r="G26" s="45" t="n">
        <f aca="false">E26*Dados_2020!$Q$22</f>
        <v>178.554758494477</v>
      </c>
      <c r="H26" s="44" t="n">
        <f aca="false">SUMPRODUCT(B_2020!E22:BT22,$E$89:$BT$89)</f>
        <v>96.0290592532608</v>
      </c>
      <c r="I26" s="44" t="n">
        <f aca="false">H26*Dados_2020!$S$22</f>
        <v>35.3524418416053</v>
      </c>
      <c r="J26" s="45" t="n">
        <f aca="false">H26*Dados_2020!$Q$22</f>
        <v>866.594311797061</v>
      </c>
    </row>
    <row r="27" customFormat="false" ht="15" hidden="false" customHeight="false" outlineLevel="0" collapsed="false">
      <c r="B27" s="14" t="s">
        <v>97</v>
      </c>
      <c r="C27" s="7" t="s">
        <v>98</v>
      </c>
      <c r="D27" s="14" t="n">
        <v>17</v>
      </c>
      <c r="E27" s="42" t="n">
        <f aca="false">SUMPRODUCT(B_2020!E23:BT23,$E$88:$BT$88)</f>
        <v>38.2845017167878</v>
      </c>
      <c r="F27" s="42" t="n">
        <f aca="false">E27*Dados_2020!$S$23</f>
        <v>9.60836036616591</v>
      </c>
      <c r="G27" s="43" t="n">
        <f aca="false">E27*Dados_2020!$Q$23</f>
        <v>64.582370632778</v>
      </c>
      <c r="H27" s="42" t="n">
        <f aca="false">SUMPRODUCT(B_2020!E23:BT23,$E$89:$BT$89)</f>
        <v>93.7165593877408</v>
      </c>
      <c r="I27" s="42" t="n">
        <f aca="false">H27*Dados_2020!$S$23</f>
        <v>23.5202871787606</v>
      </c>
      <c r="J27" s="43" t="n">
        <f aca="false">H27*Dados_2020!$Q$23</f>
        <v>158.091062999361</v>
      </c>
    </row>
    <row r="28" customFormat="false" ht="15" hidden="false" customHeight="false" outlineLevel="0" collapsed="false">
      <c r="B28" s="17" t="s">
        <v>99</v>
      </c>
      <c r="C28" s="9" t="s">
        <v>100</v>
      </c>
      <c r="D28" s="17" t="n">
        <v>18</v>
      </c>
      <c r="E28" s="44" t="n">
        <f aca="false">SUMPRODUCT(B_2020!E24:BT24,$E$88:$BT$88)</f>
        <v>7.69013003900909</v>
      </c>
      <c r="F28" s="44" t="n">
        <f aca="false">E28*Dados_2020!$S$24</f>
        <v>3.54058743112803</v>
      </c>
      <c r="G28" s="45" t="n">
        <f aca="false">E28*Dados_2020!$Q$24</f>
        <v>65.2964007741851</v>
      </c>
      <c r="H28" s="44" t="n">
        <f aca="false">SUMPRODUCT(B_2020!E24:BT24,$E$89:$BT$89)</f>
        <v>23.953763882255</v>
      </c>
      <c r="I28" s="44" t="n">
        <f aca="false">H28*Dados_2020!$S$24</f>
        <v>11.0284734977835</v>
      </c>
      <c r="J28" s="45" t="n">
        <f aca="false">H28*Dados_2020!$Q$24</f>
        <v>203.389872287188</v>
      </c>
    </row>
    <row r="29" customFormat="false" ht="15" hidden="false" customHeight="false" outlineLevel="0" collapsed="false">
      <c r="B29" s="14" t="s">
        <v>101</v>
      </c>
      <c r="C29" s="7" t="s">
        <v>102</v>
      </c>
      <c r="D29" s="14" t="n">
        <v>19</v>
      </c>
      <c r="E29" s="42" t="n">
        <f aca="false">SUMPRODUCT(B_2020!E25:BT25,$E$88:$BT$88)</f>
        <v>671.388363755514</v>
      </c>
      <c r="F29" s="42" t="n">
        <f aca="false">E29*Dados_2020!$S$25</f>
        <v>99.6312093316351</v>
      </c>
      <c r="G29" s="43" t="n">
        <f aca="false">E29*Dados_2020!$Q$25</f>
        <v>33.635790723062</v>
      </c>
      <c r="H29" s="42" t="n">
        <f aca="false">SUMPRODUCT(B_2020!E25:BT25,$E$89:$BT$89)</f>
        <v>408.749593290475</v>
      </c>
      <c r="I29" s="42" t="n">
        <f aca="false">H29*Dados_2020!$S$25</f>
        <v>60.6567204494681</v>
      </c>
      <c r="J29" s="43" t="n">
        <f aca="false">H29*Dados_2020!$Q$25</f>
        <v>20.4778880902108</v>
      </c>
    </row>
    <row r="30" customFormat="false" ht="15" hidden="false" customHeight="false" outlineLevel="0" collapsed="false">
      <c r="B30" s="17" t="s">
        <v>103</v>
      </c>
      <c r="C30" s="9" t="s">
        <v>104</v>
      </c>
      <c r="D30" s="17" t="n">
        <v>20</v>
      </c>
      <c r="E30" s="44" t="n">
        <f aca="false">SUMPRODUCT(B_2020!E26:BT26,$E$88:$BT$88)</f>
        <v>46.454909322838</v>
      </c>
      <c r="F30" s="44" t="n">
        <f aca="false">E30*Dados_2020!$S$26</f>
        <v>12.9923564611343</v>
      </c>
      <c r="G30" s="45" t="n">
        <f aca="false">E30*Dados_2020!$Q$26</f>
        <v>71.8780352545139</v>
      </c>
      <c r="H30" s="44" t="n">
        <f aca="false">SUMPRODUCT(B_2020!E26:BT26,$E$89:$BT$89)</f>
        <v>35.2099841700413</v>
      </c>
      <c r="I30" s="44" t="n">
        <f aca="false">H30*Dados_2020!$S$26</f>
        <v>9.84741272766143</v>
      </c>
      <c r="J30" s="45" t="n">
        <f aca="false">H30*Dados_2020!$Q$26</f>
        <v>54.4791609837652</v>
      </c>
    </row>
    <row r="31" customFormat="false" ht="15" hidden="false" customHeight="false" outlineLevel="0" collapsed="false">
      <c r="B31" s="14" t="s">
        <v>105</v>
      </c>
      <c r="C31" s="7" t="s">
        <v>106</v>
      </c>
      <c r="D31" s="14" t="n">
        <v>21</v>
      </c>
      <c r="E31" s="42" t="n">
        <f aca="false">SUMPRODUCT(B_2020!E27:BT27,$E$88:$BT$88)</f>
        <v>1529.49143295689</v>
      </c>
      <c r="F31" s="42" t="n">
        <f aca="false">E31*Dados_2020!$S$27</f>
        <v>255.177894540995</v>
      </c>
      <c r="G31" s="43" t="n">
        <f aca="false">E31*Dados_2020!$Q$27</f>
        <v>745.903497524449</v>
      </c>
      <c r="H31" s="42" t="n">
        <f aca="false">SUMPRODUCT(B_2020!E27:BT27,$E$89:$BT$89)</f>
        <v>250.580452653199</v>
      </c>
      <c r="I31" s="42" t="n">
        <f aca="false">H31*Dados_2020!$S$27</f>
        <v>41.8064403260866</v>
      </c>
      <c r="J31" s="43" t="n">
        <f aca="false">H31*Dados_2020!$Q$27</f>
        <v>122.203257905106</v>
      </c>
    </row>
    <row r="32" customFormat="false" ht="15" hidden="false" customHeight="false" outlineLevel="0" collapsed="false">
      <c r="B32" s="17" t="s">
        <v>107</v>
      </c>
      <c r="C32" s="9" t="s">
        <v>108</v>
      </c>
      <c r="D32" s="17" t="n">
        <v>22</v>
      </c>
      <c r="E32" s="44" t="n">
        <f aca="false">SUMPRODUCT(B_2020!E28:BT28,$E$88:$BT$88)</f>
        <v>829.63775769213</v>
      </c>
      <c r="F32" s="44" t="n">
        <f aca="false">E32*Dados_2020!$S$28</f>
        <v>160.257873910129</v>
      </c>
      <c r="G32" s="45" t="n">
        <f aca="false">E32*Dados_2020!$Q$28</f>
        <v>643.66369675019</v>
      </c>
      <c r="H32" s="44" t="n">
        <f aca="false">SUMPRODUCT(B_2020!E28:BT28,$E$89:$BT$89)</f>
        <v>207.94587178154</v>
      </c>
      <c r="I32" s="44" t="n">
        <f aca="false">H32*Dados_2020!$S$28</f>
        <v>40.1680890136927</v>
      </c>
      <c r="J32" s="45" t="n">
        <f aca="false">H32*Dados_2020!$Q$28</f>
        <v>161.332108277208</v>
      </c>
    </row>
    <row r="33" customFormat="false" ht="15" hidden="false" customHeight="false" outlineLevel="0" collapsed="false">
      <c r="B33" s="14" t="s">
        <v>109</v>
      </c>
      <c r="C33" s="7" t="s">
        <v>110</v>
      </c>
      <c r="D33" s="14" t="n">
        <v>23</v>
      </c>
      <c r="E33" s="42" t="n">
        <f aca="false">SUMPRODUCT(B_2020!E29:BT29,$E$88:$BT$88)</f>
        <v>30.6706487801463</v>
      </c>
      <c r="F33" s="42" t="n">
        <f aca="false">E33*Dados_2020!$S$29</f>
        <v>6.7779906771785</v>
      </c>
      <c r="G33" s="43" t="n">
        <f aca="false">E33*Dados_2020!$Q$29</f>
        <v>71.3406220298582</v>
      </c>
      <c r="H33" s="42" t="n">
        <f aca="false">SUMPRODUCT(B_2020!E29:BT29,$E$89:$BT$89)</f>
        <v>25.4866039232948</v>
      </c>
      <c r="I33" s="42" t="n">
        <f aca="false">H33*Dados_2020!$S$29</f>
        <v>5.63235440578146</v>
      </c>
      <c r="J33" s="43" t="n">
        <f aca="false">H33*Dados_2020!$Q$29</f>
        <v>59.2824165654248</v>
      </c>
    </row>
    <row r="34" customFormat="false" ht="15" hidden="false" customHeight="false" outlineLevel="0" collapsed="false">
      <c r="B34" s="17" t="s">
        <v>111</v>
      </c>
      <c r="C34" s="9" t="s">
        <v>112</v>
      </c>
      <c r="D34" s="17" t="n">
        <v>24</v>
      </c>
      <c r="E34" s="44" t="n">
        <f aca="false">SUMPRODUCT(B_2020!E30:BT30,$E$88:$BT$88)</f>
        <v>23.7164294444999</v>
      </c>
      <c r="F34" s="44" t="n">
        <f aca="false">E34*Dados_2020!$S$30</f>
        <v>10.8626216664946</v>
      </c>
      <c r="G34" s="45" t="n">
        <f aca="false">E34*Dados_2020!$Q$30</f>
        <v>30.3582476728184</v>
      </c>
      <c r="H34" s="44" t="n">
        <f aca="false">SUMPRODUCT(B_2020!E30:BT30,$E$89:$BT$89)</f>
        <v>24.5000108992927</v>
      </c>
      <c r="I34" s="44" t="n">
        <f aca="false">H34*Dados_2020!$S$30</f>
        <v>11.2215183928427</v>
      </c>
      <c r="J34" s="45" t="n">
        <f aca="false">H34*Dados_2020!$Q$30</f>
        <v>31.3612721766585</v>
      </c>
    </row>
    <row r="35" customFormat="false" ht="15" hidden="false" customHeight="false" outlineLevel="0" collapsed="false">
      <c r="B35" s="14" t="s">
        <v>113</v>
      </c>
      <c r="C35" s="7" t="s">
        <v>114</v>
      </c>
      <c r="D35" s="14" t="n">
        <v>25</v>
      </c>
      <c r="E35" s="42" t="n">
        <f aca="false">SUMPRODUCT(B_2020!E31:BT31,$E$88:$BT$88)</f>
        <v>70.931186356378</v>
      </c>
      <c r="F35" s="42" t="n">
        <f aca="false">E35*Dados_2020!$S$31</f>
        <v>16.890310522899</v>
      </c>
      <c r="G35" s="43" t="n">
        <f aca="false">E35*Dados_2020!$Q$31</f>
        <v>222.785266886935</v>
      </c>
      <c r="H35" s="42" t="n">
        <f aca="false">SUMPRODUCT(B_2020!E31:BT31,$E$89:$BT$89)</f>
        <v>370.874318095297</v>
      </c>
      <c r="I35" s="42" t="n">
        <f aca="false">H35*Dados_2020!$S$31</f>
        <v>88.3135151035681</v>
      </c>
      <c r="J35" s="43" t="n">
        <f aca="false">H35*Dados_2020!$Q$31</f>
        <v>1164.86609321939</v>
      </c>
    </row>
    <row r="36" customFormat="false" ht="15" hidden="false" customHeight="false" outlineLevel="0" collapsed="false">
      <c r="B36" s="17" t="s">
        <v>115</v>
      </c>
      <c r="C36" s="9" t="s">
        <v>116</v>
      </c>
      <c r="D36" s="17" t="n">
        <v>26</v>
      </c>
      <c r="E36" s="44" t="n">
        <f aca="false">SUMPRODUCT(B_2020!E32:BT32,$E$88:$BT$88)</f>
        <v>102.217980517509</v>
      </c>
      <c r="F36" s="44" t="n">
        <f aca="false">E36*Dados_2020!$S$32</f>
        <v>30.405691036039</v>
      </c>
      <c r="G36" s="45" t="n">
        <f aca="false">E36*Dados_2020!$Q$32</f>
        <v>567.007073222755</v>
      </c>
      <c r="H36" s="44" t="n">
        <f aca="false">SUMPRODUCT(B_2020!E32:BT32,$E$89:$BT$89)</f>
        <v>581.419097586335</v>
      </c>
      <c r="I36" s="44" t="n">
        <f aca="false">H36*Dados_2020!$S$32</f>
        <v>172.948529741639</v>
      </c>
      <c r="J36" s="45" t="n">
        <f aca="false">H36*Dados_2020!$Q$32</f>
        <v>3225.15411837718</v>
      </c>
    </row>
    <row r="37" customFormat="false" ht="15" hidden="false" customHeight="false" outlineLevel="0" collapsed="false">
      <c r="B37" s="14" t="s">
        <v>117</v>
      </c>
      <c r="C37" s="7" t="s">
        <v>118</v>
      </c>
      <c r="D37" s="14" t="n">
        <v>27</v>
      </c>
      <c r="E37" s="42" t="n">
        <f aca="false">SUMPRODUCT(B_2020!E33:BT33,$E$88:$BT$88)</f>
        <v>43.0069116156035</v>
      </c>
      <c r="F37" s="42" t="n">
        <f aca="false">E37*Dados_2020!$S$33</f>
        <v>5.66721255243603</v>
      </c>
      <c r="G37" s="43" t="n">
        <f aca="false">E37*Dados_2020!$Q$33</f>
        <v>33.897697573888</v>
      </c>
      <c r="H37" s="42" t="n">
        <f aca="false">SUMPRODUCT(B_2020!E33:BT33,$E$89:$BT$89)</f>
        <v>520.06081805616</v>
      </c>
      <c r="I37" s="42" t="n">
        <f aca="false">H37*Dados_2020!$S$33</f>
        <v>68.5307334425916</v>
      </c>
      <c r="J37" s="43" t="n">
        <f aca="false">H37*Dados_2020!$Q$33</f>
        <v>409.907702465679</v>
      </c>
    </row>
    <row r="38" customFormat="false" ht="15" hidden="false" customHeight="false" outlineLevel="0" collapsed="false">
      <c r="B38" s="17" t="s">
        <v>119</v>
      </c>
      <c r="C38" s="9" t="s">
        <v>120</v>
      </c>
      <c r="D38" s="17" t="n">
        <v>28</v>
      </c>
      <c r="E38" s="44" t="n">
        <f aca="false">SUMPRODUCT(B_2020!E34:BT34,$E$88:$BT$88)</f>
        <v>29.5682241978993</v>
      </c>
      <c r="F38" s="44" t="n">
        <f aca="false">E38*Dados_2020!$S$34</f>
        <v>7.06617295120556</v>
      </c>
      <c r="G38" s="45" t="n">
        <f aca="false">E38*Dados_2020!$Q$34</f>
        <v>35.0326485380929</v>
      </c>
      <c r="H38" s="44" t="n">
        <f aca="false">SUMPRODUCT(B_2020!E34:BT34,$E$89:$BT$89)</f>
        <v>193.497904329247</v>
      </c>
      <c r="I38" s="44" t="n">
        <f aca="false">H38*Dados_2020!$S$34</f>
        <v>46.2418591165655</v>
      </c>
      <c r="J38" s="45" t="n">
        <f aca="false">H38*Dados_2020!$Q$34</f>
        <v>229.257733905631</v>
      </c>
    </row>
    <row r="39" customFormat="false" ht="15" hidden="false" customHeight="false" outlineLevel="0" collapsed="false">
      <c r="B39" s="14" t="s">
        <v>121</v>
      </c>
      <c r="C39" s="7" t="s">
        <v>122</v>
      </c>
      <c r="D39" s="14" t="n">
        <v>29</v>
      </c>
      <c r="E39" s="42" t="n">
        <f aca="false">SUMPRODUCT(B_2020!E35:BT35,$E$88:$BT$88)</f>
        <v>45.5579867118815</v>
      </c>
      <c r="F39" s="42" t="n">
        <f aca="false">E39*Dados_2020!$S$35</f>
        <v>13.5801854766583</v>
      </c>
      <c r="G39" s="43" t="n">
        <f aca="false">E39*Dados_2020!$Q$35</f>
        <v>230.71810439316</v>
      </c>
      <c r="H39" s="42" t="n">
        <f aca="false">SUMPRODUCT(B_2020!E35:BT35,$E$89:$BT$89)</f>
        <v>512.128013281478</v>
      </c>
      <c r="I39" s="42" t="n">
        <f aca="false">H39*Dados_2020!$S$35</f>
        <v>152.658049885712</v>
      </c>
      <c r="J39" s="43" t="n">
        <f aca="false">H39*Dados_2020!$Q$35</f>
        <v>2593.55632148956</v>
      </c>
    </row>
    <row r="40" customFormat="false" ht="15" hidden="false" customHeight="false" outlineLevel="0" collapsed="false">
      <c r="B40" s="17" t="s">
        <v>123</v>
      </c>
      <c r="C40" s="9" t="s">
        <v>124</v>
      </c>
      <c r="D40" s="17" t="n">
        <v>30</v>
      </c>
      <c r="E40" s="44" t="n">
        <f aca="false">SUMPRODUCT(B_2020!E36:BT36,$E$88:$BT$88)</f>
        <v>7.89830943278258</v>
      </c>
      <c r="F40" s="44" t="n">
        <f aca="false">E40*Dados_2020!$S$36</f>
        <v>1.17917964677102</v>
      </c>
      <c r="G40" s="45" t="n">
        <f aca="false">E40*Dados_2020!$Q$36</f>
        <v>7.84738230813453</v>
      </c>
      <c r="H40" s="44" t="n">
        <f aca="false">SUMPRODUCT(B_2020!E36:BT36,$E$89:$BT$89)</f>
        <v>462.840461585972</v>
      </c>
      <c r="I40" s="44" t="n">
        <f aca="false">H40*Dados_2020!$S$36</f>
        <v>69.0998569566051</v>
      </c>
      <c r="J40" s="45" t="n">
        <f aca="false">H40*Dados_2020!$Q$36</f>
        <v>459.856135119663</v>
      </c>
    </row>
    <row r="41" customFormat="false" ht="15" hidden="false" customHeight="false" outlineLevel="0" collapsed="false">
      <c r="B41" s="14" t="s">
        <v>125</v>
      </c>
      <c r="C41" s="7" t="s">
        <v>126</v>
      </c>
      <c r="D41" s="14" t="n">
        <v>31</v>
      </c>
      <c r="E41" s="42" t="n">
        <f aca="false">SUMPRODUCT(B_2020!E37:BT37,$E$88:$BT$88)</f>
        <v>20.1894020412167</v>
      </c>
      <c r="F41" s="42" t="n">
        <f aca="false">E41*Dados_2020!$S$37</f>
        <v>4.26074188097556</v>
      </c>
      <c r="G41" s="43" t="n">
        <f aca="false">E41*Dados_2020!$Q$37</f>
        <v>44.0709473868236</v>
      </c>
      <c r="H41" s="42" t="n">
        <f aca="false">SUMPRODUCT(B_2020!E37:BT37,$E$89:$BT$89)</f>
        <v>428.642770879873</v>
      </c>
      <c r="I41" s="42" t="n">
        <f aca="false">H41*Dados_2020!$S$37</f>
        <v>90.4601435018636</v>
      </c>
      <c r="J41" s="43" t="n">
        <f aca="false">H41*Dados_2020!$Q$37</f>
        <v>935.673724492866</v>
      </c>
    </row>
    <row r="42" customFormat="false" ht="15" hidden="false" customHeight="false" outlineLevel="0" collapsed="false">
      <c r="B42" s="17" t="s">
        <v>127</v>
      </c>
      <c r="C42" s="9" t="s">
        <v>128</v>
      </c>
      <c r="D42" s="17" t="n">
        <v>32</v>
      </c>
      <c r="E42" s="44" t="n">
        <f aca="false">SUMPRODUCT(B_2020!E38:BT38,$E$88:$BT$88)</f>
        <v>18.6751377444033</v>
      </c>
      <c r="F42" s="44" t="n">
        <f aca="false">E42*Dados_2020!$S$38</f>
        <v>5.1365744889763</v>
      </c>
      <c r="G42" s="45" t="n">
        <f aca="false">E42*Dados_2020!$Q$38</f>
        <v>45.7351678454275</v>
      </c>
      <c r="H42" s="44" t="n">
        <f aca="false">SUMPRODUCT(B_2020!E38:BT38,$E$89:$BT$89)</f>
        <v>1061.50490537478</v>
      </c>
      <c r="I42" s="44" t="n">
        <f aca="false">H42*Dados_2020!$S$38</f>
        <v>291.965665340559</v>
      </c>
      <c r="J42" s="45" t="n">
        <f aca="false">H42*Dados_2020!$Q$38</f>
        <v>2599.61161628431</v>
      </c>
    </row>
    <row r="43" customFormat="false" ht="15" hidden="false" customHeight="false" outlineLevel="0" collapsed="false">
      <c r="B43" s="14" t="s">
        <v>129</v>
      </c>
      <c r="C43" s="7" t="s">
        <v>130</v>
      </c>
      <c r="D43" s="14" t="n">
        <v>33</v>
      </c>
      <c r="E43" s="42" t="n">
        <f aca="false">SUMPRODUCT(B_2020!E39:BT39,$E$88:$BT$88)</f>
        <v>2.43202723132819</v>
      </c>
      <c r="F43" s="42" t="n">
        <f aca="false">E43*Dados_2020!$S$39</f>
        <v>0.215559900987647</v>
      </c>
      <c r="G43" s="43" t="n">
        <f aca="false">E43*Dados_2020!$Q$39</f>
        <v>2.320698969707</v>
      </c>
      <c r="H43" s="42" t="n">
        <f aca="false">SUMPRODUCT(B_2020!E39:BT39,$E$89:$BT$89)</f>
        <v>829.475416415653</v>
      </c>
      <c r="I43" s="42" t="n">
        <f aca="false">H43*Dados_2020!$S$39</f>
        <v>73.5195874170363</v>
      </c>
      <c r="J43" s="43" t="n">
        <f aca="false">H43*Dados_2020!$Q$39</f>
        <v>791.505423737307</v>
      </c>
    </row>
    <row r="44" customFormat="false" ht="15" hidden="false" customHeight="false" outlineLevel="0" collapsed="false">
      <c r="B44" s="17" t="s">
        <v>131</v>
      </c>
      <c r="C44" s="9" t="s">
        <v>132</v>
      </c>
      <c r="D44" s="17" t="n">
        <v>34</v>
      </c>
      <c r="E44" s="44" t="n">
        <f aca="false">SUMPRODUCT(B_2020!E40:BT40,$E$88:$BT$88)</f>
        <v>26.9289943546887</v>
      </c>
      <c r="F44" s="44" t="n">
        <f aca="false">E44*Dados_2020!$S$40</f>
        <v>6.86043347057279</v>
      </c>
      <c r="G44" s="45" t="n">
        <f aca="false">E44*Dados_2020!$Q$40</f>
        <v>78.198932974586</v>
      </c>
      <c r="H44" s="44" t="n">
        <f aca="false">SUMPRODUCT(B_2020!E40:BT40,$E$89:$BT$89)</f>
        <v>319.297157042737</v>
      </c>
      <c r="I44" s="44" t="n">
        <f aca="false">H44*Dados_2020!$S$40</f>
        <v>81.3441777432484</v>
      </c>
      <c r="J44" s="45" t="n">
        <f aca="false">H44*Dados_2020!$Q$40</f>
        <v>927.204954395687</v>
      </c>
    </row>
    <row r="45" customFormat="false" ht="15" hidden="false" customHeight="false" outlineLevel="0" collapsed="false">
      <c r="B45" s="14" t="s">
        <v>133</v>
      </c>
      <c r="C45" s="7" t="s">
        <v>134</v>
      </c>
      <c r="D45" s="14" t="n">
        <v>35</v>
      </c>
      <c r="E45" s="42" t="n">
        <f aca="false">SUMPRODUCT(B_2020!E41:BT41,$E$88:$BT$88)</f>
        <v>1.82127653858886</v>
      </c>
      <c r="F45" s="42" t="n">
        <f aca="false">E45*Dados_2020!$S$41</f>
        <v>0.382958967959086</v>
      </c>
      <c r="G45" s="43" t="n">
        <f aca="false">E45*Dados_2020!$Q$41</f>
        <v>3.48487433923279</v>
      </c>
      <c r="H45" s="42" t="n">
        <f aca="false">SUMPRODUCT(B_2020!E41:BT41,$E$89:$BT$89)</f>
        <v>248.753621655044</v>
      </c>
      <c r="I45" s="42" t="n">
        <f aca="false">H45*Dados_2020!$S$41</f>
        <v>52.3053079566437</v>
      </c>
      <c r="J45" s="43" t="n">
        <f aca="false">H45*Dados_2020!$Q$41</f>
        <v>475.971163373435</v>
      </c>
    </row>
    <row r="46" customFormat="false" ht="15" hidden="false" customHeight="false" outlineLevel="0" collapsed="false">
      <c r="B46" s="17" t="s">
        <v>135</v>
      </c>
      <c r="C46" s="9" t="s">
        <v>136</v>
      </c>
      <c r="D46" s="17" t="n">
        <v>36</v>
      </c>
      <c r="E46" s="44" t="n">
        <f aca="false">SUMPRODUCT(B_2020!E42:BT42,$E$88:$BT$88)</f>
        <v>5.44971327229364</v>
      </c>
      <c r="F46" s="44" t="n">
        <f aca="false">E46*Dados_2020!$S$42</f>
        <v>2.40419790812337</v>
      </c>
      <c r="G46" s="45" t="n">
        <f aca="false">E46*Dados_2020!$Q$42</f>
        <v>45.4906569982962</v>
      </c>
      <c r="H46" s="44" t="n">
        <f aca="false">SUMPRODUCT(B_2020!E42:BT42,$E$89:$BT$89)</f>
        <v>142.813503465679</v>
      </c>
      <c r="I46" s="44" t="n">
        <f aca="false">H46*Dados_2020!$S$42</f>
        <v>63.0036681066426</v>
      </c>
      <c r="J46" s="45" t="n">
        <f aca="false">H46*Dados_2020!$Q$42</f>
        <v>1192.11411248208</v>
      </c>
    </row>
    <row r="47" customFormat="false" ht="15" hidden="false" customHeight="false" outlineLevel="0" collapsed="false">
      <c r="B47" s="14" t="s">
        <v>137</v>
      </c>
      <c r="C47" s="7" t="s">
        <v>138</v>
      </c>
      <c r="D47" s="14" t="n">
        <v>37</v>
      </c>
      <c r="E47" s="42" t="n">
        <f aca="false">SUMPRODUCT(B_2020!E43:BT43,$E$88:$BT$88)</f>
        <v>51.1308126340498</v>
      </c>
      <c r="F47" s="42" t="n">
        <f aca="false">E47*Dados_2020!$S$43</f>
        <v>18.8616065952633</v>
      </c>
      <c r="G47" s="43" t="n">
        <f aca="false">E47*Dados_2020!$Q$43</f>
        <v>308.77255328651</v>
      </c>
      <c r="H47" s="42" t="n">
        <f aca="false">SUMPRODUCT(B_2020!E43:BT43,$E$89:$BT$89)</f>
        <v>279.556807913154</v>
      </c>
      <c r="I47" s="42" t="n">
        <f aca="false">H47*Dados_2020!$S$43</f>
        <v>103.125498310076</v>
      </c>
      <c r="J47" s="43" t="n">
        <f aca="false">H47*Dados_2020!$Q$43</f>
        <v>1688.20843873089</v>
      </c>
    </row>
    <row r="48" customFormat="false" ht="15" hidden="false" customHeight="false" outlineLevel="0" collapsed="false">
      <c r="B48" s="17" t="s">
        <v>139</v>
      </c>
      <c r="C48" s="9" t="s">
        <v>140</v>
      </c>
      <c r="D48" s="17" t="n">
        <v>38</v>
      </c>
      <c r="E48" s="44" t="n">
        <f aca="false">SUMPRODUCT(B_2020!E44:BT44,$E$88:$BT$88)</f>
        <v>376.364760946654</v>
      </c>
      <c r="F48" s="44" t="n">
        <f aca="false">E48*Dados_2020!$S$44</f>
        <v>158.576581260899</v>
      </c>
      <c r="G48" s="45" t="n">
        <f aca="false">E48*Dados_2020!$Q$44</f>
        <v>176.17832413795</v>
      </c>
      <c r="H48" s="44" t="n">
        <f aca="false">SUMPRODUCT(B_2020!E44:BT44,$E$89:$BT$89)</f>
        <v>238.19500343987</v>
      </c>
      <c r="I48" s="44" t="n">
        <f aca="false">H48*Dados_2020!$S$44</f>
        <v>100.360483335145</v>
      </c>
      <c r="J48" s="45" t="n">
        <f aca="false">H48*Dados_2020!$Q$44</f>
        <v>111.500333927431</v>
      </c>
    </row>
    <row r="49" customFormat="false" ht="15" hidden="false" customHeight="false" outlineLevel="0" collapsed="false">
      <c r="B49" s="14" t="s">
        <v>141</v>
      </c>
      <c r="C49" s="7" t="s">
        <v>142</v>
      </c>
      <c r="D49" s="14" t="n">
        <v>39</v>
      </c>
      <c r="E49" s="42" t="n">
        <f aca="false">SUMPRODUCT(B_2020!E45:BT45,$E$88:$BT$88)</f>
        <v>27.0409678043113</v>
      </c>
      <c r="F49" s="42" t="n">
        <f aca="false">E49*Dados_2020!$S$45</f>
        <v>16.2832166807168</v>
      </c>
      <c r="G49" s="43" t="n">
        <f aca="false">E49*Dados_2020!$Q$45</f>
        <v>160.426415569604</v>
      </c>
      <c r="H49" s="42" t="n">
        <f aca="false">SUMPRODUCT(B_2020!E45:BT45,$E$89:$BT$89)</f>
        <v>69.5600711892783</v>
      </c>
      <c r="I49" s="42" t="n">
        <f aca="false">H49*Dados_2020!$S$45</f>
        <v>41.8868777071108</v>
      </c>
      <c r="J49" s="43" t="n">
        <f aca="false">H49*Dados_2020!$Q$45</f>
        <v>412.680232764568</v>
      </c>
    </row>
    <row r="50" customFormat="false" ht="15" hidden="false" customHeight="false" outlineLevel="0" collapsed="false">
      <c r="B50" s="17" t="s">
        <v>143</v>
      </c>
      <c r="C50" s="9" t="s">
        <v>144</v>
      </c>
      <c r="D50" s="17" t="n">
        <v>40</v>
      </c>
      <c r="E50" s="44" t="n">
        <f aca="false">SUMPRODUCT(B_2020!E46:BT46,$E$88:$BT$88)</f>
        <v>14.7449289704421</v>
      </c>
      <c r="F50" s="44" t="n">
        <f aca="false">E50*Dados_2020!$S$46</f>
        <v>6.44974639174438</v>
      </c>
      <c r="G50" s="45" t="n">
        <f aca="false">E50*Dados_2020!$Q$46</f>
        <v>169.664505072002</v>
      </c>
      <c r="H50" s="44" t="n">
        <f aca="false">SUMPRODUCT(B_2020!E46:BT46,$E$89:$BT$89)</f>
        <v>5819.3847117811</v>
      </c>
      <c r="I50" s="44" t="n">
        <f aca="false">H50*Dados_2020!$S$46</f>
        <v>2545.52298096673</v>
      </c>
      <c r="J50" s="45" t="n">
        <f aca="false">H50*Dados_2020!$Q$46</f>
        <v>66961.5315833095</v>
      </c>
    </row>
    <row r="51" customFormat="false" ht="15" hidden="false" customHeight="false" outlineLevel="0" collapsed="false">
      <c r="B51" s="14" t="s">
        <v>145</v>
      </c>
      <c r="C51" s="7" t="s">
        <v>146</v>
      </c>
      <c r="D51" s="14" t="n">
        <v>41</v>
      </c>
      <c r="E51" s="42" t="n">
        <f aca="false">SUMPRODUCT(B_2020!E47:BT47,$E$88:$BT$88)</f>
        <v>42.8800678267342</v>
      </c>
      <c r="F51" s="42" t="n">
        <f aca="false">E51*Dados_2020!$S$47</f>
        <v>23.4358928379598</v>
      </c>
      <c r="G51" s="43" t="n">
        <f aca="false">E51*Dados_2020!$Q$47</f>
        <v>672.887800673344</v>
      </c>
      <c r="H51" s="42" t="n">
        <f aca="false">SUMPRODUCT(B_2020!E47:BT47,$E$89:$BT$89)</f>
        <v>116.588917314064</v>
      </c>
      <c r="I51" s="42" t="n">
        <f aca="false">H51*Dados_2020!$S$47</f>
        <v>63.7211065828263</v>
      </c>
      <c r="J51" s="43" t="n">
        <f aca="false">H51*Dados_2020!$Q$47</f>
        <v>1829.55074771209</v>
      </c>
    </row>
    <row r="52" customFormat="false" ht="15" hidden="false" customHeight="false" outlineLevel="0" collapsed="false">
      <c r="B52" s="17" t="s">
        <v>147</v>
      </c>
      <c r="C52" s="9" t="s">
        <v>148</v>
      </c>
      <c r="D52" s="17" t="n">
        <v>42</v>
      </c>
      <c r="E52" s="44" t="n">
        <f aca="false">SUMPRODUCT(B_2020!E48:BT48,$E$88:$BT$88)</f>
        <v>730.010765085975</v>
      </c>
      <c r="F52" s="44" t="n">
        <f aca="false">E52*Dados_2020!$S$48</f>
        <v>433.254205695284</v>
      </c>
      <c r="G52" s="45" t="n">
        <f aca="false">E52*Dados_2020!$Q$48</f>
        <v>8825.8188106753</v>
      </c>
      <c r="H52" s="44" t="n">
        <f aca="false">SUMPRODUCT(B_2020!E48:BT48,$E$89:$BT$89)</f>
        <v>1779.94768185576</v>
      </c>
      <c r="I52" s="44" t="n">
        <f aca="false">H52*Dados_2020!$S$48</f>
        <v>1056.38143430769</v>
      </c>
      <c r="J52" s="45" t="n">
        <f aca="false">H52*Dados_2020!$Q$48</f>
        <v>21519.5398258138</v>
      </c>
    </row>
    <row r="53" customFormat="false" ht="15" hidden="false" customHeight="false" outlineLevel="0" collapsed="false">
      <c r="B53" s="14" t="s">
        <v>149</v>
      </c>
      <c r="C53" s="7" t="s">
        <v>150</v>
      </c>
      <c r="D53" s="14" t="n">
        <v>43</v>
      </c>
      <c r="E53" s="42" t="n">
        <f aca="false">SUMPRODUCT(B_2020!E49:BT49,$E$88:$BT$88)</f>
        <v>489.33680788333</v>
      </c>
      <c r="F53" s="42" t="n">
        <f aca="false">E53*Dados_2020!$S$49</f>
        <v>197.536852894468</v>
      </c>
      <c r="G53" s="43" t="n">
        <f aca="false">E53*Dados_2020!$Q$49</f>
        <v>4655.96328992799</v>
      </c>
      <c r="H53" s="42" t="n">
        <f aca="false">SUMPRODUCT(B_2020!E49:BT49,$E$89:$BT$89)</f>
        <v>488.116447731206</v>
      </c>
      <c r="I53" s="42" t="n">
        <f aca="false">H53*Dados_2020!$S$49</f>
        <v>197.044214490888</v>
      </c>
      <c r="J53" s="43" t="n">
        <f aca="false">H53*Dados_2020!$Q$49</f>
        <v>4644.35175370744</v>
      </c>
    </row>
    <row r="54" customFormat="false" ht="15" hidden="false" customHeight="false" outlineLevel="0" collapsed="false">
      <c r="B54" s="17" t="s">
        <v>151</v>
      </c>
      <c r="C54" s="9" t="s">
        <v>152</v>
      </c>
      <c r="D54" s="17" t="n">
        <v>44</v>
      </c>
      <c r="E54" s="44" t="n">
        <f aca="false">SUMPRODUCT(B_2020!E50:BT50,$E$88:$BT$88)</f>
        <v>20.2350657858794</v>
      </c>
      <c r="F54" s="44" t="n">
        <f aca="false">E54*Dados_2020!$S$50</f>
        <v>8.74834917055428</v>
      </c>
      <c r="G54" s="45" t="n">
        <f aca="false">E54*Dados_2020!$Q$50</f>
        <v>32.6750201084685</v>
      </c>
      <c r="H54" s="44" t="n">
        <f aca="false">SUMPRODUCT(B_2020!E50:BT50,$E$89:$BT$89)</f>
        <v>34.9953511203428</v>
      </c>
      <c r="I54" s="44" t="n">
        <f aca="false">H54*Dados_2020!$S$50</f>
        <v>15.1297531812596</v>
      </c>
      <c r="J54" s="45" t="n">
        <f aca="false">H54*Dados_2020!$Q$50</f>
        <v>56.5095173724645</v>
      </c>
    </row>
    <row r="55" customFormat="false" ht="15" hidden="false" customHeight="false" outlineLevel="0" collapsed="false">
      <c r="B55" s="14" t="s">
        <v>153</v>
      </c>
      <c r="C55" s="7" t="s">
        <v>154</v>
      </c>
      <c r="D55" s="14" t="n">
        <v>45</v>
      </c>
      <c r="E55" s="42" t="n">
        <f aca="false">SUMPRODUCT(B_2020!E51:BT51,$E$88:$BT$88)</f>
        <v>7.54565457680092</v>
      </c>
      <c r="F55" s="42" t="n">
        <f aca="false">E55*Dados_2020!$S$51</f>
        <v>1.58295344466918</v>
      </c>
      <c r="G55" s="43" t="n">
        <f aca="false">E55*Dados_2020!$Q$51</f>
        <v>15.8166957459424</v>
      </c>
      <c r="H55" s="42" t="n">
        <f aca="false">SUMPRODUCT(B_2020!E51:BT51,$E$89:$BT$89)</f>
        <v>21.0594575301568</v>
      </c>
      <c r="I55" s="42" t="n">
        <f aca="false">H55*Dados_2020!$S$51</f>
        <v>4.41792564196057</v>
      </c>
      <c r="J55" s="43" t="n">
        <f aca="false">H55*Dados_2020!$Q$51</f>
        <v>44.1434243959658</v>
      </c>
    </row>
    <row r="56" customFormat="false" ht="15" hidden="false" customHeight="false" outlineLevel="0" collapsed="false">
      <c r="B56" s="17" t="s">
        <v>155</v>
      </c>
      <c r="C56" s="9" t="s">
        <v>156</v>
      </c>
      <c r="D56" s="17" t="n">
        <v>46</v>
      </c>
      <c r="E56" s="44" t="n">
        <f aca="false">SUMPRODUCT(B_2020!E52:BT52,$E$88:$BT$88)</f>
        <v>111.321500704006</v>
      </c>
      <c r="F56" s="44" t="n">
        <f aca="false">E56*Dados_2020!$S$52</f>
        <v>62.1570244819831</v>
      </c>
      <c r="G56" s="45" t="n">
        <f aca="false">E56*Dados_2020!$Q$52</f>
        <v>603.209346949162</v>
      </c>
      <c r="H56" s="44" t="n">
        <f aca="false">SUMPRODUCT(B_2020!E52:BT52,$E$89:$BT$89)</f>
        <v>147.803077270294</v>
      </c>
      <c r="I56" s="44" t="n">
        <f aca="false">H56*Dados_2020!$S$52</f>
        <v>82.5267305444392</v>
      </c>
      <c r="J56" s="45" t="n">
        <f aca="false">H56*Dados_2020!$Q$52</f>
        <v>800.889290509558</v>
      </c>
    </row>
    <row r="57" customFormat="false" ht="15" hidden="false" customHeight="false" outlineLevel="0" collapsed="false">
      <c r="B57" s="14" t="s">
        <v>157</v>
      </c>
      <c r="C57" s="7" t="s">
        <v>158</v>
      </c>
      <c r="D57" s="14" t="n">
        <v>47</v>
      </c>
      <c r="E57" s="42" t="n">
        <f aca="false">SUMPRODUCT(B_2020!E53:BT53,$E$88:$BT$88)</f>
        <v>4.88996024167477</v>
      </c>
      <c r="F57" s="42" t="n">
        <f aca="false">E57*Dados_2020!$S$53</f>
        <v>2.45909649725675</v>
      </c>
      <c r="G57" s="43" t="n">
        <f aca="false">E57*Dados_2020!$Q$53</f>
        <v>86.433742440723</v>
      </c>
      <c r="H57" s="42" t="n">
        <f aca="false">SUMPRODUCT(B_2020!E53:BT53,$E$89:$BT$89)</f>
        <v>18.6363559664222</v>
      </c>
      <c r="I57" s="42" t="n">
        <f aca="false">H57*Dados_2020!$S$53</f>
        <v>9.37197756498791</v>
      </c>
      <c r="J57" s="43" t="n">
        <f aca="false">H57*Dados_2020!$Q$53</f>
        <v>329.411674538212</v>
      </c>
    </row>
    <row r="58" customFormat="false" ht="15" hidden="false" customHeight="false" outlineLevel="0" collapsed="false">
      <c r="B58" s="17" t="s">
        <v>159</v>
      </c>
      <c r="C58" s="9" t="s">
        <v>160</v>
      </c>
      <c r="D58" s="17" t="n">
        <v>48</v>
      </c>
      <c r="E58" s="44" t="n">
        <f aca="false">SUMPRODUCT(B_2020!E54:BT54,$E$88:$BT$88)</f>
        <v>7.44795229311196</v>
      </c>
      <c r="F58" s="44" t="n">
        <f aca="false">E58*Dados_2020!$S$54</f>
        <v>3.29549965127986</v>
      </c>
      <c r="G58" s="45" t="n">
        <f aca="false">E58*Dados_2020!$Q$54</f>
        <v>143.287032484844</v>
      </c>
      <c r="H58" s="44" t="n">
        <f aca="false">SUMPRODUCT(B_2020!E54:BT54,$E$89:$BT$89)</f>
        <v>17.2787657330257</v>
      </c>
      <c r="I58" s="44" t="n">
        <f aca="false">H58*Dados_2020!$S$54</f>
        <v>7.6453452179593</v>
      </c>
      <c r="J58" s="45" t="n">
        <f aca="false">H58*Dados_2020!$Q$54</f>
        <v>332.416611902275</v>
      </c>
    </row>
    <row r="59" customFormat="false" ht="15" hidden="false" customHeight="false" outlineLevel="0" collapsed="false">
      <c r="B59" s="14" t="s">
        <v>161</v>
      </c>
      <c r="C59" s="7" t="s">
        <v>162</v>
      </c>
      <c r="D59" s="14" t="n">
        <v>49</v>
      </c>
      <c r="E59" s="42" t="n">
        <f aca="false">SUMPRODUCT(B_2020!E55:BT55,$E$88:$BT$88)</f>
        <v>3.25993906568035</v>
      </c>
      <c r="F59" s="42" t="n">
        <f aca="false">E59*Dados_2020!$S$55</f>
        <v>1.63264047884895</v>
      </c>
      <c r="G59" s="43" t="n">
        <f aca="false">E59*Dados_2020!$Q$55</f>
        <v>26.9755654494257</v>
      </c>
      <c r="H59" s="42" t="n">
        <f aca="false">SUMPRODUCT(B_2020!E55:BT55,$E$89:$BT$89)</f>
        <v>6.85918151210105</v>
      </c>
      <c r="I59" s="42" t="n">
        <f aca="false">H59*Dados_2020!$S$55</f>
        <v>3.43521064743933</v>
      </c>
      <c r="J59" s="43" t="n">
        <f aca="false">H59*Dados_2020!$Q$55</f>
        <v>56.7588215856902</v>
      </c>
    </row>
    <row r="60" customFormat="false" ht="15" hidden="false" customHeight="false" outlineLevel="0" collapsed="false">
      <c r="B60" s="17" t="s">
        <v>163</v>
      </c>
      <c r="C60" s="9" t="s">
        <v>164</v>
      </c>
      <c r="D60" s="17" t="n">
        <v>50</v>
      </c>
      <c r="E60" s="44" t="n">
        <f aca="false">SUMPRODUCT(B_2020!E56:BT56,$E$88:$BT$88)</f>
        <v>12.9069260206831</v>
      </c>
      <c r="F60" s="44" t="n">
        <f aca="false">E60*Dados_2020!$S$56</f>
        <v>5.26410289291134</v>
      </c>
      <c r="G60" s="45" t="n">
        <f aca="false">E60*Dados_2020!$Q$56</f>
        <v>52.8903706728094</v>
      </c>
      <c r="H60" s="44" t="n">
        <f aca="false">SUMPRODUCT(B_2020!E56:BT56,$E$89:$BT$89)</f>
        <v>42.3369576379853</v>
      </c>
      <c r="I60" s="44" t="n">
        <f aca="false">H60*Dados_2020!$S$56</f>
        <v>17.2671711933611</v>
      </c>
      <c r="J60" s="45" t="n">
        <f aca="false">H60*Dados_2020!$Q$56</f>
        <v>173.489596131857</v>
      </c>
    </row>
    <row r="61" customFormat="false" ht="15" hidden="false" customHeight="false" outlineLevel="0" collapsed="false">
      <c r="B61" s="14" t="s">
        <v>165</v>
      </c>
      <c r="C61" s="7" t="s">
        <v>166</v>
      </c>
      <c r="D61" s="14" t="n">
        <v>51</v>
      </c>
      <c r="E61" s="42" t="n">
        <f aca="false">SUMPRODUCT(B_2020!E57:BT57,$E$88:$BT$88)</f>
        <v>23.8383283692786</v>
      </c>
      <c r="F61" s="42" t="n">
        <f aca="false">E61*Dados_2020!$S$57</f>
        <v>11.1832568294162</v>
      </c>
      <c r="G61" s="43" t="n">
        <f aca="false">E61*Dados_2020!$Q$57</f>
        <v>40.403382170109</v>
      </c>
      <c r="H61" s="42" t="n">
        <f aca="false">SUMPRODUCT(B_2020!E57:BT57,$E$89:$BT$89)</f>
        <v>85.664090934212</v>
      </c>
      <c r="I61" s="42" t="n">
        <f aca="false">H61*Dados_2020!$S$57</f>
        <v>40.1875297267224</v>
      </c>
      <c r="J61" s="43" t="n">
        <f aca="false">H61*Dados_2020!$Q$57</f>
        <v>145.19134692055</v>
      </c>
    </row>
    <row r="62" customFormat="false" ht="15" hidden="false" customHeight="false" outlineLevel="0" collapsed="false">
      <c r="B62" s="17" t="s">
        <v>167</v>
      </c>
      <c r="C62" s="9" t="s">
        <v>168</v>
      </c>
      <c r="D62" s="17" t="n">
        <v>52</v>
      </c>
      <c r="E62" s="44" t="n">
        <f aca="false">SUMPRODUCT(B_2020!E58:BT58,$E$88:$BT$88)</f>
        <v>43.0817141823607</v>
      </c>
      <c r="F62" s="44" t="n">
        <f aca="false">E62*Dados_2020!$S$58</f>
        <v>27.4301267403185</v>
      </c>
      <c r="G62" s="45" t="n">
        <f aca="false">E62*Dados_2020!$Q$58</f>
        <v>168.822846830672</v>
      </c>
      <c r="H62" s="44" t="n">
        <f aca="false">SUMPRODUCT(B_2020!E58:BT58,$E$89:$BT$89)</f>
        <v>1064.08812696793</v>
      </c>
      <c r="I62" s="44" t="n">
        <f aca="false">H62*Dados_2020!$S$58</f>
        <v>677.504893655071</v>
      </c>
      <c r="J62" s="45" t="n">
        <f aca="false">H62*Dados_2020!$Q$58</f>
        <v>4169.80592074482</v>
      </c>
    </row>
    <row r="63" customFormat="false" ht="15" hidden="false" customHeight="false" outlineLevel="0" collapsed="false">
      <c r="B63" s="14" t="s">
        <v>169</v>
      </c>
      <c r="C63" s="7" t="s">
        <v>170</v>
      </c>
      <c r="D63" s="14" t="n">
        <v>53</v>
      </c>
      <c r="E63" s="42" t="n">
        <f aca="false">SUMPRODUCT(B_2020!E59:BT59,$E$88:$BT$88)</f>
        <v>308.880221870569</v>
      </c>
      <c r="F63" s="42" t="n">
        <f aca="false">E63*Dados_2020!$S$59</f>
        <v>200.315171787348</v>
      </c>
      <c r="G63" s="43" t="n">
        <f aca="false">E63*Dados_2020!$Q$59</f>
        <v>621.731051370231</v>
      </c>
      <c r="H63" s="42" t="n">
        <f aca="false">SUMPRODUCT(B_2020!E59:BT59,$E$89:$BT$89)</f>
        <v>403.447828217448</v>
      </c>
      <c r="I63" s="42" t="n">
        <f aca="false">H63*Dados_2020!$S$59</f>
        <v>261.644207994888</v>
      </c>
      <c r="J63" s="43" t="n">
        <f aca="false">H63*Dados_2020!$Q$59</f>
        <v>812.081916063175</v>
      </c>
    </row>
    <row r="64" customFormat="false" ht="15" hidden="false" customHeight="false" outlineLevel="0" collapsed="false">
      <c r="B64" s="17" t="s">
        <v>171</v>
      </c>
      <c r="C64" s="9" t="s">
        <v>172</v>
      </c>
      <c r="D64" s="17" t="n">
        <v>54</v>
      </c>
      <c r="E64" s="44" t="n">
        <f aca="false">SUMPRODUCT(B_2020!E60:BT60,$E$88:$BT$88)</f>
        <v>43.7046098408022</v>
      </c>
      <c r="F64" s="44" t="n">
        <f aca="false">E64*Dados_2020!$S$60</f>
        <v>40.2888466290735</v>
      </c>
      <c r="G64" s="45" t="n">
        <f aca="false">E64*Dados_2020!$Q$60</f>
        <v>30.8508800116901</v>
      </c>
      <c r="H64" s="44" t="n">
        <f aca="false">SUMPRODUCT(B_2020!E60:BT60,$E$89:$BT$89)</f>
        <v>121.04017482292</v>
      </c>
      <c r="I64" s="44" t="n">
        <f aca="false">H64*Dados_2020!$S$60</f>
        <v>111.580198454126</v>
      </c>
      <c r="J64" s="45" t="n">
        <f aca="false">H64*Dados_2020!$Q$60</f>
        <v>85.4416942207702</v>
      </c>
    </row>
    <row r="65" customFormat="false" ht="15" hidden="false" customHeight="false" outlineLevel="0" collapsed="false">
      <c r="B65" s="14" t="s">
        <v>173</v>
      </c>
      <c r="C65" s="7" t="s">
        <v>174</v>
      </c>
      <c r="D65" s="14" t="n">
        <v>55</v>
      </c>
      <c r="E65" s="42" t="n">
        <f aca="false">SUMPRODUCT(B_2020!E61:BT61,$E$88:$BT$88)</f>
        <v>151.989484430221</v>
      </c>
      <c r="F65" s="42" t="n">
        <f aca="false">E65*Dados_2020!$S$61</f>
        <v>103.783440611476</v>
      </c>
      <c r="G65" s="43" t="n">
        <f aca="false">E65*Dados_2020!$Q$61</f>
        <v>1225.17959785545</v>
      </c>
      <c r="H65" s="42" t="n">
        <f aca="false">SUMPRODUCT(B_2020!E61:BT61,$E$89:$BT$89)</f>
        <v>325.452031326766</v>
      </c>
      <c r="I65" s="42" t="n">
        <f aca="false">H65*Dados_2020!$S$61</f>
        <v>222.229397590941</v>
      </c>
      <c r="J65" s="43" t="n">
        <f aca="false">H65*Dados_2020!$Q$61</f>
        <v>2623.45247341915</v>
      </c>
    </row>
    <row r="66" customFormat="false" ht="15" hidden="false" customHeight="false" outlineLevel="0" collapsed="false">
      <c r="B66" s="17" t="s">
        <v>175</v>
      </c>
      <c r="C66" s="9" t="s">
        <v>176</v>
      </c>
      <c r="D66" s="17" t="n">
        <v>56</v>
      </c>
      <c r="E66" s="44" t="n">
        <f aca="false">SUMPRODUCT(B_2020!E62:BT62,$E$88:$BT$88)</f>
        <v>45.2578139512093</v>
      </c>
      <c r="F66" s="44" t="n">
        <f aca="false">E66*Dados_2020!$S$62</f>
        <v>28.0597704322785</v>
      </c>
      <c r="G66" s="45" t="n">
        <f aca="false">E66*Dados_2020!$Q$62</f>
        <v>407.359908212202</v>
      </c>
      <c r="H66" s="44" t="n">
        <f aca="false">SUMPRODUCT(B_2020!E62:BT62,$E$89:$BT$89)</f>
        <v>168.20103743856</v>
      </c>
      <c r="I66" s="44" t="n">
        <f aca="false">H66*Dados_2020!$S$62</f>
        <v>104.284367382065</v>
      </c>
      <c r="J66" s="45" t="n">
        <f aca="false">H66*Dados_2020!$Q$62</f>
        <v>1513.95644619592</v>
      </c>
    </row>
    <row r="67" customFormat="false" ht="15" hidden="false" customHeight="false" outlineLevel="0" collapsed="false">
      <c r="B67" s="14" t="s">
        <v>177</v>
      </c>
      <c r="C67" s="7" t="s">
        <v>178</v>
      </c>
      <c r="D67" s="14" t="n">
        <v>57</v>
      </c>
      <c r="E67" s="42" t="n">
        <f aca="false">SUMPRODUCT(B_2020!E63:BT63,$E$88:$BT$88)</f>
        <v>45.3990688020769</v>
      </c>
      <c r="F67" s="42" t="n">
        <f aca="false">E67*Dados_2020!$S$63</f>
        <v>17.3959048680856</v>
      </c>
      <c r="G67" s="43" t="n">
        <f aca="false">E67*Dados_2020!$Q$63</f>
        <v>273.608171035915</v>
      </c>
      <c r="H67" s="42" t="n">
        <f aca="false">SUMPRODUCT(B_2020!E63:BT63,$E$89:$BT$89)</f>
        <v>148.229511205035</v>
      </c>
      <c r="I67" s="42" t="n">
        <f aca="false">H67*Dados_2020!$S$63</f>
        <v>56.7982239196865</v>
      </c>
      <c r="J67" s="43" t="n">
        <f aca="false">H67*Dados_2020!$Q$63</f>
        <v>893.340029311394</v>
      </c>
    </row>
    <row r="68" customFormat="false" ht="15" hidden="false" customHeight="false" outlineLevel="0" collapsed="false">
      <c r="B68" s="17" t="s">
        <v>179</v>
      </c>
      <c r="C68" s="9" t="s">
        <v>180</v>
      </c>
      <c r="D68" s="17" t="n">
        <v>58</v>
      </c>
      <c r="E68" s="44" t="n">
        <f aca="false">SUMPRODUCT(B_2020!E64:BT64,$E$88:$BT$88)</f>
        <v>36.6074552868308</v>
      </c>
      <c r="F68" s="44" t="n">
        <f aca="false">E68*Dados_2020!$S$64</f>
        <v>24.154897614575</v>
      </c>
      <c r="G68" s="45" t="n">
        <f aca="false">E68*Dados_2020!$Q$64</f>
        <v>171.626100806427</v>
      </c>
      <c r="H68" s="44" t="n">
        <f aca="false">SUMPRODUCT(B_2020!E64:BT64,$E$89:$BT$89)</f>
        <v>109.464736589621</v>
      </c>
      <c r="I68" s="44" t="n">
        <f aca="false">H68*Dados_2020!$S$64</f>
        <v>72.2287163642299</v>
      </c>
      <c r="J68" s="45" t="n">
        <f aca="false">H68*Dados_2020!$Q$64</f>
        <v>513.201635281045</v>
      </c>
    </row>
    <row r="69" customFormat="false" ht="15" hidden="false" customHeight="false" outlineLevel="0" collapsed="false">
      <c r="B69" s="14" t="s">
        <v>181</v>
      </c>
      <c r="C69" s="7" t="s">
        <v>182</v>
      </c>
      <c r="D69" s="14" t="n">
        <v>59</v>
      </c>
      <c r="E69" s="42" t="n">
        <f aca="false">SUMPRODUCT(B_2020!E65:BT65,$E$88:$BT$88)</f>
        <v>81.7203610679177</v>
      </c>
      <c r="F69" s="42" t="n">
        <f aca="false">E69*Dados_2020!$S$65</f>
        <v>55.385112500515</v>
      </c>
      <c r="G69" s="43" t="n">
        <f aca="false">E69*Dados_2020!$Q$65</f>
        <v>1253.18334109422</v>
      </c>
      <c r="H69" s="42" t="n">
        <f aca="false">SUMPRODUCT(B_2020!E65:BT65,$E$89:$BT$89)</f>
        <v>262.13129775791</v>
      </c>
      <c r="I69" s="42" t="n">
        <f aca="false">H69*Dados_2020!$S$65</f>
        <v>177.656721366684</v>
      </c>
      <c r="J69" s="43" t="n">
        <f aca="false">H69*Dados_2020!$Q$65</f>
        <v>4019.78859658497</v>
      </c>
    </row>
    <row r="70" customFormat="false" ht="15" hidden="false" customHeight="false" outlineLevel="0" collapsed="false">
      <c r="B70" s="17" t="s">
        <v>183</v>
      </c>
      <c r="C70" s="9" t="s">
        <v>184</v>
      </c>
      <c r="D70" s="17" t="n">
        <v>60</v>
      </c>
      <c r="E70" s="44" t="n">
        <f aca="false">SUMPRODUCT(B_2020!E66:BT66,$E$88:$BT$88)</f>
        <v>19.5731863733592</v>
      </c>
      <c r="F70" s="44" t="n">
        <f aca="false">E70*Dados_2020!$S$66</f>
        <v>15.5802478421878</v>
      </c>
      <c r="G70" s="45" t="n">
        <f aca="false">E70*Dados_2020!$Q$66</f>
        <v>332.83778941466</v>
      </c>
      <c r="H70" s="44" t="n">
        <f aca="false">SUMPRODUCT(B_2020!E66:BT66,$E$89:$BT$89)</f>
        <v>50.851036736707</v>
      </c>
      <c r="I70" s="44" t="n">
        <f aca="false">H70*Dados_2020!$S$66</f>
        <v>40.477403130869</v>
      </c>
      <c r="J70" s="45" t="n">
        <f aca="false">H70*Dados_2020!$Q$66</f>
        <v>864.710851572222</v>
      </c>
    </row>
    <row r="71" customFormat="false" ht="15" hidden="false" customHeight="false" outlineLevel="0" collapsed="false">
      <c r="B71" s="14" t="s">
        <v>185</v>
      </c>
      <c r="C71" s="7" t="s">
        <v>186</v>
      </c>
      <c r="D71" s="14" t="n">
        <v>61</v>
      </c>
      <c r="E71" s="42" t="n">
        <f aca="false">SUMPRODUCT(B_2020!E67:BT67,$E$88:$BT$88)</f>
        <v>22.3398225387581</v>
      </c>
      <c r="F71" s="42" t="n">
        <f aca="false">E71*Dados_2020!$S$67</f>
        <v>16.4535218811859</v>
      </c>
      <c r="G71" s="43" t="n">
        <f aca="false">E71*Dados_2020!$Q$67</f>
        <v>121.632429535337</v>
      </c>
      <c r="H71" s="42" t="n">
        <f aca="false">SUMPRODUCT(B_2020!E67:BT67,$E$89:$BT$89)</f>
        <v>140.77769401765</v>
      </c>
      <c r="I71" s="42" t="n">
        <f aca="false">H71*Dados_2020!$S$67</f>
        <v>103.68430030649</v>
      </c>
      <c r="J71" s="43" t="n">
        <f aca="false">H71*Dados_2020!$Q$67</f>
        <v>766.484734515751</v>
      </c>
    </row>
    <row r="72" customFormat="false" ht="15" hidden="false" customHeight="false" outlineLevel="0" collapsed="false">
      <c r="B72" s="17" t="s">
        <v>187</v>
      </c>
      <c r="C72" s="9" t="s">
        <v>188</v>
      </c>
      <c r="D72" s="17" t="n">
        <v>62</v>
      </c>
      <c r="E72" s="44" t="n">
        <f aca="false">SUMPRODUCT(B_2020!E68:BT68,$E$88:$BT$88)</f>
        <v>0.78786573525193</v>
      </c>
      <c r="F72" s="44" t="n">
        <f aca="false">E72*Dados_2020!$S$68</f>
        <v>0.669167470669875</v>
      </c>
      <c r="G72" s="45" t="n">
        <f aca="false">E72*Dados_2020!$Q$68</f>
        <v>9.19071183383338</v>
      </c>
      <c r="H72" s="44" t="n">
        <f aca="false">SUMPRODUCT(B_2020!E68:BT68,$E$89:$BT$89)</f>
        <v>126.274598844908</v>
      </c>
      <c r="I72" s="44" t="n">
        <f aca="false">H72*Dados_2020!$S$68</f>
        <v>107.250322152773</v>
      </c>
      <c r="J72" s="45" t="n">
        <f aca="false">H72*Dados_2020!$Q$68</f>
        <v>1473.03455143326</v>
      </c>
    </row>
    <row r="73" customFormat="false" ht="15" hidden="false" customHeight="false" outlineLevel="0" collapsed="false">
      <c r="B73" s="14" t="s">
        <v>189</v>
      </c>
      <c r="C73" s="7" t="s">
        <v>190</v>
      </c>
      <c r="D73" s="14" t="n">
        <v>63</v>
      </c>
      <c r="E73" s="42" t="n">
        <f aca="false">SUMPRODUCT(B_2020!E69:BT69,$E$88:$BT$88)</f>
        <v>9.35196699183261</v>
      </c>
      <c r="F73" s="42" t="n">
        <f aca="false">E73*Dados_2020!$S$69</f>
        <v>6.39559765706433</v>
      </c>
      <c r="G73" s="43" t="n">
        <f aca="false">E73*Dados_2020!$Q$69</f>
        <v>174.306026251729</v>
      </c>
      <c r="H73" s="42" t="n">
        <f aca="false">SUMPRODUCT(B_2020!E69:BT69,$E$89:$BT$89)</f>
        <v>27.2517984633773</v>
      </c>
      <c r="I73" s="42" t="n">
        <f aca="false">H73*Dados_2020!$S$69</f>
        <v>18.6368855402698</v>
      </c>
      <c r="J73" s="43" t="n">
        <f aca="false">H73*Dados_2020!$Q$69</f>
        <v>507.930866577344</v>
      </c>
    </row>
    <row r="74" customFormat="false" ht="15" hidden="false" customHeight="false" outlineLevel="0" collapsed="false">
      <c r="B74" s="17" t="s">
        <v>191</v>
      </c>
      <c r="C74" s="9" t="s">
        <v>192</v>
      </c>
      <c r="D74" s="17" t="n">
        <v>64</v>
      </c>
      <c r="E74" s="44" t="n">
        <f aca="false">SUMPRODUCT(B_2020!E70:BT70,$E$88:$BT$88)</f>
        <v>0.0629621536668175</v>
      </c>
      <c r="F74" s="44" t="n">
        <f aca="false">E74*Dados_2020!$S$70</f>
        <v>0.0390458089581098</v>
      </c>
      <c r="G74" s="45" t="n">
        <f aca="false">E74*Dados_2020!$Q$70</f>
        <v>0.614578900823838</v>
      </c>
      <c r="H74" s="44" t="n">
        <f aca="false">SUMPRODUCT(B_2020!E70:BT70,$E$89:$BT$89)</f>
        <v>13.9741067006739</v>
      </c>
      <c r="I74" s="44" t="n">
        <f aca="false">H74*Dados_2020!$S$70</f>
        <v>8.66600439816778</v>
      </c>
      <c r="J74" s="45" t="n">
        <f aca="false">H74*Dados_2020!$Q$70</f>
        <v>136.402436002143</v>
      </c>
    </row>
    <row r="75" customFormat="false" ht="15" hidden="false" customHeight="false" outlineLevel="0" collapsed="false">
      <c r="B75" s="14" t="s">
        <v>193</v>
      </c>
      <c r="C75" s="7" t="s">
        <v>194</v>
      </c>
      <c r="D75" s="14" t="n">
        <v>65</v>
      </c>
      <c r="E75" s="42" t="n">
        <f aca="false">SUMPRODUCT(B_2020!E71:BT71,$E$88:$BT$88)</f>
        <v>0.107481722489277</v>
      </c>
      <c r="F75" s="42" t="n">
        <f aca="false">E75*Dados_2020!$S$71</f>
        <v>0.0607039651172467</v>
      </c>
      <c r="G75" s="43" t="n">
        <f aca="false">E75*Dados_2020!$Q$71</f>
        <v>1.18986942269178</v>
      </c>
      <c r="H75" s="42" t="n">
        <f aca="false">SUMPRODUCT(B_2020!E71:BT71,$E$89:$BT$89)</f>
        <v>0.556998860373745</v>
      </c>
      <c r="I75" s="42" t="n">
        <f aca="false">H75*Dados_2020!$S$71</f>
        <v>0.314584085622998</v>
      </c>
      <c r="J75" s="43" t="n">
        <f aca="false">H75*Dados_2020!$Q$71</f>
        <v>6.16621967980659</v>
      </c>
    </row>
    <row r="76" customFormat="false" ht="15" hidden="false" customHeight="false" outlineLevel="0" collapsed="false">
      <c r="B76" s="17" t="s">
        <v>195</v>
      </c>
      <c r="C76" s="9" t="s">
        <v>196</v>
      </c>
      <c r="D76" s="17" t="n">
        <v>66</v>
      </c>
      <c r="E76" s="44" t="n">
        <f aca="false">SUMPRODUCT(B_2020!E72:BT72,$E$88:$BT$88)</f>
        <v>1.96176138907619</v>
      </c>
      <c r="F76" s="44" t="n">
        <f aca="false">E76*Dados_2020!$S$72</f>
        <v>1.07379992880097</v>
      </c>
      <c r="G76" s="45" t="n">
        <f aca="false">E76*Dados_2020!$Q$72</f>
        <v>47.8721492244662</v>
      </c>
      <c r="H76" s="44" t="n">
        <f aca="false">SUMPRODUCT(B_2020!E72:BT72,$E$89:$BT$89)</f>
        <v>6.35315611214035</v>
      </c>
      <c r="I76" s="44" t="n">
        <f aca="false">H76*Dados_2020!$S$72</f>
        <v>3.47749661037539</v>
      </c>
      <c r="J76" s="45" t="n">
        <f aca="false">H76*Dados_2020!$Q$72</f>
        <v>155.033756470216</v>
      </c>
    </row>
    <row r="77" customFormat="false" ht="15" hidden="false" customHeight="false" outlineLevel="0" collapsed="false">
      <c r="B77" s="14" t="s">
        <v>197</v>
      </c>
      <c r="C77" s="7" t="s">
        <v>198</v>
      </c>
      <c r="D77" s="14" t="n">
        <v>67</v>
      </c>
      <c r="E77" s="42" t="n">
        <f aca="false">SUMPRODUCT(B_2020!E73:BT73,$E$88:$BT$88)</f>
        <v>15.8149502410181</v>
      </c>
      <c r="F77" s="42" t="n">
        <f aca="false">E77*Dados_2020!$S$73</f>
        <v>7.79273295892322</v>
      </c>
      <c r="G77" s="43" t="n">
        <f aca="false">E77*Dados_2020!$Q$73</f>
        <v>381.476776802348</v>
      </c>
      <c r="H77" s="42" t="n">
        <f aca="false">SUMPRODUCT(B_2020!E73:BT73,$E$89:$BT$89)</f>
        <v>43.0976454674862</v>
      </c>
      <c r="I77" s="42" t="n">
        <f aca="false">H77*Dados_2020!$S$73</f>
        <v>21.236136514385</v>
      </c>
      <c r="J77" s="43" t="n">
        <f aca="false">H77*Dados_2020!$Q$73</f>
        <v>1039.57019340255</v>
      </c>
    </row>
    <row r="78" customFormat="false" ht="15" hidden="false" customHeight="false" outlineLevel="0" collapsed="false">
      <c r="B78" s="17" t="s">
        <v>199</v>
      </c>
      <c r="C78" s="9" t="s">
        <v>200</v>
      </c>
      <c r="D78" s="17" t="n">
        <v>68</v>
      </c>
      <c r="E78" s="44" t="n">
        <f aca="false">SUMPRODUCT(B_2020!E74:BT74,$E$88:$BT$88)</f>
        <v>0</v>
      </c>
      <c r="F78" s="44" t="n">
        <f aca="false">E78*Dados_2020!$S$74</f>
        <v>0</v>
      </c>
      <c r="G78" s="45" t="n">
        <f aca="false">E78*Dados_2020!$Q$74</f>
        <v>0</v>
      </c>
      <c r="H78" s="44" t="n">
        <f aca="false">SUMPRODUCT(B_2020!E74:BT74,$E$89:$BT$89)</f>
        <v>0</v>
      </c>
      <c r="I78" s="44" t="n">
        <f aca="false">H78*Dados_2020!$S$74</f>
        <v>0</v>
      </c>
      <c r="J78" s="45" t="n">
        <f aca="false">H78*Dados_2020!$Q$74</f>
        <v>0</v>
      </c>
    </row>
    <row r="79" customFormat="false" ht="15" hidden="false" customHeight="false" outlineLevel="0" collapsed="false">
      <c r="B79" s="29"/>
      <c r="C79" s="30" t="s">
        <v>219</v>
      </c>
      <c r="D79" s="29"/>
      <c r="E79" s="46" t="n">
        <f aca="false">SUM(E11:E78)</f>
        <v>17071.0649380044</v>
      </c>
      <c r="F79" s="46" t="n">
        <f aca="false">SUM(F11:F78)</f>
        <v>8008.70690797767</v>
      </c>
      <c r="G79" s="46" t="n">
        <f aca="false">SUM(G11:G78)</f>
        <v>145643.953211708</v>
      </c>
      <c r="H79" s="46" t="n">
        <f aca="false">SUM(H11:H78)</f>
        <v>20372.1500723538</v>
      </c>
      <c r="I79" s="46" t="n">
        <f aca="false">SUM(I11:I78)</f>
        <v>8342.93037671204</v>
      </c>
      <c r="J79" s="46" t="n">
        <f aca="false">SUM(J11:J78)</f>
        <v>145580.129138347</v>
      </c>
    </row>
    <row r="81" customFormat="false" ht="15" hidden="false" customHeight="false" outlineLevel="0" collapsed="false">
      <c r="B81" s="4" t="s">
        <v>254</v>
      </c>
    </row>
    <row r="82" customFormat="false" ht="13.5" hidden="false" customHeight="true" outlineLevel="0" collapsed="false">
      <c r="B82" s="38" t="s">
        <v>269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customFormat="false" ht="27" hidden="false" customHeight="true" outlineLevel="0" collapsed="false">
      <c r="B83" s="38" t="s">
        <v>270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customFormat="false" ht="27" hidden="false" customHeight="true" outlineLevel="0" collapsed="false">
      <c r="B84" s="38" t="s">
        <v>271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customFormat="false" ht="13.5" hidden="false" customHeight="true" outlineLevel="0" collapsed="false">
      <c r="B85" s="38" t="s">
        <v>272</v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customFormat="false" ht="13.5" hidden="false" customHeight="true" outlineLevel="0" collapsed="false">
      <c r="B86" s="38" t="s">
        <v>273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8" customFormat="false" ht="15" hidden="false" customHeight="false" outlineLevel="0" collapsed="false">
      <c r="C88" s="41" t="s">
        <v>274</v>
      </c>
      <c r="E88" s="47" t="n">
        <f aca="false">$E$8</f>
        <v>10000</v>
      </c>
      <c r="F88" s="47" t="n">
        <v>0</v>
      </c>
      <c r="G88" s="47" t="n">
        <v>0</v>
      </c>
      <c r="H88" s="47" t="n">
        <v>0</v>
      </c>
      <c r="I88" s="47" t="n">
        <v>0</v>
      </c>
      <c r="J88" s="47" t="n">
        <v>0</v>
      </c>
      <c r="K88" s="47" t="n">
        <v>0</v>
      </c>
      <c r="L88" s="47" t="n">
        <v>0</v>
      </c>
      <c r="M88" s="47" t="n">
        <v>0</v>
      </c>
      <c r="N88" s="47" t="n">
        <v>0</v>
      </c>
      <c r="O88" s="47" t="n">
        <v>0</v>
      </c>
      <c r="P88" s="47" t="n">
        <v>0</v>
      </c>
      <c r="Q88" s="47" t="n">
        <v>0</v>
      </c>
      <c r="R88" s="47" t="n">
        <v>0</v>
      </c>
      <c r="S88" s="47" t="n">
        <v>0</v>
      </c>
      <c r="T88" s="47" t="n">
        <v>0</v>
      </c>
      <c r="U88" s="47" t="n">
        <v>0</v>
      </c>
      <c r="V88" s="47" t="n">
        <v>0</v>
      </c>
      <c r="W88" s="47" t="n">
        <v>0</v>
      </c>
      <c r="X88" s="47" t="n">
        <v>0</v>
      </c>
      <c r="Y88" s="47" t="n">
        <v>0</v>
      </c>
      <c r="Z88" s="47" t="n">
        <v>0</v>
      </c>
      <c r="AA88" s="47" t="n">
        <v>0</v>
      </c>
      <c r="AB88" s="47" t="n">
        <v>0</v>
      </c>
      <c r="AC88" s="47" t="n">
        <v>0</v>
      </c>
      <c r="AD88" s="47" t="n">
        <v>0</v>
      </c>
      <c r="AE88" s="47" t="n">
        <v>0</v>
      </c>
      <c r="AF88" s="47" t="n">
        <v>0</v>
      </c>
      <c r="AG88" s="47" t="n">
        <v>0</v>
      </c>
      <c r="AH88" s="47" t="n">
        <v>0</v>
      </c>
      <c r="AI88" s="47" t="n">
        <v>0</v>
      </c>
      <c r="AJ88" s="47" t="n">
        <v>0</v>
      </c>
      <c r="AK88" s="47" t="n">
        <v>0</v>
      </c>
      <c r="AL88" s="47" t="n">
        <v>0</v>
      </c>
      <c r="AM88" s="47" t="n">
        <v>0</v>
      </c>
      <c r="AN88" s="47" t="n">
        <v>0</v>
      </c>
      <c r="AO88" s="47" t="n">
        <v>0</v>
      </c>
      <c r="AP88" s="47" t="n">
        <v>0</v>
      </c>
      <c r="AQ88" s="47" t="n">
        <v>0</v>
      </c>
      <c r="AR88" s="47" t="n">
        <v>0</v>
      </c>
      <c r="AS88" s="47" t="n">
        <v>0</v>
      </c>
      <c r="AT88" s="47" t="n">
        <v>0</v>
      </c>
      <c r="AU88" s="47" t="n">
        <v>0</v>
      </c>
      <c r="AV88" s="47" t="n">
        <v>0</v>
      </c>
      <c r="AW88" s="47" t="n">
        <v>0</v>
      </c>
      <c r="AX88" s="47" t="n">
        <v>0</v>
      </c>
      <c r="AY88" s="47" t="n">
        <v>0</v>
      </c>
      <c r="AZ88" s="47" t="n">
        <v>0</v>
      </c>
      <c r="BA88" s="47" t="n">
        <v>0</v>
      </c>
      <c r="BB88" s="47" t="n">
        <v>0</v>
      </c>
      <c r="BC88" s="47" t="n">
        <v>0</v>
      </c>
      <c r="BD88" s="47" t="n">
        <v>0</v>
      </c>
      <c r="BE88" s="47" t="n">
        <v>0</v>
      </c>
      <c r="BF88" s="47" t="n">
        <v>0</v>
      </c>
      <c r="BG88" s="47" t="n">
        <v>0</v>
      </c>
      <c r="BH88" s="47" t="n">
        <v>0</v>
      </c>
      <c r="BI88" s="47" t="n">
        <v>0</v>
      </c>
      <c r="BJ88" s="47" t="n">
        <v>0</v>
      </c>
      <c r="BK88" s="47" t="n">
        <v>0</v>
      </c>
      <c r="BL88" s="47" t="n">
        <v>0</v>
      </c>
      <c r="BM88" s="47" t="n">
        <v>0</v>
      </c>
      <c r="BN88" s="47" t="n">
        <v>0</v>
      </c>
      <c r="BO88" s="47" t="n">
        <v>0</v>
      </c>
      <c r="BP88" s="47" t="n">
        <v>0</v>
      </c>
      <c r="BQ88" s="47" t="n">
        <v>0</v>
      </c>
      <c r="BR88" s="47" t="n">
        <v>0</v>
      </c>
      <c r="BS88" s="47" t="n">
        <v>0</v>
      </c>
      <c r="BT88" s="47" t="n">
        <v>0</v>
      </c>
    </row>
    <row r="89" customFormat="false" ht="15" hidden="false" customHeight="false" outlineLevel="0" collapsed="false">
      <c r="C89" s="41" t="s">
        <v>275</v>
      </c>
      <c r="E89" s="47" t="n">
        <f aca="false">$E$8*Dados_2020!$N$7/SUM(Dados_2020!$N$7:$N$74)</f>
        <v>38.0487979208465</v>
      </c>
      <c r="F89" s="47" t="n">
        <f aca="false">$E$8*Dados_2020!$N$8/SUM(Dados_2020!$N$7:$N$74)</f>
        <v>218.946784484496</v>
      </c>
      <c r="G89" s="47" t="n">
        <f aca="false">$E$8*Dados_2020!$N$9/SUM(Dados_2020!$N$7:$N$74)</f>
        <v>12.4531722675209</v>
      </c>
      <c r="H89" s="47" t="n">
        <f aca="false">$E$8*Dados_2020!$N$10/SUM(Dados_2020!$N$7:$N$74)</f>
        <v>0.145590238116529</v>
      </c>
      <c r="I89" s="47" t="n">
        <f aca="false">$E$8*Dados_2020!$N$11/SUM(Dados_2020!$N$7:$N$74)</f>
        <v>368.619280405771</v>
      </c>
      <c r="J89" s="47" t="n">
        <f aca="false">$E$8*Dados_2020!$N$12/SUM(Dados_2020!$N$7:$N$74)</f>
        <v>16.5735067681868</v>
      </c>
      <c r="K89" s="47" t="n">
        <f aca="false">$E$8*Dados_2020!$N$13/SUM(Dados_2020!$N$7:$N$74)</f>
        <v>0.0783553066779295</v>
      </c>
      <c r="L89" s="47" t="n">
        <f aca="false">$E$8*Dados_2020!$N$14/SUM(Dados_2020!$N$7:$N$74)</f>
        <v>2.36796588926199</v>
      </c>
      <c r="M89" s="47" t="n">
        <f aca="false">$E$8*Dados_2020!$N$15/SUM(Dados_2020!$N$7:$N$74)</f>
        <v>2.19055133072659</v>
      </c>
      <c r="N89" s="47" t="n">
        <f aca="false">$E$8*Dados_2020!$N$16/SUM(Dados_2020!$N$7:$N$74)</f>
        <v>3.1107556120359</v>
      </c>
      <c r="O89" s="47" t="n">
        <f aca="false">$E$8*Dados_2020!$N$17/SUM(Dados_2020!$N$7:$N$74)</f>
        <v>1.44262649221425</v>
      </c>
      <c r="P89" s="47" t="n">
        <f aca="false">$E$8*Dados_2020!$N$18/SUM(Dados_2020!$N$7:$N$74)</f>
        <v>1.11530922257969</v>
      </c>
      <c r="Q89" s="47" t="n">
        <f aca="false">$E$8*Dados_2020!$N$19/SUM(Dados_2020!$N$7:$N$74)</f>
        <v>1.21396029469891</v>
      </c>
      <c r="R89" s="47" t="n">
        <f aca="false">$E$8*Dados_2020!$N$20/SUM(Dados_2020!$N$7:$N$74)</f>
        <v>0.854793096949549</v>
      </c>
      <c r="S89" s="47" t="n">
        <f aca="false">$E$8*Dados_2020!$N$21/SUM(Dados_2020!$N$7:$N$74)</f>
        <v>3.35926706877983</v>
      </c>
      <c r="T89" s="47" t="n">
        <f aca="false">$E$8*Dados_2020!$N$22/SUM(Dados_2020!$N$7:$N$74)</f>
        <v>1.43621758793325</v>
      </c>
      <c r="U89" s="47" t="n">
        <f aca="false">$E$8*Dados_2020!$N$23/SUM(Dados_2020!$N$7:$N$74)</f>
        <v>2.4248642966099</v>
      </c>
      <c r="V89" s="47" t="n">
        <f aca="false">$E$8*Dados_2020!$N$24/SUM(Dados_2020!$N$7:$N$74)</f>
        <v>0.452873415236352</v>
      </c>
      <c r="W89" s="47" t="n">
        <f aca="false">$E$8*Dados_2020!$N$25/SUM(Dados_2020!$N$7:$N$74)</f>
        <v>0.000486867423779057</v>
      </c>
      <c r="X89" s="47" t="n">
        <f aca="false">$E$8*Dados_2020!$N$26/SUM(Dados_2020!$N$7:$N$74)</f>
        <v>0.134773331128774</v>
      </c>
      <c r="Y89" s="47" t="n">
        <f aca="false">$E$8*Dados_2020!$N$27/SUM(Dados_2020!$N$7:$N$74)</f>
        <v>7.78882008454247</v>
      </c>
      <c r="Z89" s="47" t="n">
        <f aca="false">$E$8*Dados_2020!$N$28/SUM(Dados_2020!$N$7:$N$74)</f>
        <v>11.3625620928919</v>
      </c>
      <c r="AA89" s="47" t="n">
        <f aca="false">$E$8*Dados_2020!$N$29/SUM(Dados_2020!$N$7:$N$74)</f>
        <v>5.77347571614328</v>
      </c>
      <c r="AB89" s="47" t="n">
        <f aca="false">$E$8*Dados_2020!$N$30/SUM(Dados_2020!$N$7:$N$74)</f>
        <v>14.0283497169093</v>
      </c>
      <c r="AC89" s="47" t="n">
        <f aca="false">$E$8*Dados_2020!$N$31/SUM(Dados_2020!$N$7:$N$74)</f>
        <v>14.2339212980422</v>
      </c>
      <c r="AD89" s="47" t="n">
        <f aca="false">$E$8*Dados_2020!$N$32/SUM(Dados_2020!$N$7:$N$74)</f>
        <v>7.52280813860514</v>
      </c>
      <c r="AE89" s="47" t="n">
        <f aca="false">$E$8*Dados_2020!$N$33/SUM(Dados_2020!$N$7:$N$74)</f>
        <v>11.3002876979044</v>
      </c>
      <c r="AF89" s="47" t="n">
        <f aca="false">$E$8*Dados_2020!$N$34/SUM(Dados_2020!$N$7:$N$74)</f>
        <v>5.04642772936809</v>
      </c>
      <c r="AG89" s="47" t="n">
        <f aca="false">$E$8*Dados_2020!$N$35/SUM(Dados_2020!$N$7:$N$74)</f>
        <v>107.313823343302</v>
      </c>
      <c r="AH89" s="47" t="n">
        <f aca="false">$E$8*Dados_2020!$N$36/SUM(Dados_2020!$N$7:$N$74)</f>
        <v>335.954759037109</v>
      </c>
      <c r="AI89" s="47" t="n">
        <f aca="false">$E$8*Dados_2020!$N$37/SUM(Dados_2020!$N$7:$N$74)</f>
        <v>210.520146912774</v>
      </c>
      <c r="AJ89" s="47" t="n">
        <f aca="false">$E$8*Dados_2020!$N$38/SUM(Dados_2020!$N$7:$N$74)</f>
        <v>827.262902957861</v>
      </c>
      <c r="AK89" s="47" t="n">
        <f aca="false">$E$8*Dados_2020!$N$39/SUM(Dados_2020!$N$7:$N$74)</f>
        <v>790.435607673984</v>
      </c>
      <c r="AL89" s="47" t="n">
        <f aca="false">$E$8*Dados_2020!$N$40/SUM(Dados_2020!$N$7:$N$74)</f>
        <v>33.0183491990562</v>
      </c>
      <c r="AM89" s="47" t="n">
        <f aca="false">$E$8*Dados_2020!$N$41/SUM(Dados_2020!$N$7:$N$74)</f>
        <v>210.713373836374</v>
      </c>
      <c r="AN89" s="47" t="n">
        <f aca="false">$E$8*Dados_2020!$N$42/SUM(Dados_2020!$N$7:$N$74)</f>
        <v>114.415587753553</v>
      </c>
      <c r="AO89" s="47" t="n">
        <f aca="false">$E$8*Dados_2020!$N$43/SUM(Dados_2020!$N$7:$N$74)</f>
        <v>115.758244903048</v>
      </c>
      <c r="AP89" s="47" t="n">
        <f aca="false">$E$8*Dados_2020!$N$44/SUM(Dados_2020!$N$7:$N$74)</f>
        <v>3.03626813376977</v>
      </c>
      <c r="AQ89" s="47" t="n">
        <f aca="false">$E$8*Dados_2020!$N$45/SUM(Dados_2020!$N$7:$N$74)</f>
        <v>0.313421226711718</v>
      </c>
      <c r="AR89" s="47" t="n">
        <f aca="false">$E$8*Dados_2020!$N$46/SUM(Dados_2020!$N$7:$N$74)</f>
        <v>5218.432144676</v>
      </c>
      <c r="AS89" s="47" t="n">
        <f aca="false">$E$8*Dados_2020!$N$47/SUM(Dados_2020!$N$7:$N$74)</f>
        <v>0.0693538987844378</v>
      </c>
      <c r="AT89" s="47" t="n">
        <f aca="false">$E$8*Dados_2020!$N$48/SUM(Dados_2020!$N$7:$N$74)</f>
        <v>39.0972313576355</v>
      </c>
      <c r="AU89" s="47" t="n">
        <f aca="false">$E$8*Dados_2020!$N$49/SUM(Dados_2020!$N$7:$N$74)</f>
        <v>0.0409254555985744</v>
      </c>
      <c r="AV89" s="47" t="n">
        <f aca="false">$E$8*Dados_2020!$N$50/SUM(Dados_2020!$N$7:$N$74)</f>
        <v>0</v>
      </c>
      <c r="AW89" s="47" t="n">
        <f aca="false">$E$8*Dados_2020!$N$51/SUM(Dados_2020!$N$7:$N$74)</f>
        <v>0</v>
      </c>
      <c r="AX89" s="47" t="n">
        <f aca="false">$E$8*Dados_2020!$N$52/SUM(Dados_2020!$N$7:$N$74)</f>
        <v>0</v>
      </c>
      <c r="AY89" s="47" t="n">
        <f aca="false">$E$8*Dados_2020!$N$53/SUM(Dados_2020!$N$7:$N$74)</f>
        <v>0</v>
      </c>
      <c r="AZ89" s="47" t="n">
        <f aca="false">$E$8*Dados_2020!$N$54/SUM(Dados_2020!$N$7:$N$74)</f>
        <v>0</v>
      </c>
      <c r="BA89" s="47" t="n">
        <f aca="false">$E$8*Dados_2020!$N$55/SUM(Dados_2020!$N$7:$N$74)</f>
        <v>0.205682680029565</v>
      </c>
      <c r="BB89" s="47" t="n">
        <f aca="false">$E$8*Dados_2020!$N$56/SUM(Dados_2020!$N$7:$N$74)</f>
        <v>0</v>
      </c>
      <c r="BC89" s="47" t="n">
        <f aca="false">$E$8*Dados_2020!$N$57/SUM(Dados_2020!$N$7:$N$74)</f>
        <v>4.48584130731147</v>
      </c>
      <c r="BD89" s="47" t="n">
        <f aca="false">$E$8*Dados_2020!$N$58/SUM(Dados_2020!$N$7:$N$74)</f>
        <v>896.132144143563</v>
      </c>
      <c r="BE89" s="47" t="n">
        <f aca="false">$E$8*Dados_2020!$N$59/SUM(Dados_2020!$N$7:$N$74)</f>
        <v>6.47908809161456</v>
      </c>
      <c r="BF89" s="47" t="n">
        <f aca="false">$E$8*Dados_2020!$N$60/SUM(Dados_2020!$N$7:$N$74)</f>
        <v>0</v>
      </c>
      <c r="BG89" s="47" t="n">
        <f aca="false">$E$8*Dados_2020!$N$61/SUM(Dados_2020!$N$7:$N$74)</f>
        <v>0</v>
      </c>
      <c r="BH89" s="47" t="n">
        <f aca="false">$E$8*Dados_2020!$N$62/SUM(Dados_2020!$N$7:$N$74)</f>
        <v>79.2290891552565</v>
      </c>
      <c r="BI89" s="47" t="n">
        <f aca="false">$E$8*Dados_2020!$N$63/SUM(Dados_2020!$N$7:$N$74)</f>
        <v>0</v>
      </c>
      <c r="BJ89" s="47" t="n">
        <f aca="false">$E$8*Dados_2020!$N$64/SUM(Dados_2020!$N$7:$N$74)</f>
        <v>5.77916622112446</v>
      </c>
      <c r="BK89" s="47" t="n">
        <f aca="false">$E$8*Dados_2020!$N$65/SUM(Dados_2020!$N$7:$N$74)</f>
        <v>0.394280213683188</v>
      </c>
      <c r="BL89" s="47" t="n">
        <f aca="false">$E$8*Dados_2020!$N$66/SUM(Dados_2020!$N$7:$N$74)</f>
        <v>0</v>
      </c>
      <c r="BM89" s="47" t="n">
        <f aca="false">$E$8*Dados_2020!$N$67/SUM(Dados_2020!$N$7:$N$74)</f>
        <v>103.094536460662</v>
      </c>
      <c r="BN89" s="47" t="n">
        <f aca="false">$E$8*Dados_2020!$N$68/SUM(Dados_2020!$N$7:$N$74)</f>
        <v>123.6857398982</v>
      </c>
      <c r="BO89" s="47" t="n">
        <f aca="false">$E$8*Dados_2020!$N$69/SUM(Dados_2020!$N$7:$N$74)</f>
        <v>7.5612870944202</v>
      </c>
      <c r="BP89" s="47" t="n">
        <f aca="false">$E$8*Dados_2020!$N$70/SUM(Dados_2020!$N$7:$N$74)</f>
        <v>13.7424186633567</v>
      </c>
      <c r="BQ89" s="47" t="n">
        <f aca="false">$E$8*Dados_2020!$N$71/SUM(Dados_2020!$N$7:$N$74)</f>
        <v>0.215477093364306</v>
      </c>
      <c r="BR89" s="47" t="n">
        <f aca="false">$E$8*Dados_2020!$N$72/SUM(Dados_2020!$N$7:$N$74)</f>
        <v>0</v>
      </c>
      <c r="BS89" s="47" t="n">
        <f aca="false">$E$8*Dados_2020!$N$73/SUM(Dados_2020!$N$7:$N$74)</f>
        <v>0.586524240252795</v>
      </c>
      <c r="BT89" s="47" t="n">
        <f aca="false">$E$8*Dados_2020!$N$74/SUM(Dados_2020!$N$7:$N$74)</f>
        <v>0</v>
      </c>
    </row>
  </sheetData>
  <mergeCells count="7">
    <mergeCell ref="B3:V3"/>
    <mergeCell ref="B6:V6"/>
    <mergeCell ref="B82:V82"/>
    <mergeCell ref="B83:V83"/>
    <mergeCell ref="B84:V84"/>
    <mergeCell ref="B85:V85"/>
    <mergeCell ref="B86:V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D8E1"/>
    <pageSetUpPr fitToPage="false"/>
  </sheetPr>
  <dimension ref="B1:BT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46"/>
    <col collapsed="false" customWidth="true" hidden="false" outlineLevel="0" max="4" min="4" style="0" width="4.4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276</v>
      </c>
    </row>
    <row r="3" customFormat="false" ht="24.75" hidden="false" customHeight="true" outlineLevel="0" collapsed="false">
      <c r="B3" s="15" t="s">
        <v>277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5" customFormat="false" ht="15" hidden="false" customHeight="false" outlineLevel="0" collapsed="false">
      <c r="B5" s="4" t="s">
        <v>237</v>
      </c>
    </row>
    <row r="6" customFormat="false" ht="13.5" hidden="false" customHeight="true" outlineLevel="0" collapsed="false">
      <c r="B6" s="35" t="s">
        <v>278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customFormat="false" ht="13.5" hidden="false" customHeight="true" outlineLevel="0" collapsed="false">
      <c r="B7" s="35" t="s">
        <v>279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9" customFormat="false" ht="15" hidden="false" customHeight="false" outlineLevel="0" collapsed="false">
      <c r="B9" s="39" t="s">
        <v>280</v>
      </c>
    </row>
    <row r="10" customFormat="false" ht="21.75" hidden="false" customHeight="true" outlineLevel="0" collapsed="false">
      <c r="E10" s="18" t="s">
        <v>281</v>
      </c>
      <c r="F10" s="18" t="s">
        <v>282</v>
      </c>
      <c r="G10" s="18" t="s">
        <v>283</v>
      </c>
      <c r="H10" s="18" t="s">
        <v>284</v>
      </c>
      <c r="I10" s="18" t="s">
        <v>285</v>
      </c>
      <c r="J10" s="18" t="s">
        <v>286</v>
      </c>
    </row>
    <row r="11" customFormat="false" ht="15" hidden="false" customHeight="false" outlineLevel="0" collapsed="false">
      <c r="E11" s="40" t="n">
        <v>120000</v>
      </c>
      <c r="F11" s="48" t="n">
        <v>227565.004756171</v>
      </c>
      <c r="G11" s="48" t="n">
        <v>420239.935198581</v>
      </c>
      <c r="H11" s="48" t="n">
        <v>467990.173625337</v>
      </c>
      <c r="I11" s="48" t="n">
        <v>25145.2070110633</v>
      </c>
      <c r="J11" s="49" t="n">
        <f aca="false">SUM(Dados_2020!$M$7:$M$74)+SUM(F11:I11)</f>
        <v>4700085</v>
      </c>
    </row>
    <row r="13" customFormat="false" ht="24" hidden="false" customHeight="true" outlineLevel="0" collapsed="false">
      <c r="B13" s="5" t="s">
        <v>62</v>
      </c>
      <c r="C13" s="5" t="s">
        <v>63</v>
      </c>
      <c r="D13" s="5" t="s">
        <v>64</v>
      </c>
      <c r="E13" s="5" t="s">
        <v>287</v>
      </c>
      <c r="F13" s="5" t="s">
        <v>288</v>
      </c>
      <c r="G13" s="5" t="s">
        <v>289</v>
      </c>
      <c r="H13" s="5" t="s">
        <v>290</v>
      </c>
    </row>
    <row r="14" customFormat="false" ht="15" hidden="false" customHeight="false" outlineLevel="0" collapsed="false">
      <c r="B14" s="14" t="s">
        <v>65</v>
      </c>
      <c r="C14" s="7" t="s">
        <v>66</v>
      </c>
      <c r="D14" s="14" t="n">
        <v>1</v>
      </c>
      <c r="E14" s="42" t="n">
        <f aca="false">E99</f>
        <v>2548.21380728581</v>
      </c>
      <c r="F14" s="42" t="n">
        <f aca="false">SUMPRODUCT(B_2020!E7:BT7,$E$99:$BT$99)</f>
        <v>6946.08757267203</v>
      </c>
      <c r="G14" s="42" t="n">
        <f aca="false">F14*Dados_2020!$T$7</f>
        <v>433.463048898828</v>
      </c>
      <c r="H14" s="43" t="n">
        <f aca="false">F14*Dados_2020!$Q$7</f>
        <v>80174.1570133055</v>
      </c>
    </row>
    <row r="15" customFormat="false" ht="15" hidden="false" customHeight="false" outlineLevel="0" collapsed="false">
      <c r="B15" s="17" t="s">
        <v>67</v>
      </c>
      <c r="C15" s="9" t="s">
        <v>68</v>
      </c>
      <c r="D15" s="17" t="n">
        <v>2</v>
      </c>
      <c r="E15" s="44" t="n">
        <f aca="false">F99</f>
        <v>883.163448577922</v>
      </c>
      <c r="F15" s="44" t="n">
        <f aca="false">SUMPRODUCT(B_2020!E8:BT8,$E$99:$BT$99)</f>
        <v>3572.31727810017</v>
      </c>
      <c r="G15" s="44" t="n">
        <f aca="false">F15*Dados_2020!$T$8</f>
        <v>134.512011701785</v>
      </c>
      <c r="H15" s="45" t="n">
        <f aca="false">F15*Dados_2020!$Q$8</f>
        <v>96686.0500400552</v>
      </c>
    </row>
    <row r="16" customFormat="false" ht="15" hidden="false" customHeight="false" outlineLevel="0" collapsed="false">
      <c r="B16" s="14" t="s">
        <v>69</v>
      </c>
      <c r="C16" s="7" t="s">
        <v>70</v>
      </c>
      <c r="D16" s="14" t="n">
        <v>3</v>
      </c>
      <c r="E16" s="42" t="n">
        <f aca="false">G99</f>
        <v>519.009625765665</v>
      </c>
      <c r="F16" s="42" t="n">
        <f aca="false">SUMPRODUCT(B_2020!E9:BT9,$E$99:$BT$99)</f>
        <v>785.685562681877</v>
      </c>
      <c r="G16" s="42" t="n">
        <f aca="false">F16*Dados_2020!$T$9</f>
        <v>11.9271797134437</v>
      </c>
      <c r="H16" s="43" t="n">
        <f aca="false">F16*Dados_2020!$Q$9</f>
        <v>12882.8413673561</v>
      </c>
    </row>
    <row r="17" customFormat="false" ht="15" hidden="false" customHeight="false" outlineLevel="0" collapsed="false">
      <c r="B17" s="17" t="s">
        <v>71</v>
      </c>
      <c r="C17" s="9" t="s">
        <v>72</v>
      </c>
      <c r="D17" s="17" t="n">
        <v>4</v>
      </c>
      <c r="E17" s="44" t="n">
        <f aca="false">H99</f>
        <v>5.30922235466917</v>
      </c>
      <c r="F17" s="44" t="n">
        <f aca="false">SUMPRODUCT(B_2020!E10:BT10,$E$99:$BT$99)</f>
        <v>169.249506813517</v>
      </c>
      <c r="G17" s="44" t="n">
        <f aca="false">F17*Dados_2020!$T$10</f>
        <v>12.7529389318182</v>
      </c>
      <c r="H17" s="45" t="n">
        <f aca="false">F17*Dados_2020!$Q$10</f>
        <v>764.525803450184</v>
      </c>
    </row>
    <row r="18" customFormat="false" ht="15" hidden="false" customHeight="false" outlineLevel="0" collapsed="false">
      <c r="B18" s="14" t="s">
        <v>73</v>
      </c>
      <c r="C18" s="7" t="s">
        <v>74</v>
      </c>
      <c r="D18" s="14" t="n">
        <v>5</v>
      </c>
      <c r="E18" s="42" t="n">
        <f aca="false">I99</f>
        <v>16.2404043845173</v>
      </c>
      <c r="F18" s="42" t="n">
        <f aca="false">SUMPRODUCT(B_2020!E11:BT11,$E$99:$BT$99)</f>
        <v>2257.72349055615</v>
      </c>
      <c r="G18" s="42" t="n">
        <f aca="false">F18*Dados_2020!$T$11</f>
        <v>288.29450148573</v>
      </c>
      <c r="H18" s="43" t="n">
        <f aca="false">F18*Dados_2020!$Q$11</f>
        <v>490.760931333727</v>
      </c>
    </row>
    <row r="19" customFormat="false" ht="15" hidden="false" customHeight="false" outlineLevel="0" collapsed="false">
      <c r="B19" s="17" t="s">
        <v>75</v>
      </c>
      <c r="C19" s="9" t="s">
        <v>76</v>
      </c>
      <c r="D19" s="17" t="n">
        <v>6</v>
      </c>
      <c r="E19" s="44" t="n">
        <f aca="false">J99</f>
        <v>0.947209754786037</v>
      </c>
      <c r="F19" s="44" t="n">
        <f aca="false">SUMPRODUCT(B_2020!E12:BT12,$E$99:$BT$99)</f>
        <v>269.371731368222</v>
      </c>
      <c r="G19" s="44" t="n">
        <f aca="false">F19*Dados_2020!$T$12</f>
        <v>16.4474141811369</v>
      </c>
      <c r="H19" s="45" t="n">
        <f aca="false">F19*Dados_2020!$Q$12</f>
        <v>47.2701297807313</v>
      </c>
    </row>
    <row r="20" customFormat="false" ht="15" hidden="false" customHeight="false" outlineLevel="0" collapsed="false">
      <c r="B20" s="14" t="s">
        <v>77</v>
      </c>
      <c r="C20" s="7" t="s">
        <v>78</v>
      </c>
      <c r="D20" s="14" t="n">
        <v>7</v>
      </c>
      <c r="E20" s="42" t="n">
        <f aca="false">K99</f>
        <v>0.30335980990775</v>
      </c>
      <c r="F20" s="42" t="n">
        <f aca="false">SUMPRODUCT(B_2020!E13:BT13,$E$99:$BT$99)</f>
        <v>88.0631977853544</v>
      </c>
      <c r="G20" s="42" t="n">
        <f aca="false">F20*Dados_2020!$T$13</f>
        <v>8.06724146976528</v>
      </c>
      <c r="H20" s="43" t="n">
        <f aca="false">F20*Dados_2020!$Q$13</f>
        <v>104.281344997147</v>
      </c>
    </row>
    <row r="21" customFormat="false" ht="15" hidden="false" customHeight="false" outlineLevel="0" collapsed="false">
      <c r="B21" s="17" t="s">
        <v>79</v>
      </c>
      <c r="C21" s="9" t="s">
        <v>80</v>
      </c>
      <c r="D21" s="17" t="n">
        <v>8</v>
      </c>
      <c r="E21" s="44" t="n">
        <f aca="false">L99</f>
        <v>6274.25657546866</v>
      </c>
      <c r="F21" s="44" t="n">
        <f aca="false">SUMPRODUCT(B_2020!E14:BT14,$E$99:$BT$99)</f>
        <v>7727.17934692535</v>
      </c>
      <c r="G21" s="44" t="n">
        <f aca="false">F21*Dados_2020!$T$14</f>
        <v>166.789209697541</v>
      </c>
      <c r="H21" s="45" t="n">
        <f aca="false">F21*Dados_2020!$Q$14</f>
        <v>15881.1615760516</v>
      </c>
    </row>
    <row r="22" customFormat="false" ht="15" hidden="false" customHeight="false" outlineLevel="0" collapsed="false">
      <c r="B22" s="14" t="s">
        <v>81</v>
      </c>
      <c r="C22" s="7" t="s">
        <v>82</v>
      </c>
      <c r="D22" s="14" t="n">
        <v>9</v>
      </c>
      <c r="E22" s="42" t="n">
        <f aca="false">M99</f>
        <v>426.329578364211</v>
      </c>
      <c r="F22" s="42" t="n">
        <f aca="false">SUMPRODUCT(B_2020!E15:BT15,$E$99:$BT$99)</f>
        <v>854.627705341664</v>
      </c>
      <c r="G22" s="42" t="n">
        <f aca="false">F22*Dados_2020!$T$15</f>
        <v>15.9686123809874</v>
      </c>
      <c r="H22" s="43" t="n">
        <f aca="false">F22*Dados_2020!$Q$15</f>
        <v>1562.6241715433</v>
      </c>
    </row>
    <row r="23" customFormat="false" ht="15" hidden="false" customHeight="false" outlineLevel="0" collapsed="false">
      <c r="B23" s="17" t="s">
        <v>83</v>
      </c>
      <c r="C23" s="9" t="s">
        <v>84</v>
      </c>
      <c r="D23" s="17" t="n">
        <v>10</v>
      </c>
      <c r="E23" s="44" t="n">
        <f aca="false">N99</f>
        <v>5236.97656475729</v>
      </c>
      <c r="F23" s="44" t="n">
        <f aca="false">SUMPRODUCT(B_2020!E16:BT16,$E$99:$BT$99)</f>
        <v>7803.19634258817</v>
      </c>
      <c r="G23" s="44" t="n">
        <f aca="false">F23*Dados_2020!$T$16</f>
        <v>375.653763956526</v>
      </c>
      <c r="H23" s="45" t="n">
        <f aca="false">F23*Dados_2020!$Q$16</f>
        <v>24259.731607151</v>
      </c>
    </row>
    <row r="24" customFormat="false" ht="15" hidden="false" customHeight="false" outlineLevel="0" collapsed="false">
      <c r="B24" s="14" t="s">
        <v>85</v>
      </c>
      <c r="C24" s="7" t="s">
        <v>86</v>
      </c>
      <c r="D24" s="14" t="n">
        <v>11</v>
      </c>
      <c r="E24" s="42" t="n">
        <f aca="false">O99</f>
        <v>1409.13013392961</v>
      </c>
      <c r="F24" s="42" t="n">
        <f aca="false">SUMPRODUCT(B_2020!E17:BT17,$E$99:$BT$99)</f>
        <v>2217.40745596617</v>
      </c>
      <c r="G24" s="42" t="n">
        <f aca="false">F24*Dados_2020!$T$17</f>
        <v>103.496364690216</v>
      </c>
      <c r="H24" s="43" t="n">
        <f aca="false">F24*Dados_2020!$Q$17</f>
        <v>4297.18885765822</v>
      </c>
    </row>
    <row r="25" customFormat="false" ht="15" hidden="false" customHeight="false" outlineLevel="0" collapsed="false">
      <c r="B25" s="17" t="s">
        <v>87</v>
      </c>
      <c r="C25" s="9" t="s">
        <v>88</v>
      </c>
      <c r="D25" s="17" t="n">
        <v>12</v>
      </c>
      <c r="E25" s="44" t="n">
        <f aca="false">P99</f>
        <v>346.380563047194</v>
      </c>
      <c r="F25" s="44" t="n">
        <f aca="false">SUMPRODUCT(B_2020!E18:BT18,$E$99:$BT$99)</f>
        <v>361.427719893642</v>
      </c>
      <c r="G25" s="44" t="n">
        <f aca="false">F25*Dados_2020!$T$18</f>
        <v>18.4547652645587</v>
      </c>
      <c r="H25" s="45" t="n">
        <f aca="false">F25*Dados_2020!$Q$18</f>
        <v>352.868636028405</v>
      </c>
    </row>
    <row r="26" customFormat="false" ht="15" hidden="false" customHeight="false" outlineLevel="0" collapsed="false">
      <c r="B26" s="14" t="s">
        <v>89</v>
      </c>
      <c r="C26" s="7" t="s">
        <v>90</v>
      </c>
      <c r="D26" s="14" t="n">
        <v>13</v>
      </c>
      <c r="E26" s="42" t="n">
        <f aca="false">Q99</f>
        <v>507.522049126353</v>
      </c>
      <c r="F26" s="42" t="n">
        <f aca="false">SUMPRODUCT(B_2020!E19:BT19,$E$99:$BT$99)</f>
        <v>1236.20482460092</v>
      </c>
      <c r="G26" s="42" t="n">
        <f aca="false">F26*Dados_2020!$T$19</f>
        <v>129.327973066271</v>
      </c>
      <c r="H26" s="43" t="n">
        <f aca="false">F26*Dados_2020!$Q$19</f>
        <v>12748.2027015184</v>
      </c>
    </row>
    <row r="27" customFormat="false" ht="15" hidden="false" customHeight="false" outlineLevel="0" collapsed="false">
      <c r="B27" s="17" t="s">
        <v>91</v>
      </c>
      <c r="C27" s="9" t="s">
        <v>92</v>
      </c>
      <c r="D27" s="17" t="n">
        <v>14</v>
      </c>
      <c r="E27" s="44" t="n">
        <f aca="false">R99</f>
        <v>1504.63544070172</v>
      </c>
      <c r="F27" s="44" t="n">
        <f aca="false">SUMPRODUCT(B_2020!E20:BT20,$E$99:$BT$99)</f>
        <v>1617.68587479427</v>
      </c>
      <c r="G27" s="44" t="n">
        <f aca="false">F27*Dados_2020!$T$20</f>
        <v>119.120611464531</v>
      </c>
      <c r="H27" s="45" t="n">
        <f aca="false">F27*Dados_2020!$Q$20</f>
        <v>38269.3084894973</v>
      </c>
    </row>
    <row r="28" customFormat="false" ht="15" hidden="false" customHeight="false" outlineLevel="0" collapsed="false">
      <c r="B28" s="14" t="s">
        <v>93</v>
      </c>
      <c r="C28" s="7" t="s">
        <v>94</v>
      </c>
      <c r="D28" s="14" t="n">
        <v>15</v>
      </c>
      <c r="E28" s="42" t="n">
        <f aca="false">S99</f>
        <v>734.72444703577</v>
      </c>
      <c r="F28" s="42" t="n">
        <f aca="false">SUMPRODUCT(B_2020!E21:BT21,$E$99:$BT$99)</f>
        <v>820.775739970483</v>
      </c>
      <c r="G28" s="42" t="n">
        <f aca="false">F28*Dados_2020!$T$21</f>
        <v>54.3462894942958</v>
      </c>
      <c r="H28" s="43" t="n">
        <f aca="false">F28*Dados_2020!$Q$21</f>
        <v>9244.96889909142</v>
      </c>
    </row>
    <row r="29" customFormat="false" ht="15" hidden="false" customHeight="false" outlineLevel="0" collapsed="false">
      <c r="B29" s="17" t="s">
        <v>95</v>
      </c>
      <c r="C29" s="9" t="s">
        <v>96</v>
      </c>
      <c r="D29" s="17" t="n">
        <v>16</v>
      </c>
      <c r="E29" s="44" t="n">
        <f aca="false">T99</f>
        <v>71.649640700026</v>
      </c>
      <c r="F29" s="44" t="n">
        <f aca="false">SUMPRODUCT(B_2020!E22:BT22,$E$99:$BT$99)</f>
        <v>402.578519288927</v>
      </c>
      <c r="G29" s="44" t="n">
        <f aca="false">F29*Dados_2020!$T$22</f>
        <v>18.8001028488924</v>
      </c>
      <c r="H29" s="45" t="n">
        <f aca="false">F29*Dados_2020!$Q$22</f>
        <v>3632.98628123987</v>
      </c>
    </row>
    <row r="30" customFormat="false" ht="15" hidden="false" customHeight="false" outlineLevel="0" collapsed="false">
      <c r="B30" s="14" t="s">
        <v>97</v>
      </c>
      <c r="C30" s="7" t="s">
        <v>98</v>
      </c>
      <c r="D30" s="14" t="n">
        <v>17</v>
      </c>
      <c r="E30" s="42" t="n">
        <f aca="false">U99</f>
        <v>415.671473336966</v>
      </c>
      <c r="F30" s="42" t="n">
        <f aca="false">SUMPRODUCT(B_2020!E23:BT23,$E$99:$BT$99)</f>
        <v>1570.58054422523</v>
      </c>
      <c r="G30" s="42" t="n">
        <f aca="false">F30*Dados_2020!$T$23</f>
        <v>132.80002010749</v>
      </c>
      <c r="H30" s="43" t="n">
        <f aca="false">F30*Dados_2020!$Q$23</f>
        <v>2649.42235806366</v>
      </c>
    </row>
    <row r="31" customFormat="false" ht="15" hidden="false" customHeight="false" outlineLevel="0" collapsed="false">
      <c r="B31" s="17" t="s">
        <v>99</v>
      </c>
      <c r="C31" s="9" t="s">
        <v>100</v>
      </c>
      <c r="D31" s="17" t="n">
        <v>18</v>
      </c>
      <c r="E31" s="44" t="n">
        <f aca="false">V99</f>
        <v>29.4966416578356</v>
      </c>
      <c r="F31" s="44" t="n">
        <f aca="false">SUMPRODUCT(B_2020!E24:BT24,$E$99:$BT$99)</f>
        <v>369.280634034908</v>
      </c>
      <c r="G31" s="44" t="n">
        <f aca="false">F31*Dados_2020!$T$24</f>
        <v>27.6378901267384</v>
      </c>
      <c r="H31" s="45" t="n">
        <f aca="false">F31*Dados_2020!$Q$24</f>
        <v>3135.53817110687</v>
      </c>
    </row>
    <row r="32" customFormat="false" ht="15" hidden="false" customHeight="false" outlineLevel="0" collapsed="false">
      <c r="B32" s="14" t="s">
        <v>101</v>
      </c>
      <c r="C32" s="7" t="s">
        <v>102</v>
      </c>
      <c r="D32" s="14" t="n">
        <v>19</v>
      </c>
      <c r="E32" s="42" t="n">
        <f aca="false">W99</f>
        <v>2873.46218468572</v>
      </c>
      <c r="F32" s="42" t="n">
        <f aca="false">SUMPRODUCT(B_2020!E25:BT25,$E$99:$BT$99)</f>
        <v>8103.51298608734</v>
      </c>
      <c r="G32" s="42" t="n">
        <f aca="false">F32*Dados_2020!$T$25</f>
        <v>717.125027418838</v>
      </c>
      <c r="H32" s="43" t="n">
        <f aca="false">F32*Dados_2020!$Q$25</f>
        <v>405.97675151383</v>
      </c>
    </row>
    <row r="33" customFormat="false" ht="15" hidden="false" customHeight="false" outlineLevel="0" collapsed="false">
      <c r="B33" s="17" t="s">
        <v>103</v>
      </c>
      <c r="C33" s="9" t="s">
        <v>104</v>
      </c>
      <c r="D33" s="17" t="n">
        <v>20</v>
      </c>
      <c r="E33" s="44" t="n">
        <f aca="false">X99</f>
        <v>695.554856287387</v>
      </c>
      <c r="F33" s="44" t="n">
        <f aca="false">SUMPRODUCT(B_2020!E26:BT26,$E$99:$BT$99)</f>
        <v>1341.84207910451</v>
      </c>
      <c r="G33" s="44" t="n">
        <f aca="false">F33*Dados_2020!$T$26</f>
        <v>28.6438197442543</v>
      </c>
      <c r="H33" s="45" t="n">
        <f aca="false">F33*Dados_2020!$Q$26</f>
        <v>2076.18470628353</v>
      </c>
    </row>
    <row r="34" customFormat="false" ht="15" hidden="false" customHeight="false" outlineLevel="0" collapsed="false">
      <c r="B34" s="14" t="s">
        <v>105</v>
      </c>
      <c r="C34" s="7" t="s">
        <v>106</v>
      </c>
      <c r="D34" s="14" t="n">
        <v>21</v>
      </c>
      <c r="E34" s="42" t="n">
        <f aca="false">Y99</f>
        <v>107.724582312615</v>
      </c>
      <c r="F34" s="42" t="n">
        <f aca="false">SUMPRODUCT(B_2020!E27:BT27,$E$99:$BT$99)</f>
        <v>2705.55447956132</v>
      </c>
      <c r="G34" s="42" t="n">
        <f aca="false">F34*Dados_2020!$T$27</f>
        <v>648.888216116418</v>
      </c>
      <c r="H34" s="43" t="n">
        <f aca="false">F34*Dados_2020!$Q$27</f>
        <v>1319.44678182752</v>
      </c>
    </row>
    <row r="35" customFormat="false" ht="15" hidden="false" customHeight="false" outlineLevel="0" collapsed="false">
      <c r="B35" s="17" t="s">
        <v>107</v>
      </c>
      <c r="C35" s="9" t="s">
        <v>108</v>
      </c>
      <c r="D35" s="17" t="n">
        <v>22</v>
      </c>
      <c r="E35" s="44" t="n">
        <f aca="false">Z99</f>
        <v>80.4746062957565</v>
      </c>
      <c r="F35" s="44" t="n">
        <f aca="false">SUMPRODUCT(B_2020!E28:BT28,$E$99:$BT$99)</f>
        <v>1419.88903801247</v>
      </c>
      <c r="G35" s="44" t="n">
        <f aca="false">F35*Dados_2020!$T$28</f>
        <v>297.093550154263</v>
      </c>
      <c r="H35" s="45" t="n">
        <f aca="false">F35*Dados_2020!$Q$28</f>
        <v>1101.60249905276</v>
      </c>
    </row>
    <row r="36" customFormat="false" ht="15" hidden="false" customHeight="false" outlineLevel="0" collapsed="false">
      <c r="B36" s="14" t="s">
        <v>109</v>
      </c>
      <c r="C36" s="7" t="s">
        <v>110</v>
      </c>
      <c r="D36" s="14" t="n">
        <v>23</v>
      </c>
      <c r="E36" s="42" t="n">
        <f aca="false">AA99</f>
        <v>1074.83082523934</v>
      </c>
      <c r="F36" s="42" t="n">
        <f aca="false">SUMPRODUCT(B_2020!E29:BT29,$E$99:$BT$99)</f>
        <v>1323.26880218958</v>
      </c>
      <c r="G36" s="42" t="n">
        <f aca="false">F36*Dados_2020!$T$29</f>
        <v>172.122236922374</v>
      </c>
      <c r="H36" s="43" t="n">
        <f aca="false">F36*Dados_2020!$Q$29</f>
        <v>3077.95313159528</v>
      </c>
    </row>
    <row r="37" customFormat="false" ht="15" hidden="false" customHeight="false" outlineLevel="0" collapsed="false">
      <c r="B37" s="17" t="s">
        <v>111</v>
      </c>
      <c r="C37" s="9" t="s">
        <v>112</v>
      </c>
      <c r="D37" s="17" t="n">
        <v>24</v>
      </c>
      <c r="E37" s="44" t="n">
        <f aca="false">AB99</f>
        <v>1338.70274435047</v>
      </c>
      <c r="F37" s="44" t="n">
        <f aca="false">SUMPRODUCT(B_2020!E30:BT30,$E$99:$BT$99)</f>
        <v>1742.43556306538</v>
      </c>
      <c r="G37" s="44" t="n">
        <f aca="false">F37*Dados_2020!$T$30</f>
        <v>134.042157877844</v>
      </c>
      <c r="H37" s="45" t="n">
        <f aca="false">F37*Dados_2020!$Q$30</f>
        <v>2230.40700545811</v>
      </c>
    </row>
    <row r="38" customFormat="false" ht="15" hidden="false" customHeight="false" outlineLevel="0" collapsed="false">
      <c r="B38" s="14" t="s">
        <v>113</v>
      </c>
      <c r="C38" s="7" t="s">
        <v>114</v>
      </c>
      <c r="D38" s="14" t="n">
        <v>25</v>
      </c>
      <c r="E38" s="42" t="n">
        <f aca="false">AC99</f>
        <v>423.881709542489</v>
      </c>
      <c r="F38" s="42" t="n">
        <f aca="false">SUMPRODUCT(B_2020!E31:BT31,$E$99:$BT$99)</f>
        <v>1938.17264066826</v>
      </c>
      <c r="G38" s="42" t="n">
        <f aca="false">F38*Dados_2020!$T$31</f>
        <v>273.633239695528</v>
      </c>
      <c r="H38" s="43" t="n">
        <f aca="false">F38*Dados_2020!$Q$31</f>
        <v>6087.53823536475</v>
      </c>
    </row>
    <row r="39" customFormat="false" ht="15" hidden="false" customHeight="false" outlineLevel="0" collapsed="false">
      <c r="B39" s="17" t="s">
        <v>115</v>
      </c>
      <c r="C39" s="9" t="s">
        <v>116</v>
      </c>
      <c r="D39" s="17" t="n">
        <v>26</v>
      </c>
      <c r="E39" s="44" t="n">
        <f aca="false">AD99</f>
        <v>99.7873745188553</v>
      </c>
      <c r="F39" s="44" t="n">
        <f aca="false">SUMPRODUCT(B_2020!E32:BT32,$E$99:$BT$99)</f>
        <v>698.728165972715</v>
      </c>
      <c r="G39" s="44" t="n">
        <f aca="false">F39*Dados_2020!$T$32</f>
        <v>48.0633573856842</v>
      </c>
      <c r="H39" s="45" t="n">
        <f aca="false">F39*Dados_2020!$Q$32</f>
        <v>3875.87203700067</v>
      </c>
    </row>
    <row r="40" customFormat="false" ht="15" hidden="false" customHeight="false" outlineLevel="0" collapsed="false">
      <c r="B40" s="14" t="s">
        <v>117</v>
      </c>
      <c r="C40" s="7" t="s">
        <v>118</v>
      </c>
      <c r="D40" s="14" t="n">
        <v>27</v>
      </c>
      <c r="E40" s="42" t="n">
        <f aca="false">AE99</f>
        <v>52.3849063864952</v>
      </c>
      <c r="F40" s="42" t="n">
        <f aca="false">SUMPRODUCT(B_2020!E33:BT33,$E$99:$BT$99)</f>
        <v>1092.86865800484</v>
      </c>
      <c r="G40" s="42" t="n">
        <f aca="false">F40*Dados_2020!$T$33</f>
        <v>111.761660220929</v>
      </c>
      <c r="H40" s="43" t="n">
        <f aca="false">F40*Dados_2020!$Q$33</f>
        <v>861.390178121699</v>
      </c>
    </row>
    <row r="41" customFormat="false" ht="15" hidden="false" customHeight="false" outlineLevel="0" collapsed="false">
      <c r="B41" s="17" t="s">
        <v>119</v>
      </c>
      <c r="C41" s="9" t="s">
        <v>120</v>
      </c>
      <c r="D41" s="17" t="n">
        <v>28</v>
      </c>
      <c r="E41" s="44" t="n">
        <f aca="false">AF99</f>
        <v>54.0667022946466</v>
      </c>
      <c r="F41" s="44" t="n">
        <f aca="false">SUMPRODUCT(B_2020!E34:BT34,$E$99:$BT$99)</f>
        <v>636.401575130637</v>
      </c>
      <c r="G41" s="44" t="n">
        <f aca="false">F41*Dados_2020!$T$34</f>
        <v>67.1855098295206</v>
      </c>
      <c r="H41" s="45" t="n">
        <f aca="false">F41*Dados_2020!$Q$34</f>
        <v>754.013246159852</v>
      </c>
    </row>
    <row r="42" customFormat="false" ht="15" hidden="false" customHeight="false" outlineLevel="0" collapsed="false">
      <c r="B42" s="14" t="s">
        <v>121</v>
      </c>
      <c r="C42" s="7" t="s">
        <v>122</v>
      </c>
      <c r="D42" s="14" t="n">
        <v>29</v>
      </c>
      <c r="E42" s="42" t="n">
        <f aca="false">AG99</f>
        <v>344.359196045852</v>
      </c>
      <c r="F42" s="42" t="n">
        <f aca="false">SUMPRODUCT(B_2020!E35:BT35,$E$99:$BT$99)</f>
        <v>1355.41287745227</v>
      </c>
      <c r="G42" s="42" t="n">
        <f aca="false">F42*Dados_2020!$T$35</f>
        <v>130.719888005294</v>
      </c>
      <c r="H42" s="43" t="n">
        <f aca="false">F42*Dados_2020!$Q$35</f>
        <v>6864.18150419077</v>
      </c>
    </row>
    <row r="43" customFormat="false" ht="15" hidden="false" customHeight="false" outlineLevel="0" collapsed="false">
      <c r="B43" s="17" t="s">
        <v>123</v>
      </c>
      <c r="C43" s="9" t="s">
        <v>124</v>
      </c>
      <c r="D43" s="17" t="n">
        <v>30</v>
      </c>
      <c r="E43" s="44" t="n">
        <f aca="false">AH99</f>
        <v>1130.33122159377</v>
      </c>
      <c r="F43" s="44" t="n">
        <f aca="false">SUMPRODUCT(B_2020!E36:BT36,$E$99:$BT$99)</f>
        <v>1602.96408051334</v>
      </c>
      <c r="G43" s="44" t="n">
        <f aca="false">F43*Dados_2020!$T$36</f>
        <v>544.641964823552</v>
      </c>
      <c r="H43" s="45" t="n">
        <f aca="false">F43*Dados_2020!$Q$36</f>
        <v>1592.62840650242</v>
      </c>
    </row>
    <row r="44" customFormat="false" ht="15" hidden="false" customHeight="false" outlineLevel="0" collapsed="false">
      <c r="B44" s="14" t="s">
        <v>125</v>
      </c>
      <c r="C44" s="7" t="s">
        <v>126</v>
      </c>
      <c r="D44" s="14" t="n">
        <v>31</v>
      </c>
      <c r="E44" s="42" t="n">
        <f aca="false">AI99</f>
        <v>507.608904741908</v>
      </c>
      <c r="F44" s="42" t="n">
        <f aca="false">SUMPRODUCT(B_2020!E37:BT37,$E$99:$BT$99)</f>
        <v>1103.86119600757</v>
      </c>
      <c r="G44" s="42" t="n">
        <f aca="false">F44*Dados_2020!$T$37</f>
        <v>163.18444603862</v>
      </c>
      <c r="H44" s="43" t="n">
        <f aca="false">F44*Dados_2020!$Q$37</f>
        <v>2409.59135849046</v>
      </c>
    </row>
    <row r="45" customFormat="false" ht="15" hidden="false" customHeight="false" outlineLevel="0" collapsed="false">
      <c r="B45" s="17" t="s">
        <v>127</v>
      </c>
      <c r="C45" s="9" t="s">
        <v>128</v>
      </c>
      <c r="D45" s="17" t="n">
        <v>32</v>
      </c>
      <c r="E45" s="44" t="n">
        <f aca="false">AJ99</f>
        <v>130.562960862839</v>
      </c>
      <c r="F45" s="44" t="n">
        <f aca="false">SUMPRODUCT(B_2020!E38:BT38,$E$99:$BT$99)</f>
        <v>521.250101171032</v>
      </c>
      <c r="G45" s="44" t="n">
        <f aca="false">F45*Dados_2020!$T$38</f>
        <v>74.7425349707061</v>
      </c>
      <c r="H45" s="45" t="n">
        <f aca="false">F45*Dados_2020!$Q$38</f>
        <v>1276.5346736812</v>
      </c>
    </row>
    <row r="46" customFormat="false" ht="15" hidden="false" customHeight="false" outlineLevel="0" collapsed="false">
      <c r="B46" s="14" t="s">
        <v>129</v>
      </c>
      <c r="C46" s="7" t="s">
        <v>130</v>
      </c>
      <c r="D46" s="14" t="n">
        <v>33</v>
      </c>
      <c r="E46" s="42" t="n">
        <f aca="false">AK99</f>
        <v>1959.10721363715</v>
      </c>
      <c r="F46" s="42" t="n">
        <f aca="false">SUMPRODUCT(B_2020!E39:BT39,$E$99:$BT$99)</f>
        <v>2097.99228050406</v>
      </c>
      <c r="G46" s="42" t="n">
        <f aca="false">F46*Dados_2020!$T$39</f>
        <v>341.734123383602</v>
      </c>
      <c r="H46" s="43" t="n">
        <f aca="false">F46*Dados_2020!$Q$39</f>
        <v>2001.95477299818</v>
      </c>
    </row>
    <row r="47" customFormat="false" ht="15" hidden="false" customHeight="false" outlineLevel="0" collapsed="false">
      <c r="B47" s="17" t="s">
        <v>131</v>
      </c>
      <c r="C47" s="9" t="s">
        <v>132</v>
      </c>
      <c r="D47" s="17" t="n">
        <v>34</v>
      </c>
      <c r="E47" s="44" t="n">
        <f aca="false">AL99</f>
        <v>37.8246533806173</v>
      </c>
      <c r="F47" s="44" t="n">
        <f aca="false">SUMPRODUCT(B_2020!E40:BT40,$E$99:$BT$99)</f>
        <v>1638.51987166829</v>
      </c>
      <c r="G47" s="44" t="n">
        <f aca="false">F47*Dados_2020!$T$40</f>
        <v>215.506946942903</v>
      </c>
      <c r="H47" s="45" t="n">
        <f aca="false">F47*Dados_2020!$Q$40</f>
        <v>4758.08728445171</v>
      </c>
    </row>
    <row r="48" customFormat="false" ht="15" hidden="false" customHeight="false" outlineLevel="0" collapsed="false">
      <c r="B48" s="14" t="s">
        <v>133</v>
      </c>
      <c r="C48" s="7" t="s">
        <v>134</v>
      </c>
      <c r="D48" s="14" t="n">
        <v>35</v>
      </c>
      <c r="E48" s="42" t="n">
        <f aca="false">AM99</f>
        <v>161.311708609198</v>
      </c>
      <c r="F48" s="42" t="n">
        <f aca="false">SUMPRODUCT(B_2020!E41:BT41,$E$99:$BT$99)</f>
        <v>224.378334087019</v>
      </c>
      <c r="G48" s="42" t="n">
        <f aca="false">F48*Dados_2020!$T$41</f>
        <v>70.749744911411</v>
      </c>
      <c r="H48" s="43" t="n">
        <f aca="false">F48*Dados_2020!$Q$41</f>
        <v>429.330901800064</v>
      </c>
    </row>
    <row r="49" customFormat="false" ht="15" hidden="false" customHeight="false" outlineLevel="0" collapsed="false">
      <c r="B49" s="17" t="s">
        <v>135</v>
      </c>
      <c r="C49" s="9" t="s">
        <v>136</v>
      </c>
      <c r="D49" s="17" t="n">
        <v>36</v>
      </c>
      <c r="E49" s="44" t="n">
        <f aca="false">AN99</f>
        <v>1298.77524445489</v>
      </c>
      <c r="F49" s="44" t="n">
        <f aca="false">SUMPRODUCT(B_2020!E42:BT42,$E$99:$BT$99)</f>
        <v>1657.52600906358</v>
      </c>
      <c r="G49" s="44" t="n">
        <f aca="false">F49*Dados_2020!$T$42</f>
        <v>102.906029922781</v>
      </c>
      <c r="H49" s="45" t="n">
        <f aca="false">F49*Dados_2020!$Q$42</f>
        <v>13835.9475768037</v>
      </c>
    </row>
    <row r="50" customFormat="false" ht="15" hidden="false" customHeight="false" outlineLevel="0" collapsed="false">
      <c r="B50" s="14" t="s">
        <v>137</v>
      </c>
      <c r="C50" s="7" t="s">
        <v>138</v>
      </c>
      <c r="D50" s="14" t="n">
        <v>37</v>
      </c>
      <c r="E50" s="42" t="n">
        <f aca="false">AO99</f>
        <v>17.270332224796</v>
      </c>
      <c r="F50" s="42" t="n">
        <f aca="false">SUMPRODUCT(B_2020!E43:BT43,$E$99:$BT$99)</f>
        <v>959.04019175384</v>
      </c>
      <c r="G50" s="42" t="n">
        <f aca="false">F50*Dados_2020!$T$43</f>
        <v>159.76048122365</v>
      </c>
      <c r="H50" s="43" t="n">
        <f aca="false">F50*Dados_2020!$Q$43</f>
        <v>5791.52322165553</v>
      </c>
    </row>
    <row r="51" customFormat="false" ht="15" hidden="false" customHeight="false" outlineLevel="0" collapsed="false">
      <c r="B51" s="17" t="s">
        <v>139</v>
      </c>
      <c r="C51" s="9" t="s">
        <v>140</v>
      </c>
      <c r="D51" s="17" t="n">
        <v>38</v>
      </c>
      <c r="E51" s="44" t="n">
        <f aca="false">AP99</f>
        <v>3078.82301947796</v>
      </c>
      <c r="F51" s="44" t="n">
        <f aca="false">SUMPRODUCT(B_2020!E44:BT44,$E$99:$BT$99)</f>
        <v>7362.42124460861</v>
      </c>
      <c r="G51" s="44" t="n">
        <f aca="false">F51*Dados_2020!$T$44</f>
        <v>236.585233919263</v>
      </c>
      <c r="H51" s="45" t="n">
        <f aca="false">F51*Dados_2020!$Q$44</f>
        <v>3446.38810820186</v>
      </c>
    </row>
    <row r="52" customFormat="false" ht="15" hidden="false" customHeight="false" outlineLevel="0" collapsed="false">
      <c r="B52" s="14" t="s">
        <v>141</v>
      </c>
      <c r="C52" s="7" t="s">
        <v>142</v>
      </c>
      <c r="D52" s="14" t="n">
        <v>39</v>
      </c>
      <c r="E52" s="42" t="n">
        <f aca="false">AQ99</f>
        <v>1021.46425898261</v>
      </c>
      <c r="F52" s="42" t="n">
        <f aca="false">SUMPRODUCT(B_2020!E45:BT45,$E$99:$BT$99)</f>
        <v>1676.73755612053</v>
      </c>
      <c r="G52" s="42" t="n">
        <f aca="false">F52*Dados_2020!$T$45</f>
        <v>69.5780314872086</v>
      </c>
      <c r="H52" s="43" t="n">
        <f aca="false">F52*Dados_2020!$Q$45</f>
        <v>9947.60978697171</v>
      </c>
    </row>
    <row r="53" customFormat="false" ht="15" hidden="false" customHeight="false" outlineLevel="0" collapsed="false">
      <c r="B53" s="17" t="s">
        <v>143</v>
      </c>
      <c r="C53" s="9" t="s">
        <v>144</v>
      </c>
      <c r="D53" s="17" t="n">
        <v>40</v>
      </c>
      <c r="E53" s="44" t="n">
        <f aca="false">AR99</f>
        <v>45.3736578056329</v>
      </c>
      <c r="F53" s="44" t="n">
        <f aca="false">SUMPRODUCT(B_2020!E46:BT46,$E$99:$BT$99)</f>
        <v>599.635000929074</v>
      </c>
      <c r="G53" s="44" t="n">
        <f aca="false">F53*Dados_2020!$T$46</f>
        <v>29.7448448457228</v>
      </c>
      <c r="H53" s="45" t="n">
        <f aca="false">F53*Dados_2020!$Q$46</f>
        <v>6899.78065410987</v>
      </c>
    </row>
    <row r="54" customFormat="false" ht="15" hidden="false" customHeight="false" outlineLevel="0" collapsed="false">
      <c r="B54" s="14" t="s">
        <v>145</v>
      </c>
      <c r="C54" s="7" t="s">
        <v>146</v>
      </c>
      <c r="D54" s="14" t="n">
        <v>41</v>
      </c>
      <c r="E54" s="42" t="n">
        <f aca="false">AS99</f>
        <v>4375.13914254422</v>
      </c>
      <c r="F54" s="42" t="n">
        <f aca="false">SUMPRODUCT(B_2020!E47:BT47,$E$99:$BT$99)</f>
        <v>5270.41883537795</v>
      </c>
      <c r="G54" s="42" t="n">
        <f aca="false">F54*Dados_2020!$T$47</f>
        <v>339.481924576171</v>
      </c>
      <c r="H54" s="43" t="n">
        <f aca="false">F54*Dados_2020!$Q$47</f>
        <v>82705.1056237784</v>
      </c>
    </row>
    <row r="55" customFormat="false" ht="15" hidden="false" customHeight="false" outlineLevel="0" collapsed="false">
      <c r="B55" s="17" t="s">
        <v>147</v>
      </c>
      <c r="C55" s="9" t="s">
        <v>148</v>
      </c>
      <c r="D55" s="17" t="n">
        <v>42</v>
      </c>
      <c r="E55" s="44" t="n">
        <f aca="false">AT99</f>
        <v>11918.0354672263</v>
      </c>
      <c r="F55" s="44" t="n">
        <f aca="false">SUMPRODUCT(B_2020!E48:BT48,$E$99:$BT$99)</f>
        <v>29796.4722969263</v>
      </c>
      <c r="G55" s="44" t="n">
        <f aca="false">F55*Dados_2020!$T$48</f>
        <v>688.334761368603</v>
      </c>
      <c r="H55" s="45" t="n">
        <f aca="false">F55*Dados_2020!$Q$48</f>
        <v>360238.887242993</v>
      </c>
    </row>
    <row r="56" customFormat="false" ht="15" hidden="false" customHeight="false" outlineLevel="0" collapsed="false">
      <c r="B56" s="14" t="s">
        <v>149</v>
      </c>
      <c r="C56" s="7" t="s">
        <v>150</v>
      </c>
      <c r="D56" s="14" t="n">
        <v>43</v>
      </c>
      <c r="E56" s="42" t="n">
        <f aca="false">AU99</f>
        <v>2254.351097758</v>
      </c>
      <c r="F56" s="42" t="n">
        <f aca="false">SUMPRODUCT(B_2020!E49:BT49,$E$99:$BT$99)</f>
        <v>8503.33960843687</v>
      </c>
      <c r="G56" s="42" t="n">
        <f aca="false">F56*Dados_2020!$T$49</f>
        <v>326.157127355773</v>
      </c>
      <c r="H56" s="43" t="n">
        <f aca="false">F56*Dados_2020!$Q$49</f>
        <v>80907.9481061891</v>
      </c>
    </row>
    <row r="57" customFormat="false" ht="15" hidden="false" customHeight="false" outlineLevel="0" collapsed="false">
      <c r="B57" s="17" t="s">
        <v>151</v>
      </c>
      <c r="C57" s="9" t="s">
        <v>152</v>
      </c>
      <c r="D57" s="17" t="n">
        <v>44</v>
      </c>
      <c r="E57" s="44" t="n">
        <f aca="false">AV99</f>
        <v>83.8405780946683</v>
      </c>
      <c r="F57" s="44" t="n">
        <f aca="false">SUMPRODUCT(B_2020!E50:BT50,$E$99:$BT$99)</f>
        <v>378.237717026684</v>
      </c>
      <c r="G57" s="44" t="n">
        <f aca="false">F57*Dados_2020!$T$50</f>
        <v>27.659189755659</v>
      </c>
      <c r="H57" s="45" t="n">
        <f aca="false">F57*Dados_2020!$Q$50</f>
        <v>610.767720767801</v>
      </c>
    </row>
    <row r="58" customFormat="false" ht="15" hidden="false" customHeight="false" outlineLevel="0" collapsed="false">
      <c r="B58" s="14" t="s">
        <v>153</v>
      </c>
      <c r="C58" s="7" t="s">
        <v>154</v>
      </c>
      <c r="D58" s="14" t="n">
        <v>45</v>
      </c>
      <c r="E58" s="42" t="n">
        <f aca="false">AW99</f>
        <v>142.103156183742</v>
      </c>
      <c r="F58" s="42" t="n">
        <f aca="false">SUMPRODUCT(B_2020!E51:BT51,$E$99:$BT$99)</f>
        <v>368.621341633705</v>
      </c>
      <c r="G58" s="42" t="n">
        <f aca="false">F58*Dados_2020!$T$51</f>
        <v>59.2437890432434</v>
      </c>
      <c r="H58" s="43" t="n">
        <f aca="false">F58*Dados_2020!$Q$51</f>
        <v>772.679367540473</v>
      </c>
    </row>
    <row r="59" customFormat="false" ht="15" hidden="false" customHeight="false" outlineLevel="0" collapsed="false">
      <c r="B59" s="17" t="s">
        <v>155</v>
      </c>
      <c r="C59" s="9" t="s">
        <v>156</v>
      </c>
      <c r="D59" s="17" t="n">
        <v>46</v>
      </c>
      <c r="E59" s="44" t="n">
        <f aca="false">AX99</f>
        <v>744.846343900049</v>
      </c>
      <c r="F59" s="44" t="n">
        <f aca="false">SUMPRODUCT(B_2020!E52:BT52,$E$99:$BT$99)</f>
        <v>2494.76697980258</v>
      </c>
      <c r="G59" s="44" t="n">
        <f aca="false">F59*Dados_2020!$T$52</f>
        <v>99.0681646632659</v>
      </c>
      <c r="H59" s="45" t="n">
        <f aca="false">F59*Dados_2020!$Q$52</f>
        <v>13518.2040410896</v>
      </c>
    </row>
    <row r="60" customFormat="false" ht="15" hidden="false" customHeight="false" outlineLevel="0" collapsed="false">
      <c r="B60" s="14" t="s">
        <v>157</v>
      </c>
      <c r="C60" s="7" t="s">
        <v>158</v>
      </c>
      <c r="D60" s="14" t="n">
        <v>47</v>
      </c>
      <c r="E60" s="42" t="n">
        <f aca="false">AY99</f>
        <v>102.420735066037</v>
      </c>
      <c r="F60" s="42" t="n">
        <f aca="false">SUMPRODUCT(B_2020!E53:BT53,$E$99:$BT$99)</f>
        <v>292.191990608323</v>
      </c>
      <c r="G60" s="42" t="n">
        <f aca="false">F60*Dados_2020!$T$53</f>
        <v>6.22770808478667</v>
      </c>
      <c r="H60" s="43" t="n">
        <f aca="false">F60*Dados_2020!$Q$53</f>
        <v>5164.71423310229</v>
      </c>
    </row>
    <row r="61" customFormat="false" ht="15" hidden="false" customHeight="false" outlineLevel="0" collapsed="false">
      <c r="B61" s="17" t="s">
        <v>159</v>
      </c>
      <c r="C61" s="9" t="s">
        <v>160</v>
      </c>
      <c r="D61" s="17" t="n">
        <v>48</v>
      </c>
      <c r="E61" s="44" t="n">
        <f aca="false">AZ99</f>
        <v>5069.64010209725</v>
      </c>
      <c r="F61" s="44" t="n">
        <f aca="false">SUMPRODUCT(B_2020!E54:BT54,$E$99:$BT$99)</f>
        <v>5489.4602593394</v>
      </c>
      <c r="G61" s="44" t="n">
        <f aca="false">F61*Dados_2020!$T$54</f>
        <v>145.029030665978</v>
      </c>
      <c r="H61" s="45" t="n">
        <f aca="false">F61*Dados_2020!$Q$54</f>
        <v>105608.688072782</v>
      </c>
    </row>
    <row r="62" customFormat="false" ht="15" hidden="false" customHeight="false" outlineLevel="0" collapsed="false">
      <c r="B62" s="14" t="s">
        <v>161</v>
      </c>
      <c r="C62" s="7" t="s">
        <v>162</v>
      </c>
      <c r="D62" s="14" t="n">
        <v>49</v>
      </c>
      <c r="E62" s="42" t="n">
        <f aca="false">BA99</f>
        <v>184.094278305995</v>
      </c>
      <c r="F62" s="42" t="n">
        <f aca="false">SUMPRODUCT(B_2020!E55:BT55,$E$99:$BT$99)</f>
        <v>310.273716367606</v>
      </c>
      <c r="G62" s="42" t="n">
        <f aca="false">F62*Dados_2020!$T$55</f>
        <v>14.1276217329479</v>
      </c>
      <c r="H62" s="43" t="n">
        <f aca="false">F62*Dados_2020!$Q$55</f>
        <v>2567.47404613347</v>
      </c>
    </row>
    <row r="63" customFormat="false" ht="15" hidden="false" customHeight="false" outlineLevel="0" collapsed="false">
      <c r="B63" s="17" t="s">
        <v>163</v>
      </c>
      <c r="C63" s="9" t="s">
        <v>164</v>
      </c>
      <c r="D63" s="17" t="n">
        <v>50</v>
      </c>
      <c r="E63" s="44" t="n">
        <f aca="false">BB99</f>
        <v>21.0132274153418</v>
      </c>
      <c r="F63" s="44" t="n">
        <f aca="false">SUMPRODUCT(B_2020!E56:BT56,$E$99:$BT$99)</f>
        <v>696.731777831446</v>
      </c>
      <c r="G63" s="44" t="n">
        <f aca="false">F63*Dados_2020!$T$56</f>
        <v>32.1985176319919</v>
      </c>
      <c r="H63" s="45" t="n">
        <f aca="false">F63*Dados_2020!$Q$56</f>
        <v>2855.08741043208</v>
      </c>
    </row>
    <row r="64" customFormat="false" ht="15" hidden="false" customHeight="false" outlineLevel="0" collapsed="false">
      <c r="B64" s="14" t="s">
        <v>165</v>
      </c>
      <c r="C64" s="7" t="s">
        <v>166</v>
      </c>
      <c r="D64" s="14" t="n">
        <v>51</v>
      </c>
      <c r="E64" s="42" t="n">
        <f aca="false">BC99</f>
        <v>2649.85837944212</v>
      </c>
      <c r="F64" s="42" t="n">
        <f aca="false">SUMPRODUCT(B_2020!E57:BT57,$E$99:$BT$99)</f>
        <v>3786.26231387977</v>
      </c>
      <c r="G64" s="42" t="n">
        <f aca="false">F64*Dados_2020!$T$57</f>
        <v>131.301852036425</v>
      </c>
      <c r="H64" s="43" t="n">
        <f aca="false">F64*Dados_2020!$Q$57</f>
        <v>6417.3041370264</v>
      </c>
    </row>
    <row r="65" customFormat="false" ht="15" hidden="false" customHeight="false" outlineLevel="0" collapsed="false">
      <c r="B65" s="17" t="s">
        <v>167</v>
      </c>
      <c r="C65" s="9" t="s">
        <v>168</v>
      </c>
      <c r="D65" s="17" t="n">
        <v>52</v>
      </c>
      <c r="E65" s="44" t="n">
        <f aca="false">BD99</f>
        <v>112.265359204953</v>
      </c>
      <c r="F65" s="44" t="n">
        <f aca="false">SUMPRODUCT(B_2020!E58:BT58,$E$99:$BT$99)</f>
        <v>1674.09617926454</v>
      </c>
      <c r="G65" s="44" t="n">
        <f aca="false">F65*Dados_2020!$T$58</f>
        <v>81.3229618606373</v>
      </c>
      <c r="H65" s="45" t="n">
        <f aca="false">F65*Dados_2020!$Q$58</f>
        <v>6560.22371012129</v>
      </c>
    </row>
    <row r="66" customFormat="false" ht="15" hidden="false" customHeight="false" outlineLevel="0" collapsed="false">
      <c r="B66" s="14" t="s">
        <v>169</v>
      </c>
      <c r="C66" s="7" t="s">
        <v>170</v>
      </c>
      <c r="D66" s="14" t="n">
        <v>53</v>
      </c>
      <c r="E66" s="42" t="n">
        <f aca="false">BE99</f>
        <v>8472.33899423746</v>
      </c>
      <c r="F66" s="42" t="n">
        <f aca="false">SUMPRODUCT(B_2020!E59:BT59,$E$99:$BT$99)</f>
        <v>14200.0261360397</v>
      </c>
      <c r="G66" s="42" t="n">
        <f aca="false">F66*Dados_2020!$T$59</f>
        <v>278.237432301183</v>
      </c>
      <c r="H66" s="43" t="n">
        <f aca="false">F66*Dados_2020!$Q$59</f>
        <v>28582.5914187028</v>
      </c>
    </row>
    <row r="67" customFormat="false" ht="15" hidden="false" customHeight="false" outlineLevel="0" collapsed="false">
      <c r="B67" s="17" t="s">
        <v>171</v>
      </c>
      <c r="C67" s="9" t="s">
        <v>172</v>
      </c>
      <c r="D67" s="17" t="n">
        <v>54</v>
      </c>
      <c r="E67" s="44" t="n">
        <f aca="false">BF99</f>
        <v>15467.6864057991</v>
      </c>
      <c r="F67" s="44" t="n">
        <f aca="false">SUMPRODUCT(B_2020!E60:BT60,$E$99:$BT$99)</f>
        <v>17518.3478268376</v>
      </c>
      <c r="G67" s="44" t="n">
        <f aca="false">F67*Dados_2020!$T$60</f>
        <v>77.0829902573424</v>
      </c>
      <c r="H67" s="45" t="n">
        <f aca="false">F67*Dados_2020!$Q$60</f>
        <v>12366.11993054</v>
      </c>
    </row>
    <row r="68" customFormat="false" ht="15" hidden="false" customHeight="false" outlineLevel="0" collapsed="false">
      <c r="B68" s="14" t="s">
        <v>173</v>
      </c>
      <c r="C68" s="7" t="s">
        <v>174</v>
      </c>
      <c r="D68" s="14" t="n">
        <v>55</v>
      </c>
      <c r="E68" s="42" t="n">
        <f aca="false">BG99</f>
        <v>466.865966813425</v>
      </c>
      <c r="F68" s="42" t="n">
        <f aca="false">SUMPRODUCT(B_2020!E61:BT61,$E$99:$BT$99)</f>
        <v>4026.2932190694</v>
      </c>
      <c r="G68" s="42" t="n">
        <f aca="false">F68*Dados_2020!$T$61</f>
        <v>68.2891658222679</v>
      </c>
      <c r="H68" s="43" t="n">
        <f aca="false">F68*Dados_2020!$Q$61</f>
        <v>32455.7473530499</v>
      </c>
    </row>
    <row r="69" customFormat="false" ht="15" hidden="false" customHeight="false" outlineLevel="0" collapsed="false">
      <c r="B69" s="17" t="s">
        <v>175</v>
      </c>
      <c r="C69" s="9" t="s">
        <v>176</v>
      </c>
      <c r="D69" s="17" t="n">
        <v>56</v>
      </c>
      <c r="E69" s="44" t="n">
        <f aca="false">BH99</f>
        <v>28.2685793015531</v>
      </c>
      <c r="F69" s="44" t="n">
        <f aca="false">SUMPRODUCT(B_2020!E62:BT62,$E$99:$BT$99)</f>
        <v>510.523057843272</v>
      </c>
      <c r="G69" s="44" t="n">
        <f aca="false">F69*Dados_2020!$T$62</f>
        <v>24.8496443226958</v>
      </c>
      <c r="H69" s="45" t="n">
        <f aca="false">F69*Dados_2020!$Q$62</f>
        <v>4595.15402594232</v>
      </c>
    </row>
    <row r="70" customFormat="false" ht="15" hidden="false" customHeight="false" outlineLevel="0" collapsed="false">
      <c r="B70" s="14" t="s">
        <v>177</v>
      </c>
      <c r="C70" s="7" t="s">
        <v>178</v>
      </c>
      <c r="D70" s="14" t="n">
        <v>57</v>
      </c>
      <c r="E70" s="42" t="n">
        <f aca="false">BI99</f>
        <v>50.2286862817492</v>
      </c>
      <c r="F70" s="42" t="n">
        <f aca="false">SUMPRODUCT(B_2020!E63:BT63,$E$99:$BT$99)</f>
        <v>2081.48524396434</v>
      </c>
      <c r="G70" s="42" t="n">
        <f aca="false">F70*Dados_2020!$T$63</f>
        <v>65.455593951538</v>
      </c>
      <c r="H70" s="43" t="n">
        <f aca="false">F70*Dados_2020!$Q$63</f>
        <v>12544.5606191217</v>
      </c>
    </row>
    <row r="71" customFormat="false" ht="15" hidden="false" customHeight="false" outlineLevel="0" collapsed="false">
      <c r="B71" s="17" t="s">
        <v>179</v>
      </c>
      <c r="C71" s="9" t="s">
        <v>180</v>
      </c>
      <c r="D71" s="17" t="n">
        <v>58</v>
      </c>
      <c r="E71" s="44" t="n">
        <f aca="false">BJ99</f>
        <v>85.8050963274639</v>
      </c>
      <c r="F71" s="44" t="n">
        <f aca="false">SUMPRODUCT(B_2020!E64:BT64,$E$99:$BT$99)</f>
        <v>857.338012520701</v>
      </c>
      <c r="G71" s="44" t="n">
        <f aca="false">F71*Dados_2020!$T$64</f>
        <v>36.0496399875395</v>
      </c>
      <c r="H71" s="45" t="n">
        <f aca="false">F71*Dados_2020!$Q$64</f>
        <v>4019.44300714593</v>
      </c>
    </row>
    <row r="72" customFormat="false" ht="15" hidden="false" customHeight="false" outlineLevel="0" collapsed="false">
      <c r="B72" s="14" t="s">
        <v>181</v>
      </c>
      <c r="C72" s="7" t="s">
        <v>182</v>
      </c>
      <c r="D72" s="14" t="n">
        <v>59</v>
      </c>
      <c r="E72" s="42" t="n">
        <f aca="false">BK99</f>
        <v>257.514431883172</v>
      </c>
      <c r="F72" s="42" t="n">
        <f aca="false">SUMPRODUCT(B_2020!E65:BT65,$E$99:$BT$99)</f>
        <v>3579.88593085788</v>
      </c>
      <c r="G72" s="42" t="n">
        <f aca="false">F72*Dados_2020!$T$65</f>
        <v>85.5175399396459</v>
      </c>
      <c r="H72" s="43" t="n">
        <f aca="false">F72*Dados_2020!$Q$65</f>
        <v>54897.6210205454</v>
      </c>
    </row>
    <row r="73" customFormat="false" ht="15" hidden="false" customHeight="false" outlineLevel="0" collapsed="false">
      <c r="B73" s="17" t="s">
        <v>183</v>
      </c>
      <c r="C73" s="9" t="s">
        <v>184</v>
      </c>
      <c r="D73" s="17" t="n">
        <v>60</v>
      </c>
      <c r="E73" s="44" t="n">
        <f aca="false">BL99</f>
        <v>13.6855654234234</v>
      </c>
      <c r="F73" s="44" t="n">
        <f aca="false">SUMPRODUCT(B_2020!E66:BT66,$E$99:$BT$99)</f>
        <v>626.967030791496</v>
      </c>
      <c r="G73" s="44" t="n">
        <f aca="false">F73*Dados_2020!$T$66</f>
        <v>10.3928643797463</v>
      </c>
      <c r="H73" s="45" t="n">
        <f aca="false">F73*Dados_2020!$Q$66</f>
        <v>10661.4383873923</v>
      </c>
    </row>
    <row r="74" customFormat="false" ht="15" hidden="false" customHeight="false" outlineLevel="0" collapsed="false">
      <c r="B74" s="14" t="s">
        <v>185</v>
      </c>
      <c r="C74" s="7" t="s">
        <v>186</v>
      </c>
      <c r="D74" s="14" t="n">
        <v>61</v>
      </c>
      <c r="E74" s="42" t="n">
        <f aca="false">BM99</f>
        <v>366.925315367044</v>
      </c>
      <c r="F74" s="42" t="n">
        <f aca="false">SUMPRODUCT(B_2020!E67:BT67,$E$99:$BT$99)</f>
        <v>780.724337889796</v>
      </c>
      <c r="G74" s="42" t="n">
        <f aca="false">F74*Dados_2020!$T$67</f>
        <v>12.9454944771817</v>
      </c>
      <c r="H74" s="43" t="n">
        <f aca="false">F74*Dados_2020!$Q$67</f>
        <v>4250.76778699344</v>
      </c>
    </row>
    <row r="75" customFormat="false" ht="15" hidden="false" customHeight="false" outlineLevel="0" collapsed="false">
      <c r="B75" s="17" t="s">
        <v>187</v>
      </c>
      <c r="C75" s="9" t="s">
        <v>188</v>
      </c>
      <c r="D75" s="17" t="n">
        <v>62</v>
      </c>
      <c r="E75" s="44" t="n">
        <f aca="false">BN99</f>
        <v>22.5573471795122</v>
      </c>
      <c r="F75" s="44" t="n">
        <f aca="false">SUMPRODUCT(B_2020!E68:BT68,$E$99:$BT$99)</f>
        <v>40.4356622715736</v>
      </c>
      <c r="G75" s="44" t="n">
        <f aca="false">F75*Dados_2020!$T$68</f>
        <v>0.449369858995593</v>
      </c>
      <c r="H75" s="45" t="n">
        <f aca="false">F75*Dados_2020!$Q$68</f>
        <v>471.695243389925</v>
      </c>
    </row>
    <row r="76" customFormat="false" ht="15" hidden="false" customHeight="false" outlineLevel="0" collapsed="false">
      <c r="B76" s="14" t="s">
        <v>189</v>
      </c>
      <c r="C76" s="7" t="s">
        <v>190</v>
      </c>
      <c r="D76" s="14" t="n">
        <v>63</v>
      </c>
      <c r="E76" s="42" t="n">
        <f aca="false">BO99</f>
        <v>3103.12444740206</v>
      </c>
      <c r="F76" s="42" t="n">
        <f aca="false">SUMPRODUCT(B_2020!E69:BT69,$E$99:$BT$99)</f>
        <v>3379.88989345916</v>
      </c>
      <c r="G76" s="42" t="n">
        <f aca="false">F76*Dados_2020!$T$69</f>
        <v>80.5137895801706</v>
      </c>
      <c r="H76" s="43" t="n">
        <f aca="false">F76*Dados_2020!$Q$69</f>
        <v>62995.8571294954</v>
      </c>
    </row>
    <row r="77" customFormat="false" ht="15" hidden="false" customHeight="false" outlineLevel="0" collapsed="false">
      <c r="B77" s="17" t="s">
        <v>191</v>
      </c>
      <c r="C77" s="9" t="s">
        <v>192</v>
      </c>
      <c r="D77" s="17" t="n">
        <v>64</v>
      </c>
      <c r="E77" s="44" t="n">
        <f aca="false">BP99</f>
        <v>48.6223367032063</v>
      </c>
      <c r="F77" s="44" t="n">
        <f aca="false">SUMPRODUCT(B_2020!E70:BT70,$E$99:$BT$99)</f>
        <v>56.7325387680699</v>
      </c>
      <c r="G77" s="44" t="n">
        <f aca="false">F77*Dados_2020!$T$70</f>
        <v>2.30754886910169</v>
      </c>
      <c r="H77" s="45" t="n">
        <f aca="false">F77*Dados_2020!$Q$70</f>
        <v>553.771103535197</v>
      </c>
    </row>
    <row r="78" customFormat="false" ht="15" hidden="false" customHeight="false" outlineLevel="0" collapsed="false">
      <c r="B78" s="14" t="s">
        <v>193</v>
      </c>
      <c r="C78" s="7" t="s">
        <v>194</v>
      </c>
      <c r="D78" s="14" t="n">
        <v>65</v>
      </c>
      <c r="E78" s="42" t="n">
        <f aca="false">BQ99</f>
        <v>5516.47645710852</v>
      </c>
      <c r="F78" s="42" t="n">
        <f aca="false">SUMPRODUCT(B_2020!E71:BT71,$E$99:$BT$99)</f>
        <v>6299.34493466714</v>
      </c>
      <c r="G78" s="42" t="n">
        <f aca="false">F78*Dados_2020!$T$71</f>
        <v>249.438128240841</v>
      </c>
      <c r="H78" s="43" t="n">
        <f aca="false">F78*Dados_2020!$Q$71</f>
        <v>69736.4886527251</v>
      </c>
    </row>
    <row r="79" customFormat="false" ht="15" hidden="false" customHeight="false" outlineLevel="0" collapsed="false">
      <c r="B79" s="17" t="s">
        <v>195</v>
      </c>
      <c r="C79" s="9" t="s">
        <v>196</v>
      </c>
      <c r="D79" s="17" t="n">
        <v>66</v>
      </c>
      <c r="E79" s="44" t="n">
        <f aca="false">BR99</f>
        <v>605.165668413113</v>
      </c>
      <c r="F79" s="44" t="n">
        <f aca="false">SUMPRODUCT(B_2020!E72:BT72,$E$99:$BT$99)</f>
        <v>722.389278331327</v>
      </c>
      <c r="G79" s="44" t="n">
        <f aca="false">F79*Dados_2020!$T$72</f>
        <v>20.6242539068375</v>
      </c>
      <c r="H79" s="45" t="n">
        <f aca="false">F79*Dados_2020!$Q$72</f>
        <v>17628.2026565508</v>
      </c>
    </row>
    <row r="80" customFormat="false" ht="15" hidden="false" customHeight="false" outlineLevel="0" collapsed="false">
      <c r="B80" s="14" t="s">
        <v>197</v>
      </c>
      <c r="C80" s="7" t="s">
        <v>198</v>
      </c>
      <c r="D80" s="14" t="n">
        <v>67</v>
      </c>
      <c r="E80" s="42" t="n">
        <f aca="false">BS99</f>
        <v>2315.62466206157</v>
      </c>
      <c r="F80" s="42" t="n">
        <f aca="false">SUMPRODUCT(B_2020!E73:BT73,$E$99:$BT$99)</f>
        <v>2814.11939754716</v>
      </c>
      <c r="G80" s="42" t="n">
        <f aca="false">F80*Dados_2020!$T$73</f>
        <v>115.968765621289</v>
      </c>
      <c r="H80" s="43" t="n">
        <f aca="false">F80*Dados_2020!$Q$73</f>
        <v>67880.1501713826</v>
      </c>
    </row>
    <row r="81" customFormat="false" ht="15" hidden="false" customHeight="false" outlineLevel="0" collapsed="false">
      <c r="B81" s="17" t="s">
        <v>199</v>
      </c>
      <c r="C81" s="9" t="s">
        <v>200</v>
      </c>
      <c r="D81" s="17" t="n">
        <v>68</v>
      </c>
      <c r="E81" s="44" t="n">
        <f aca="false">BT99</f>
        <v>1518.45764491493</v>
      </c>
      <c r="F81" s="44" t="n">
        <f aca="false">SUMPRODUCT(B_2020!E74:BT74,$E$99:$BT$99)</f>
        <v>1518.45764491493</v>
      </c>
      <c r="G81" s="44" t="n">
        <f aca="false">F81*Dados_2020!$T$74</f>
        <v>0</v>
      </c>
      <c r="H81" s="45" t="n">
        <f aca="false">F81*Dados_2020!$Q$74</f>
        <v>140904.183647743</v>
      </c>
    </row>
    <row r="82" customFormat="false" ht="15" hidden="false" customHeight="false" outlineLevel="0" collapsed="false">
      <c r="B82" s="29"/>
      <c r="C82" s="30" t="s">
        <v>219</v>
      </c>
      <c r="D82" s="29"/>
      <c r="E82" s="46" t="n">
        <f aca="false">SUM(E14:E81)</f>
        <v>103460.598522246</v>
      </c>
      <c r="F82" s="46" t="n">
        <f aca="false">SUM(F14:F81)</f>
        <v>198945.688941552</v>
      </c>
      <c r="G82" s="46" t="n">
        <f aca="false">SUM(G14:G81)</f>
        <v>9784.54785561278</v>
      </c>
      <c r="H82" s="46" t="n">
        <f aca="false">SUM(H14:H81)</f>
        <v>1580698.70706768</v>
      </c>
    </row>
    <row r="84" customFormat="false" ht="15" hidden="false" customHeight="false" outlineLevel="0" collapsed="false">
      <c r="B84" s="4" t="s">
        <v>291</v>
      </c>
    </row>
    <row r="85" customFormat="false" ht="15" hidden="false" customHeight="false" outlineLevel="0" collapsed="false">
      <c r="B85" s="50" t="s">
        <v>292</v>
      </c>
      <c r="C85" s="50"/>
      <c r="D85" s="50"/>
      <c r="E85" s="50"/>
      <c r="F85" s="51" t="n">
        <f aca="false">$E$11*$F$11/$J$11</f>
        <v>5810.06525855183</v>
      </c>
    </row>
    <row r="86" customFormat="false" ht="15" hidden="false" customHeight="false" outlineLevel="0" collapsed="false">
      <c r="B86" s="50" t="s">
        <v>293</v>
      </c>
      <c r="C86" s="50"/>
      <c r="D86" s="50"/>
      <c r="E86" s="50"/>
      <c r="F86" s="51" t="n">
        <f aca="false">G82</f>
        <v>9784.54785561278</v>
      </c>
    </row>
    <row r="87" customFormat="false" ht="15" hidden="false" customHeight="false" outlineLevel="0" collapsed="false">
      <c r="B87" s="30" t="s">
        <v>294</v>
      </c>
      <c r="C87" s="30"/>
      <c r="D87" s="30"/>
      <c r="E87" s="30"/>
      <c r="F87" s="46" t="n">
        <f aca="false">F85+F86</f>
        <v>15594.6131141646</v>
      </c>
    </row>
    <row r="88" customFormat="false" ht="15" hidden="false" customHeight="false" outlineLevel="0" collapsed="false">
      <c r="B88" s="50" t="s">
        <v>295</v>
      </c>
      <c r="C88" s="50"/>
      <c r="D88" s="50"/>
      <c r="E88" s="50"/>
      <c r="F88" s="51" t="n">
        <f aca="false">$E$11*$G$11/$J$11</f>
        <v>10729.3362192024</v>
      </c>
    </row>
    <row r="89" customFormat="false" ht="15" hidden="false" customHeight="false" outlineLevel="0" collapsed="false">
      <c r="B89" s="30" t="s">
        <v>296</v>
      </c>
      <c r="C89" s="30"/>
      <c r="D89" s="30"/>
      <c r="E89" s="30"/>
      <c r="F89" s="46" t="n">
        <f aca="false">H82</f>
        <v>1580698.70706768</v>
      </c>
    </row>
    <row r="91" customFormat="false" ht="15" hidden="false" customHeight="false" outlineLevel="0" collapsed="false">
      <c r="B91" s="4" t="s">
        <v>254</v>
      </c>
    </row>
    <row r="92" customFormat="false" ht="27" hidden="false" customHeight="true" outlineLevel="0" collapsed="false">
      <c r="B92" s="38" t="s">
        <v>297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customFormat="false" ht="13.5" hidden="false" customHeight="true" outlineLevel="0" collapsed="false">
      <c r="B93" s="38" t="s">
        <v>298</v>
      </c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customFormat="false" ht="13.5" hidden="false" customHeight="true" outlineLevel="0" collapsed="false">
      <c r="B94" s="38" t="s">
        <v>299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customFormat="false" ht="13.5" hidden="false" customHeight="true" outlineLevel="0" collapsed="false">
      <c r="B95" s="38" t="s">
        <v>300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9" customFormat="false" ht="15" hidden="false" customHeight="false" outlineLevel="0" collapsed="false">
      <c r="C99" s="41" t="s">
        <v>301</v>
      </c>
      <c r="E99" s="47" t="n">
        <f aca="false">$E$11*(Dados_2020!$M$7)/$J$11</f>
        <v>2548.21380728581</v>
      </c>
      <c r="F99" s="47" t="n">
        <f aca="false">$E$11*(Dados_2020!$M$8)/$J$11</f>
        <v>883.163448577922</v>
      </c>
      <c r="G99" s="47" t="n">
        <f aca="false">$E$11*(Dados_2020!$M$9)/$J$11</f>
        <v>519.009625765665</v>
      </c>
      <c r="H99" s="47" t="n">
        <f aca="false">$E$11*(Dados_2020!$M$10)/$J$11</f>
        <v>5.30922235466917</v>
      </c>
      <c r="I99" s="47" t="n">
        <f aca="false">$E$11*(Dados_2020!$M$11)/$J$11</f>
        <v>16.2404043845173</v>
      </c>
      <c r="J99" s="47" t="n">
        <f aca="false">$E$11*(Dados_2020!$M$12)/$J$11</f>
        <v>0.947209754786037</v>
      </c>
      <c r="K99" s="47" t="n">
        <f aca="false">$E$11*(Dados_2020!$M$13)/$J$11</f>
        <v>0.30335980990775</v>
      </c>
      <c r="L99" s="47" t="n">
        <f aca="false">$E$11*(Dados_2020!$M$14)/$J$11</f>
        <v>6274.25657546866</v>
      </c>
      <c r="M99" s="47" t="n">
        <f aca="false">$E$11*(Dados_2020!$M$15)/$J$11</f>
        <v>426.329578364211</v>
      </c>
      <c r="N99" s="47" t="n">
        <f aca="false">$E$11*(Dados_2020!$M$16)/$J$11</f>
        <v>5236.97656475729</v>
      </c>
      <c r="O99" s="47" t="n">
        <f aca="false">$E$11*(Dados_2020!$M$17)/$J$11</f>
        <v>1409.13013392961</v>
      </c>
      <c r="P99" s="47" t="n">
        <f aca="false">$E$11*(Dados_2020!$M$18)/$J$11</f>
        <v>346.380563047194</v>
      </c>
      <c r="Q99" s="47" t="n">
        <f aca="false">$E$11*(Dados_2020!$M$19)/$J$11</f>
        <v>507.522049126353</v>
      </c>
      <c r="R99" s="47" t="n">
        <f aca="false">$E$11*(Dados_2020!$M$20)/$J$11</f>
        <v>1504.63544070172</v>
      </c>
      <c r="S99" s="47" t="n">
        <f aca="false">$E$11*(Dados_2020!$M$21)/$J$11</f>
        <v>734.72444703577</v>
      </c>
      <c r="T99" s="47" t="n">
        <f aca="false">$E$11*(Dados_2020!$M$22)/$J$11</f>
        <v>71.649640700026</v>
      </c>
      <c r="U99" s="47" t="n">
        <f aca="false">$E$11*(Dados_2020!$M$23)/$J$11</f>
        <v>415.671473336966</v>
      </c>
      <c r="V99" s="47" t="n">
        <f aca="false">$E$11*(Dados_2020!$M$24)/$J$11</f>
        <v>29.4966416578356</v>
      </c>
      <c r="W99" s="47" t="n">
        <f aca="false">$E$11*(Dados_2020!$M$25)/$J$11</f>
        <v>2873.46218468572</v>
      </c>
      <c r="X99" s="47" t="n">
        <f aca="false">$E$11*(Dados_2020!$M$26)/$J$11</f>
        <v>695.554856287387</v>
      </c>
      <c r="Y99" s="47" t="n">
        <f aca="false">$E$11*(Dados_2020!$M$27)/$J$11</f>
        <v>107.724582312615</v>
      </c>
      <c r="Z99" s="47" t="n">
        <f aca="false">$E$11*(Dados_2020!$M$28)/$J$11</f>
        <v>80.4746062957565</v>
      </c>
      <c r="AA99" s="47" t="n">
        <f aca="false">$E$11*(Dados_2020!$M$29)/$J$11</f>
        <v>1074.83082523934</v>
      </c>
      <c r="AB99" s="47" t="n">
        <f aca="false">$E$11*(Dados_2020!$M$30)/$J$11</f>
        <v>1338.70274435047</v>
      </c>
      <c r="AC99" s="47" t="n">
        <f aca="false">$E$11*(Dados_2020!$M$31)/$J$11</f>
        <v>423.881709542489</v>
      </c>
      <c r="AD99" s="47" t="n">
        <f aca="false">$E$11*(Dados_2020!$M$32)/$J$11</f>
        <v>99.7873745188553</v>
      </c>
      <c r="AE99" s="47" t="n">
        <f aca="false">$E$11*(Dados_2020!$M$33)/$J$11</f>
        <v>52.3849063864952</v>
      </c>
      <c r="AF99" s="47" t="n">
        <f aca="false">$E$11*(Dados_2020!$M$34)/$J$11</f>
        <v>54.0667022946466</v>
      </c>
      <c r="AG99" s="47" t="n">
        <f aca="false">$E$11*(Dados_2020!$M$35)/$J$11</f>
        <v>344.359196045852</v>
      </c>
      <c r="AH99" s="47" t="n">
        <f aca="false">$E$11*(Dados_2020!$M$36)/$J$11</f>
        <v>1130.33122159377</v>
      </c>
      <c r="AI99" s="47" t="n">
        <f aca="false">$E$11*(Dados_2020!$M$37)/$J$11</f>
        <v>507.608904741908</v>
      </c>
      <c r="AJ99" s="47" t="n">
        <f aca="false">$E$11*(Dados_2020!$M$38)/$J$11</f>
        <v>130.562960862839</v>
      </c>
      <c r="AK99" s="47" t="n">
        <f aca="false">$E$11*(Dados_2020!$M$39)/$J$11</f>
        <v>1959.10721363715</v>
      </c>
      <c r="AL99" s="47" t="n">
        <f aca="false">$E$11*(Dados_2020!$M$40)/$J$11</f>
        <v>37.8246533806173</v>
      </c>
      <c r="AM99" s="47" t="n">
        <f aca="false">$E$11*(Dados_2020!$M$41)/$J$11</f>
        <v>161.311708609198</v>
      </c>
      <c r="AN99" s="47" t="n">
        <f aca="false">$E$11*(Dados_2020!$M$42)/$J$11</f>
        <v>1298.77524445489</v>
      </c>
      <c r="AO99" s="47" t="n">
        <f aca="false">$E$11*(Dados_2020!$M$43)/$J$11</f>
        <v>17.270332224796</v>
      </c>
      <c r="AP99" s="47" t="n">
        <f aca="false">$E$11*(Dados_2020!$M$44)/$J$11</f>
        <v>3078.82301947796</v>
      </c>
      <c r="AQ99" s="47" t="n">
        <f aca="false">$E$11*(Dados_2020!$M$45)/$J$11</f>
        <v>1021.46425898261</v>
      </c>
      <c r="AR99" s="47" t="n">
        <f aca="false">$E$11*(Dados_2020!$M$46)/$J$11</f>
        <v>45.3736578056329</v>
      </c>
      <c r="AS99" s="47" t="n">
        <f aca="false">$E$11*(Dados_2020!$M$47+$H$11*Dados_2020!$E$47/(Dados_2020!$E$47+Dados_2020!$E$48))/$J$11</f>
        <v>4375.13914254422</v>
      </c>
      <c r="AT99" s="47" t="n">
        <f aca="false">$E$11*(Dados_2020!$M$48+$H$11*Dados_2020!$E$48/(Dados_2020!$E$47+Dados_2020!$E$48))/$J$11</f>
        <v>11918.0354672263</v>
      </c>
      <c r="AU99" s="47" t="n">
        <f aca="false">$E$11*(Dados_2020!$M$49+$I$11*Dados_2020!$E$49/(Dados_2020!$E$49+Dados_2020!$E$50+Dados_2020!$E$51))/$J$11</f>
        <v>2254.351097758</v>
      </c>
      <c r="AV99" s="47" t="n">
        <f aca="false">$E$11*(Dados_2020!$M$50+$I$11*Dados_2020!$E$50/(Dados_2020!$E$49+Dados_2020!$E$50+Dados_2020!$E$51))/$J$11</f>
        <v>83.8405780946683</v>
      </c>
      <c r="AW99" s="47" t="n">
        <f aca="false">$E$11*(Dados_2020!$M$51+$I$11*Dados_2020!$E$51/(Dados_2020!$E$49+Dados_2020!$E$50+Dados_2020!$E$51))/$J$11</f>
        <v>142.103156183742</v>
      </c>
      <c r="AX99" s="47" t="n">
        <f aca="false">$E$11*(Dados_2020!$M$52)/$J$11</f>
        <v>744.846343900049</v>
      </c>
      <c r="AY99" s="47" t="n">
        <f aca="false">$E$11*(Dados_2020!$M$53)/$J$11</f>
        <v>102.420735066037</v>
      </c>
      <c r="AZ99" s="47" t="n">
        <f aca="false">$E$11*(Dados_2020!$M$54)/$J$11</f>
        <v>5069.64010209725</v>
      </c>
      <c r="BA99" s="47" t="n">
        <f aca="false">$E$11*(Dados_2020!$M$55)/$J$11</f>
        <v>184.094278305995</v>
      </c>
      <c r="BB99" s="47" t="n">
        <f aca="false">$E$11*(Dados_2020!$M$56)/$J$11</f>
        <v>21.0132274153418</v>
      </c>
      <c r="BC99" s="47" t="n">
        <f aca="false">$E$11*(Dados_2020!$M$57)/$J$11</f>
        <v>2649.85837944212</v>
      </c>
      <c r="BD99" s="47" t="n">
        <f aca="false">$E$11*(Dados_2020!$M$58)/$J$11</f>
        <v>112.265359204953</v>
      </c>
      <c r="BE99" s="47" t="n">
        <f aca="false">$E$11*(Dados_2020!$M$59)/$J$11</f>
        <v>8472.33899423746</v>
      </c>
      <c r="BF99" s="47" t="n">
        <f aca="false">$E$11*(Dados_2020!$M$60)/$J$11</f>
        <v>15467.6864057991</v>
      </c>
      <c r="BG99" s="47" t="n">
        <f aca="false">$E$11*(Dados_2020!$M$61)/$J$11</f>
        <v>466.865966813425</v>
      </c>
      <c r="BH99" s="47" t="n">
        <f aca="false">$E$11*(Dados_2020!$M$62)/$J$11</f>
        <v>28.2685793015531</v>
      </c>
      <c r="BI99" s="47" t="n">
        <f aca="false">$E$11*(Dados_2020!$M$63)/$J$11</f>
        <v>50.2286862817492</v>
      </c>
      <c r="BJ99" s="47" t="n">
        <f aca="false">$E$11*(Dados_2020!$M$64)/$J$11</f>
        <v>85.8050963274639</v>
      </c>
      <c r="BK99" s="47" t="n">
        <f aca="false">$E$11*(Dados_2020!$M$65)/$J$11</f>
        <v>257.514431883172</v>
      </c>
      <c r="BL99" s="47" t="n">
        <f aca="false">$E$11*(Dados_2020!$M$66)/$J$11</f>
        <v>13.6855654234234</v>
      </c>
      <c r="BM99" s="47" t="n">
        <f aca="false">$E$11*(Dados_2020!$M$67)/$J$11</f>
        <v>366.925315367044</v>
      </c>
      <c r="BN99" s="47" t="n">
        <f aca="false">$E$11*(Dados_2020!$M$68)/$J$11</f>
        <v>22.5573471795122</v>
      </c>
      <c r="BO99" s="47" t="n">
        <f aca="false">$E$11*(Dados_2020!$M$69)/$J$11</f>
        <v>3103.12444740206</v>
      </c>
      <c r="BP99" s="47" t="n">
        <f aca="false">$E$11*(Dados_2020!$M$70)/$J$11</f>
        <v>48.6223367032063</v>
      </c>
      <c r="BQ99" s="47" t="n">
        <f aca="false">$E$11*(Dados_2020!$M$71)/$J$11</f>
        <v>5516.47645710852</v>
      </c>
      <c r="BR99" s="47" t="n">
        <f aca="false">$E$11*(Dados_2020!$M$72)/$J$11</f>
        <v>605.165668413113</v>
      </c>
      <c r="BS99" s="47" t="n">
        <f aca="false">$E$11*(Dados_2020!$M$73)/$J$11</f>
        <v>2315.62466206157</v>
      </c>
      <c r="BT99" s="47" t="n">
        <f aca="false">$E$11*(Dados_2020!$M$74)/$J$11</f>
        <v>1518.45764491493</v>
      </c>
    </row>
  </sheetData>
  <mergeCells count="12">
    <mergeCell ref="B3:V3"/>
    <mergeCell ref="B6:V6"/>
    <mergeCell ref="B7:V7"/>
    <mergeCell ref="B85:E85"/>
    <mergeCell ref="B86:E86"/>
    <mergeCell ref="B87:E87"/>
    <mergeCell ref="B88:E88"/>
    <mergeCell ref="B89:E89"/>
    <mergeCell ref="B92:V92"/>
    <mergeCell ref="B93:V93"/>
    <mergeCell ref="B94:V94"/>
    <mergeCell ref="B95:V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D8E1"/>
    <pageSetUpPr fitToPage="false"/>
  </sheetPr>
  <dimension ref="B1:V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46"/>
    <col collapsed="false" customWidth="true" hidden="false" outlineLevel="0" max="4" min="4" style="0" width="4.4"/>
    <col collapsed="false" customWidth="true" hidden="false" outlineLevel="0" max="13" min="5" style="0" width="10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302</v>
      </c>
    </row>
    <row r="3" customFormat="false" ht="24.75" hidden="false" customHeight="true" outlineLevel="0" collapsed="false">
      <c r="B3" s="15" t="s">
        <v>303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5" customFormat="false" ht="15" hidden="false" customHeight="false" outlineLevel="0" collapsed="false">
      <c r="B5" s="4" t="s">
        <v>237</v>
      </c>
    </row>
    <row r="6" customFormat="false" ht="13.5" hidden="false" customHeight="true" outlineLevel="0" collapsed="false">
      <c r="B6" s="35" t="s">
        <v>304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customFormat="false" ht="13.5" hidden="false" customHeight="true" outlineLevel="0" collapsed="false">
      <c r="B7" s="35" t="s">
        <v>305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9" customFormat="false" ht="24" hidden="false" customHeight="true" outlineLevel="0" collapsed="false">
      <c r="B9" s="5" t="s">
        <v>62</v>
      </c>
      <c r="C9" s="5" t="s">
        <v>63</v>
      </c>
      <c r="D9" s="5" t="s">
        <v>64</v>
      </c>
      <c r="E9" s="5" t="s">
        <v>306</v>
      </c>
      <c r="F9" s="5" t="s">
        <v>307</v>
      </c>
      <c r="G9" s="5" t="s">
        <v>308</v>
      </c>
      <c r="H9" s="5" t="s">
        <v>309</v>
      </c>
      <c r="I9" s="5" t="s">
        <v>310</v>
      </c>
      <c r="J9" s="5" t="s">
        <v>311</v>
      </c>
      <c r="K9" s="5" t="s">
        <v>312</v>
      </c>
      <c r="L9" s="5" t="s">
        <v>313</v>
      </c>
      <c r="M9" s="5" t="s">
        <v>314</v>
      </c>
    </row>
    <row r="10" customFormat="false" ht="15" hidden="false" customHeight="false" outlineLevel="0" collapsed="false">
      <c r="B10" s="14" t="s">
        <v>65</v>
      </c>
      <c r="C10" s="7" t="s">
        <v>66</v>
      </c>
      <c r="D10" s="14" t="n">
        <v>1</v>
      </c>
      <c r="E10" s="52" t="n">
        <f aca="false">SUM(B_2010!E7:E74)*68/SUM(B_2010!$E$7:$BT$74)</f>
        <v>0.833709842093865</v>
      </c>
      <c r="F10" s="52" t="n">
        <f aca="false">SUM(B_2010!E7:BT7)*68/SUM(B_2010!$E$7:$BT$74)</f>
        <v>1.65446908655911</v>
      </c>
      <c r="G10" s="14" t="str">
        <f aca="false">IF(AND(E10&gt;1,F10&gt;1),"CHAVE","")</f>
        <v/>
      </c>
      <c r="H10" s="52" t="n">
        <f aca="false">SUM(B_2020!E7:E74)*68/SUM(B_2020!$E$7:$BT$74)</f>
        <v>0.828152128216176</v>
      </c>
      <c r="I10" s="52" t="n">
        <f aca="false">SUM(B_2020!E7:BT7)*68/SUM(B_2020!$E$7:$BT$74)</f>
        <v>1.7862779840586</v>
      </c>
      <c r="J10" s="14" t="str">
        <f aca="false">IF(AND(H10&gt;1,I10&gt;1),"CHAVE","")</f>
        <v/>
      </c>
      <c r="K10" s="52" t="n">
        <f aca="false">H10-E10</f>
        <v>-0.00555771387768955</v>
      </c>
      <c r="L10" s="52" t="n">
        <f aca="false">I10-F10</f>
        <v>0.131808897499488</v>
      </c>
      <c r="M10" s="14" t="str">
        <f aca="false">IF(G10=J10,"",IF(J10="CHAVE","entrou","saiu"))</f>
        <v/>
      </c>
    </row>
    <row r="11" customFormat="false" ht="15" hidden="false" customHeight="false" outlineLevel="0" collapsed="false">
      <c r="B11" s="17" t="s">
        <v>67</v>
      </c>
      <c r="C11" s="9" t="s">
        <v>68</v>
      </c>
      <c r="D11" s="17" t="n">
        <v>2</v>
      </c>
      <c r="E11" s="53" t="n">
        <f aca="false">SUM(B_2010!F7:F74)*68/SUM(B_2010!$E$7:$BT$74)</f>
        <v>0.866839496974456</v>
      </c>
      <c r="F11" s="53" t="n">
        <f aca="false">SUM(B_2010!E8:BT8)*68/SUM(B_2010!$E$7:$BT$74)</f>
        <v>0.817071964799092</v>
      </c>
      <c r="G11" s="17" t="str">
        <f aca="false">IF(AND(E11&gt;1,F11&gt;1),"CHAVE","")</f>
        <v/>
      </c>
      <c r="H11" s="53" t="n">
        <f aca="false">SUM(B_2020!F7:F74)*68/SUM(B_2020!$E$7:$BT$74)</f>
        <v>0.907220862085421</v>
      </c>
      <c r="I11" s="53" t="n">
        <f aca="false">SUM(B_2020!E8:BT8)*68/SUM(B_2020!$E$7:$BT$74)</f>
        <v>0.802742031968418</v>
      </c>
      <c r="J11" s="17" t="str">
        <f aca="false">IF(AND(H11&gt;1,I11&gt;1),"CHAVE","")</f>
        <v/>
      </c>
      <c r="K11" s="53" t="n">
        <f aca="false">H11-E11</f>
        <v>0.0403813651109658</v>
      </c>
      <c r="L11" s="53" t="n">
        <f aca="false">I11-F11</f>
        <v>-0.0143299328306736</v>
      </c>
      <c r="M11" s="17" t="str">
        <f aca="false">IF(G11=J11,"",IF(J11="CHAVE","entrou","saiu"))</f>
        <v/>
      </c>
    </row>
    <row r="12" customFormat="false" ht="15" hidden="false" customHeight="false" outlineLevel="0" collapsed="false">
      <c r="B12" s="14" t="s">
        <v>69</v>
      </c>
      <c r="C12" s="7" t="s">
        <v>70</v>
      </c>
      <c r="D12" s="14" t="n">
        <v>3</v>
      </c>
      <c r="E12" s="52" t="n">
        <f aca="false">SUM(B_2010!G7:G74)*68/SUM(B_2010!$E$7:$BT$74)</f>
        <v>0.688278562055915</v>
      </c>
      <c r="F12" s="52" t="n">
        <f aca="false">SUM(B_2010!E9:BT9)*68/SUM(B_2010!$E$7:$BT$74)</f>
        <v>0.715581550870669</v>
      </c>
      <c r="G12" s="14" t="str">
        <f aca="false">IF(AND(E12&gt;1,F12&gt;1),"CHAVE","")</f>
        <v/>
      </c>
      <c r="H12" s="52" t="n">
        <f aca="false">SUM(B_2020!G7:G74)*68/SUM(B_2020!$E$7:$BT$74)</f>
        <v>0.690274569319292</v>
      </c>
      <c r="I12" s="52" t="n">
        <f aca="false">SUM(B_2020!E9:BT9)*68/SUM(B_2020!$E$7:$BT$74)</f>
        <v>0.629537154446502</v>
      </c>
      <c r="J12" s="14" t="str">
        <f aca="false">IF(AND(H12&gt;1,I12&gt;1),"CHAVE","")</f>
        <v/>
      </c>
      <c r="K12" s="52" t="n">
        <f aca="false">H12-E12</f>
        <v>0.00199600726337679</v>
      </c>
      <c r="L12" s="52" t="n">
        <f aca="false">I12-F12</f>
        <v>-0.0860443964241667</v>
      </c>
      <c r="M12" s="14" t="str">
        <f aca="false">IF(G12=J12,"",IF(J12="CHAVE","entrou","saiu"))</f>
        <v/>
      </c>
    </row>
    <row r="13" customFormat="false" ht="15" hidden="false" customHeight="false" outlineLevel="0" collapsed="false">
      <c r="B13" s="17" t="s">
        <v>71</v>
      </c>
      <c r="C13" s="9" t="s">
        <v>72</v>
      </c>
      <c r="D13" s="17" t="n">
        <v>4</v>
      </c>
      <c r="E13" s="53" t="n">
        <f aca="false">SUM(B_2010!H7:H74)*68/SUM(B_2010!$E$7:$BT$74)</f>
        <v>0.990291704345715</v>
      </c>
      <c r="F13" s="53" t="n">
        <f aca="false">SUM(B_2010!E10:BT10)*68/SUM(B_2010!$E$7:$BT$74)</f>
        <v>0.647869751777297</v>
      </c>
      <c r="G13" s="17" t="str">
        <f aca="false">IF(AND(E13&gt;1,F13&gt;1),"CHAVE","")</f>
        <v/>
      </c>
      <c r="H13" s="53" t="n">
        <f aca="false">SUM(B_2020!H7:H74)*68/SUM(B_2020!$E$7:$BT$74)</f>
        <v>0.980161404769736</v>
      </c>
      <c r="I13" s="53" t="n">
        <f aca="false">SUM(B_2020!E10:BT10)*68/SUM(B_2020!$E$7:$BT$74)</f>
        <v>0.606727960839629</v>
      </c>
      <c r="J13" s="17" t="str">
        <f aca="false">IF(AND(H13&gt;1,I13&gt;1),"CHAVE","")</f>
        <v/>
      </c>
      <c r="K13" s="53" t="n">
        <f aca="false">H13-E13</f>
        <v>-0.0101302995759789</v>
      </c>
      <c r="L13" s="53" t="n">
        <f aca="false">I13-F13</f>
        <v>-0.0411417909376682</v>
      </c>
      <c r="M13" s="17" t="str">
        <f aca="false">IF(G13=J13,"",IF(J13="CHAVE","entrou","saiu"))</f>
        <v/>
      </c>
    </row>
    <row r="14" customFormat="false" ht="15" hidden="false" customHeight="false" outlineLevel="0" collapsed="false">
      <c r="B14" s="14" t="s">
        <v>73</v>
      </c>
      <c r="C14" s="7" t="s">
        <v>74</v>
      </c>
      <c r="D14" s="14" t="n">
        <v>5</v>
      </c>
      <c r="E14" s="52" t="n">
        <f aca="false">SUM(B_2010!I7:I74)*68/SUM(B_2010!$E$7:$BT$74)</f>
        <v>0.829031896506254</v>
      </c>
      <c r="F14" s="52" t="n">
        <f aca="false">SUM(B_2010!E11:BT11)*68/SUM(B_2010!$E$7:$BT$74)</f>
        <v>1.43224507270705</v>
      </c>
      <c r="G14" s="14" t="str">
        <f aca="false">IF(AND(E14&gt;1,F14&gt;1),"CHAVE","")</f>
        <v/>
      </c>
      <c r="H14" s="52" t="n">
        <f aca="false">SUM(B_2020!I7:I74)*68/SUM(B_2020!$E$7:$BT$74)</f>
        <v>0.926441002252431</v>
      </c>
      <c r="I14" s="52" t="n">
        <f aca="false">SUM(B_2020!E11:BT11)*68/SUM(B_2020!$E$7:$BT$74)</f>
        <v>1.18733991995119</v>
      </c>
      <c r="J14" s="14" t="str">
        <f aca="false">IF(AND(H14&gt;1,I14&gt;1),"CHAVE","")</f>
        <v/>
      </c>
      <c r="K14" s="52" t="n">
        <f aca="false">H14-E14</f>
        <v>0.097409105746177</v>
      </c>
      <c r="L14" s="52" t="n">
        <f aca="false">I14-F14</f>
        <v>-0.244905152755858</v>
      </c>
      <c r="M14" s="14" t="str">
        <f aca="false">IF(G14=J14,"",IF(J14="CHAVE","entrou","saiu"))</f>
        <v/>
      </c>
    </row>
    <row r="15" customFormat="false" ht="15" hidden="false" customHeight="false" outlineLevel="0" collapsed="false">
      <c r="B15" s="17" t="s">
        <v>75</v>
      </c>
      <c r="C15" s="9" t="s">
        <v>76</v>
      </c>
      <c r="D15" s="17" t="n">
        <v>6</v>
      </c>
      <c r="E15" s="53" t="n">
        <f aca="false">SUM(B_2010!J7:J74)*68/SUM(B_2010!$E$7:$BT$74)</f>
        <v>0.799848594687413</v>
      </c>
      <c r="F15" s="53" t="n">
        <f aca="false">SUM(B_2010!E12:BT12)*68/SUM(B_2010!$E$7:$BT$74)</f>
        <v>0.659752747404378</v>
      </c>
      <c r="G15" s="17" t="str">
        <f aca="false">IF(AND(E15&gt;1,F15&gt;1),"CHAVE","")</f>
        <v/>
      </c>
      <c r="H15" s="53" t="n">
        <f aca="false">SUM(B_2020!J7:J74)*68/SUM(B_2020!$E$7:$BT$74)</f>
        <v>0.855924958589995</v>
      </c>
      <c r="I15" s="53" t="n">
        <f aca="false">SUM(B_2020!E12:BT12)*68/SUM(B_2020!$E$7:$BT$74)</f>
        <v>0.792517644789599</v>
      </c>
      <c r="J15" s="17" t="str">
        <f aca="false">IF(AND(H15&gt;1,I15&gt;1),"CHAVE","")</f>
        <v/>
      </c>
      <c r="K15" s="53" t="n">
        <f aca="false">H15-E15</f>
        <v>0.0560763639025821</v>
      </c>
      <c r="L15" s="53" t="n">
        <f aca="false">I15-F15</f>
        <v>0.132764897385221</v>
      </c>
      <c r="M15" s="17" t="str">
        <f aca="false">IF(G15=J15,"",IF(J15="CHAVE","entrou","saiu"))</f>
        <v/>
      </c>
    </row>
    <row r="16" customFormat="false" ht="15" hidden="false" customHeight="false" outlineLevel="0" collapsed="false">
      <c r="B16" s="14" t="s">
        <v>77</v>
      </c>
      <c r="C16" s="7" t="s">
        <v>78</v>
      </c>
      <c r="D16" s="14" t="n">
        <v>7</v>
      </c>
      <c r="E16" s="52" t="n">
        <f aca="false">SUM(B_2010!K7:K74)*68/SUM(B_2010!$E$7:$BT$74)</f>
        <v>1.06491424690581</v>
      </c>
      <c r="F16" s="52" t="n">
        <f aca="false">SUM(B_2010!E13:BT13)*68/SUM(B_2010!$E$7:$BT$74)</f>
        <v>0.675703941820529</v>
      </c>
      <c r="G16" s="14" t="str">
        <f aca="false">IF(AND(E16&gt;1,F16&gt;1),"CHAVE","")</f>
        <v/>
      </c>
      <c r="H16" s="52" t="n">
        <f aca="false">SUM(B_2020!K7:K74)*68/SUM(B_2020!$E$7:$BT$74)</f>
        <v>1.07368360574613</v>
      </c>
      <c r="I16" s="52" t="n">
        <f aca="false">SUM(B_2020!E13:BT13)*68/SUM(B_2020!$E$7:$BT$74)</f>
        <v>0.639723760020529</v>
      </c>
      <c r="J16" s="14" t="str">
        <f aca="false">IF(AND(H16&gt;1,I16&gt;1),"CHAVE","")</f>
        <v/>
      </c>
      <c r="K16" s="52" t="n">
        <f aca="false">H16-E16</f>
        <v>0.00876935884032171</v>
      </c>
      <c r="L16" s="52" t="n">
        <f aca="false">I16-F16</f>
        <v>-0.0359801817999995</v>
      </c>
      <c r="M16" s="14" t="str">
        <f aca="false">IF(G16=J16,"",IF(J16="CHAVE","entrou","saiu"))</f>
        <v/>
      </c>
    </row>
    <row r="17" customFormat="false" ht="15" hidden="false" customHeight="false" outlineLevel="0" collapsed="false">
      <c r="B17" s="17" t="s">
        <v>79</v>
      </c>
      <c r="C17" s="9" t="s">
        <v>80</v>
      </c>
      <c r="D17" s="17" t="n">
        <v>8</v>
      </c>
      <c r="E17" s="53" t="n">
        <f aca="false">SUM(B_2010!L7:L74)*68/SUM(B_2010!$E$7:$BT$74)</f>
        <v>1.55383441059341</v>
      </c>
      <c r="F17" s="53" t="n">
        <f aca="false">SUM(B_2010!E14:BT14)*68/SUM(B_2010!$E$7:$BT$74)</f>
        <v>0.683125862229209</v>
      </c>
      <c r="G17" s="17" t="str">
        <f aca="false">IF(AND(E17&gt;1,F17&gt;1),"CHAVE","")</f>
        <v/>
      </c>
      <c r="H17" s="53" t="n">
        <f aca="false">SUM(B_2020!L7:L74)*68/SUM(B_2020!$E$7:$BT$74)</f>
        <v>1.6980923316846</v>
      </c>
      <c r="I17" s="53" t="n">
        <f aca="false">SUM(B_2020!E14:BT14)*68/SUM(B_2020!$E$7:$BT$74)</f>
        <v>0.717128547019303</v>
      </c>
      <c r="J17" s="17" t="str">
        <f aca="false">IF(AND(H17&gt;1,I17&gt;1),"CHAVE","")</f>
        <v/>
      </c>
      <c r="K17" s="53" t="n">
        <f aca="false">H17-E17</f>
        <v>0.144257921091191</v>
      </c>
      <c r="L17" s="53" t="n">
        <f aca="false">I17-F17</f>
        <v>0.0340026847900937</v>
      </c>
      <c r="M17" s="17" t="str">
        <f aca="false">IF(G17=J17,"",IF(J17="CHAVE","entrou","saiu"))</f>
        <v/>
      </c>
    </row>
    <row r="18" customFormat="false" ht="15" hidden="false" customHeight="false" outlineLevel="0" collapsed="false">
      <c r="B18" s="14" t="s">
        <v>81</v>
      </c>
      <c r="C18" s="7" t="s">
        <v>82</v>
      </c>
      <c r="D18" s="14" t="n">
        <v>9</v>
      </c>
      <c r="E18" s="52" t="n">
        <f aca="false">SUM(B_2010!M7:M74)*68/SUM(B_2010!$E$7:$BT$74)</f>
        <v>1.22667234870841</v>
      </c>
      <c r="F18" s="52" t="n">
        <f aca="false">SUM(B_2010!E15:BT15)*68/SUM(B_2010!$E$7:$BT$74)</f>
        <v>0.643618862372907</v>
      </c>
      <c r="G18" s="14" t="str">
        <f aca="false">IF(AND(E18&gt;1,F18&gt;1),"CHAVE","")</f>
        <v/>
      </c>
      <c r="H18" s="52" t="n">
        <f aca="false">SUM(B_2020!M7:M74)*68/SUM(B_2020!$E$7:$BT$74)</f>
        <v>1.23048394842319</v>
      </c>
      <c r="I18" s="52" t="n">
        <f aca="false">SUM(B_2020!E15:BT15)*68/SUM(B_2020!$E$7:$BT$74)</f>
        <v>0.610979562562072</v>
      </c>
      <c r="J18" s="14" t="str">
        <f aca="false">IF(AND(H18&gt;1,I18&gt;1),"CHAVE","")</f>
        <v/>
      </c>
      <c r="K18" s="52" t="n">
        <f aca="false">H18-E18</f>
        <v>0.00381159971478429</v>
      </c>
      <c r="L18" s="52" t="n">
        <f aca="false">I18-F18</f>
        <v>-0.0326392998108346</v>
      </c>
      <c r="M18" s="14" t="str">
        <f aca="false">IF(G18=J18,"",IF(J18="CHAVE","entrou","saiu"))</f>
        <v/>
      </c>
    </row>
    <row r="19" customFormat="false" ht="15" hidden="false" customHeight="false" outlineLevel="0" collapsed="false">
      <c r="B19" s="17" t="s">
        <v>83</v>
      </c>
      <c r="C19" s="9" t="s">
        <v>84</v>
      </c>
      <c r="D19" s="17" t="n">
        <v>10</v>
      </c>
      <c r="E19" s="53" t="n">
        <f aca="false">SUM(B_2010!N7:N74)*68/SUM(B_2010!$E$7:$BT$74)</f>
        <v>1.39527794690294</v>
      </c>
      <c r="F19" s="53" t="n">
        <f aca="false">SUM(B_2010!E16:BT16)*68/SUM(B_2010!$E$7:$BT$74)</f>
        <v>0.905055213245991</v>
      </c>
      <c r="G19" s="17" t="str">
        <f aca="false">IF(AND(E19&gt;1,F19&gt;1),"CHAVE","")</f>
        <v/>
      </c>
      <c r="H19" s="53" t="n">
        <f aca="false">SUM(B_2020!N7:N74)*68/SUM(B_2020!$E$7:$BT$74)</f>
        <v>1.41224512366211</v>
      </c>
      <c r="I19" s="53" t="n">
        <f aca="false">SUM(B_2020!E16:BT16)*68/SUM(B_2020!$E$7:$BT$74)</f>
        <v>0.995950925245571</v>
      </c>
      <c r="J19" s="17" t="str">
        <f aca="false">IF(AND(H19&gt;1,I19&gt;1),"CHAVE","")</f>
        <v/>
      </c>
      <c r="K19" s="53" t="n">
        <f aca="false">H19-E19</f>
        <v>0.0169671767591659</v>
      </c>
      <c r="L19" s="53" t="n">
        <f aca="false">I19-F19</f>
        <v>0.0908957119995806</v>
      </c>
      <c r="M19" s="17" t="str">
        <f aca="false">IF(G19=J19,"",IF(J19="CHAVE","entrou","saiu"))</f>
        <v/>
      </c>
    </row>
    <row r="20" customFormat="false" ht="15" hidden="false" customHeight="false" outlineLevel="0" collapsed="false">
      <c r="B20" s="14" t="s">
        <v>85</v>
      </c>
      <c r="C20" s="7" t="s">
        <v>86</v>
      </c>
      <c r="D20" s="14" t="n">
        <v>11</v>
      </c>
      <c r="E20" s="52" t="n">
        <f aca="false">SUM(B_2010!O7:O74)*68/SUM(B_2010!$E$7:$BT$74)</f>
        <v>1.08394944939753</v>
      </c>
      <c r="F20" s="52" t="n">
        <f aca="false">SUM(B_2010!E17:BT17)*68/SUM(B_2010!$E$7:$BT$74)</f>
        <v>0.650869645729625</v>
      </c>
      <c r="G20" s="14" t="str">
        <f aca="false">IF(AND(E20&gt;1,F20&gt;1),"CHAVE","")</f>
        <v/>
      </c>
      <c r="H20" s="52" t="n">
        <f aca="false">SUM(B_2020!O7:O74)*68/SUM(B_2020!$E$7:$BT$74)</f>
        <v>1.14212516629062</v>
      </c>
      <c r="I20" s="52" t="n">
        <f aca="false">SUM(B_2020!E17:BT17)*68/SUM(B_2020!$E$7:$BT$74)</f>
        <v>0.63133387395277</v>
      </c>
      <c r="J20" s="14" t="str">
        <f aca="false">IF(AND(H20&gt;1,I20&gt;1),"CHAVE","")</f>
        <v/>
      </c>
      <c r="K20" s="52" t="n">
        <f aca="false">H20-E20</f>
        <v>0.0581757168930985</v>
      </c>
      <c r="L20" s="52" t="n">
        <f aca="false">I20-F20</f>
        <v>-0.0195357717768548</v>
      </c>
      <c r="M20" s="14" t="str">
        <f aca="false">IF(G20=J20,"",IF(J20="CHAVE","entrou","saiu"))</f>
        <v/>
      </c>
    </row>
    <row r="21" customFormat="false" ht="15" hidden="false" customHeight="false" outlineLevel="0" collapsed="false">
      <c r="B21" s="17" t="s">
        <v>87</v>
      </c>
      <c r="C21" s="9" t="s">
        <v>88</v>
      </c>
      <c r="D21" s="17" t="n">
        <v>12</v>
      </c>
      <c r="E21" s="53" t="n">
        <f aca="false">SUM(B_2010!P7:P74)*68/SUM(B_2010!$E$7:$BT$74)</f>
        <v>1.18951637233328</v>
      </c>
      <c r="F21" s="53" t="n">
        <f aca="false">SUM(B_2010!E18:BT18)*68/SUM(B_2010!$E$7:$BT$74)</f>
        <v>0.530942155601794</v>
      </c>
      <c r="G21" s="17" t="str">
        <f aca="false">IF(AND(E21&gt;1,F21&gt;1),"CHAVE","")</f>
        <v/>
      </c>
      <c r="H21" s="53" t="n">
        <f aca="false">SUM(B_2020!P7:P74)*68/SUM(B_2020!$E$7:$BT$74)</f>
        <v>1.1979977131822</v>
      </c>
      <c r="I21" s="53" t="n">
        <f aca="false">SUM(B_2020!E18:BT18)*68/SUM(B_2020!$E$7:$BT$74)</f>
        <v>0.503812225255816</v>
      </c>
      <c r="J21" s="17" t="str">
        <f aca="false">IF(AND(H21&gt;1,I21&gt;1),"CHAVE","")</f>
        <v/>
      </c>
      <c r="K21" s="53" t="n">
        <f aca="false">H21-E21</f>
        <v>0.00848134084891838</v>
      </c>
      <c r="L21" s="53" t="n">
        <f aca="false">I21-F21</f>
        <v>-0.0271299303459787</v>
      </c>
      <c r="M21" s="17" t="str">
        <f aca="false">IF(G21=J21,"",IF(J21="CHAVE","entrou","saiu"))</f>
        <v/>
      </c>
    </row>
    <row r="22" customFormat="false" ht="15" hidden="false" customHeight="false" outlineLevel="0" collapsed="false">
      <c r="B22" s="14" t="s">
        <v>89</v>
      </c>
      <c r="C22" s="7" t="s">
        <v>90</v>
      </c>
      <c r="D22" s="14" t="n">
        <v>13</v>
      </c>
      <c r="E22" s="52" t="n">
        <f aca="false">SUM(B_2010!Q7:Q74)*68/SUM(B_2010!$E$7:$BT$74)</f>
        <v>1.25411357416469</v>
      </c>
      <c r="F22" s="52" t="n">
        <f aca="false">SUM(B_2010!E19:BT19)*68/SUM(B_2010!$E$7:$BT$74)</f>
        <v>0.858375738337492</v>
      </c>
      <c r="G22" s="14" t="str">
        <f aca="false">IF(AND(E22&gt;1,F22&gt;1),"CHAVE","")</f>
        <v/>
      </c>
      <c r="H22" s="52" t="n">
        <f aca="false">SUM(B_2020!Q7:Q74)*68/SUM(B_2020!$E$7:$BT$74)</f>
        <v>1.22900117333038</v>
      </c>
      <c r="I22" s="52" t="n">
        <f aca="false">SUM(B_2020!E19:BT19)*68/SUM(B_2020!$E$7:$BT$74)</f>
        <v>0.823843979022787</v>
      </c>
      <c r="J22" s="14" t="str">
        <f aca="false">IF(AND(H22&gt;1,I22&gt;1),"CHAVE","")</f>
        <v/>
      </c>
      <c r="K22" s="52" t="n">
        <f aca="false">H22-E22</f>
        <v>-0.0251124008343122</v>
      </c>
      <c r="L22" s="52" t="n">
        <f aca="false">I22-F22</f>
        <v>-0.0345317593147049</v>
      </c>
      <c r="M22" s="14" t="str">
        <f aca="false">IF(G22=J22,"",IF(J22="CHAVE","entrou","saiu"))</f>
        <v/>
      </c>
    </row>
    <row r="23" customFormat="false" ht="15" hidden="false" customHeight="false" outlineLevel="0" collapsed="false">
      <c r="B23" s="17" t="s">
        <v>91</v>
      </c>
      <c r="C23" s="9" t="s">
        <v>92</v>
      </c>
      <c r="D23" s="17" t="n">
        <v>14</v>
      </c>
      <c r="E23" s="53" t="n">
        <f aca="false">SUM(B_2010!R7:R74)*68/SUM(B_2010!$E$7:$BT$74)</f>
        <v>1.04844742615282</v>
      </c>
      <c r="F23" s="53" t="n">
        <f aca="false">SUM(B_2010!E20:BT20)*68/SUM(B_2010!$E$7:$BT$74)</f>
        <v>0.549669758002433</v>
      </c>
      <c r="G23" s="17" t="str">
        <f aca="false">IF(AND(E23&gt;1,F23&gt;1),"CHAVE","")</f>
        <v/>
      </c>
      <c r="H23" s="53" t="n">
        <f aca="false">SUM(B_2020!R7:R74)*68/SUM(B_2020!$E$7:$BT$74)</f>
        <v>1.11319650638668</v>
      </c>
      <c r="I23" s="53" t="n">
        <f aca="false">SUM(B_2020!E20:BT20)*68/SUM(B_2020!$E$7:$BT$74)</f>
        <v>0.529202047513657</v>
      </c>
      <c r="J23" s="17" t="str">
        <f aca="false">IF(AND(H23&gt;1,I23&gt;1),"CHAVE","")</f>
        <v/>
      </c>
      <c r="K23" s="53" t="n">
        <f aca="false">H23-E23</f>
        <v>0.0647490802338568</v>
      </c>
      <c r="L23" s="53" t="n">
        <f aca="false">I23-F23</f>
        <v>-0.0204677104887767</v>
      </c>
      <c r="M23" s="17" t="str">
        <f aca="false">IF(G23=J23,"",IF(J23="CHAVE","entrou","saiu"))</f>
        <v/>
      </c>
    </row>
    <row r="24" customFormat="false" ht="15" hidden="false" customHeight="false" outlineLevel="0" collapsed="false">
      <c r="B24" s="14" t="s">
        <v>93</v>
      </c>
      <c r="C24" s="7" t="s">
        <v>94</v>
      </c>
      <c r="D24" s="14" t="n">
        <v>15</v>
      </c>
      <c r="E24" s="52" t="n">
        <f aca="false">SUM(B_2010!S7:S74)*68/SUM(B_2010!$E$7:$BT$74)</f>
        <v>1.32958828173249</v>
      </c>
      <c r="F24" s="52" t="n">
        <f aca="false">SUM(B_2010!E21:BT21)*68/SUM(B_2010!$E$7:$BT$74)</f>
        <v>0.56786636733494</v>
      </c>
      <c r="G24" s="14" t="str">
        <f aca="false">IF(AND(E24&gt;1,F24&gt;1),"CHAVE","")</f>
        <v/>
      </c>
      <c r="H24" s="52" t="n">
        <f aca="false">SUM(B_2020!S7:S74)*68/SUM(B_2020!$E$7:$BT$74)</f>
        <v>1.29809431398734</v>
      </c>
      <c r="I24" s="52" t="n">
        <f aca="false">SUM(B_2020!E21:BT21)*68/SUM(B_2020!$E$7:$BT$74)</f>
        <v>0.53970813559938</v>
      </c>
      <c r="J24" s="14" t="str">
        <f aca="false">IF(AND(H24&gt;1,I24&gt;1),"CHAVE","")</f>
        <v/>
      </c>
      <c r="K24" s="52" t="n">
        <f aca="false">H24-E24</f>
        <v>-0.0314939677451536</v>
      </c>
      <c r="L24" s="52" t="n">
        <f aca="false">I24-F24</f>
        <v>-0.0281582317355601</v>
      </c>
      <c r="M24" s="14" t="str">
        <f aca="false">IF(G24=J24,"",IF(J24="CHAVE","entrou","saiu"))</f>
        <v/>
      </c>
    </row>
    <row r="25" customFormat="false" ht="15" hidden="false" customHeight="false" outlineLevel="0" collapsed="false">
      <c r="B25" s="17" t="s">
        <v>95</v>
      </c>
      <c r="C25" s="9" t="s">
        <v>96</v>
      </c>
      <c r="D25" s="17" t="n">
        <v>16</v>
      </c>
      <c r="E25" s="53" t="n">
        <f aca="false">SUM(B_2010!T7:T74)*68/SUM(B_2010!$E$7:$BT$74)</f>
        <v>1.03052255936692</v>
      </c>
      <c r="F25" s="53" t="n">
        <f aca="false">SUM(B_2010!E22:BT22)*68/SUM(B_2010!$E$7:$BT$74)</f>
        <v>0.699643807983788</v>
      </c>
      <c r="G25" s="17" t="str">
        <f aca="false">IF(AND(E25&gt;1,F25&gt;1),"CHAVE","")</f>
        <v/>
      </c>
      <c r="H25" s="53" t="n">
        <f aca="false">SUM(B_2020!T7:T74)*68/SUM(B_2020!$E$7:$BT$74)</f>
        <v>1.18565439614579</v>
      </c>
      <c r="I25" s="53" t="n">
        <f aca="false">SUM(B_2020!E22:BT22)*68/SUM(B_2020!$E$7:$BT$74)</f>
        <v>0.664829270828256</v>
      </c>
      <c r="J25" s="17" t="str">
        <f aca="false">IF(AND(H25&gt;1,I25&gt;1),"CHAVE","")</f>
        <v/>
      </c>
      <c r="K25" s="53" t="n">
        <f aca="false">H25-E25</f>
        <v>0.155131836778871</v>
      </c>
      <c r="L25" s="53" t="n">
        <f aca="false">I25-F25</f>
        <v>-0.034814537155532</v>
      </c>
      <c r="M25" s="17" t="str">
        <f aca="false">IF(G25=J25,"",IF(J25="CHAVE","entrou","saiu"))</f>
        <v/>
      </c>
    </row>
    <row r="26" customFormat="false" ht="15" hidden="false" customHeight="false" outlineLevel="0" collapsed="false">
      <c r="B26" s="14" t="s">
        <v>97</v>
      </c>
      <c r="C26" s="7" t="s">
        <v>98</v>
      </c>
      <c r="D26" s="14" t="n">
        <v>17</v>
      </c>
      <c r="E26" s="52" t="n">
        <f aca="false">SUM(B_2010!U7:U74)*68/SUM(B_2010!$E$7:$BT$74)</f>
        <v>1.40726946672485</v>
      </c>
      <c r="F26" s="52" t="n">
        <f aca="false">SUM(B_2010!E23:BT23)*68/SUM(B_2010!$E$7:$BT$74)</f>
        <v>1.104151053852</v>
      </c>
      <c r="G26" s="14" t="str">
        <f aca="false">IF(AND(E26&gt;1,F26&gt;1),"CHAVE","")</f>
        <v>CHAVE</v>
      </c>
      <c r="H26" s="52" t="n">
        <f aca="false">SUM(B_2020!U7:U74)*68/SUM(B_2020!$E$7:$BT$74)</f>
        <v>1.47934922304371</v>
      </c>
      <c r="I26" s="52" t="n">
        <f aca="false">SUM(B_2020!E23:BT23)*68/SUM(B_2020!$E$7:$BT$74)</f>
        <v>1.04379147187499</v>
      </c>
      <c r="J26" s="14" t="str">
        <f aca="false">IF(AND(H26&gt;1,I26&gt;1),"CHAVE","")</f>
        <v>CHAVE</v>
      </c>
      <c r="K26" s="52" t="n">
        <f aca="false">H26-E26</f>
        <v>0.0720797563188687</v>
      </c>
      <c r="L26" s="52" t="n">
        <f aca="false">I26-F26</f>
        <v>-0.0603595819770049</v>
      </c>
      <c r="M26" s="14" t="str">
        <f aca="false">IF(G26=J26,"",IF(J26="CHAVE","entrou","saiu"))</f>
        <v/>
      </c>
    </row>
    <row r="27" customFormat="false" ht="15" hidden="false" customHeight="false" outlineLevel="0" collapsed="false">
      <c r="B27" s="17" t="s">
        <v>99</v>
      </c>
      <c r="C27" s="9" t="s">
        <v>100</v>
      </c>
      <c r="D27" s="17" t="n">
        <v>18</v>
      </c>
      <c r="E27" s="53" t="n">
        <f aca="false">SUM(B_2010!V7:V74)*68/SUM(B_2010!$E$7:$BT$74)</f>
        <v>1.00409565301829</v>
      </c>
      <c r="F27" s="53" t="n">
        <f aca="false">SUM(B_2010!E24:BT24)*68/SUM(B_2010!$E$7:$BT$74)</f>
        <v>0.760583229880956</v>
      </c>
      <c r="G27" s="17" t="str">
        <f aca="false">IF(AND(E27&gt;1,F27&gt;1),"CHAVE","")</f>
        <v/>
      </c>
      <c r="H27" s="53" t="n">
        <f aca="false">SUM(B_2020!V7:V74)*68/SUM(B_2020!$E$7:$BT$74)</f>
        <v>0.923845012345971</v>
      </c>
      <c r="I27" s="53" t="n">
        <f aca="false">SUM(B_2020!E24:BT24)*68/SUM(B_2020!$E$7:$BT$74)</f>
        <v>0.640255085549458</v>
      </c>
      <c r="J27" s="17" t="str">
        <f aca="false">IF(AND(H27&gt;1,I27&gt;1),"CHAVE","")</f>
        <v/>
      </c>
      <c r="K27" s="53" t="n">
        <f aca="false">H27-E27</f>
        <v>-0.080250640672316</v>
      </c>
      <c r="L27" s="53" t="n">
        <f aca="false">I27-F27</f>
        <v>-0.120328144331499</v>
      </c>
      <c r="M27" s="17" t="str">
        <f aca="false">IF(G27=J27,"",IF(J27="CHAVE","entrou","saiu"))</f>
        <v/>
      </c>
    </row>
    <row r="28" customFormat="false" ht="15" hidden="false" customHeight="false" outlineLevel="0" collapsed="false">
      <c r="B28" s="14" t="s">
        <v>101</v>
      </c>
      <c r="C28" s="7" t="s">
        <v>102</v>
      </c>
      <c r="D28" s="14" t="n">
        <v>19</v>
      </c>
      <c r="E28" s="52" t="n">
        <f aca="false">SUM(B_2010!W7:W74)*68/SUM(B_2010!$E$7:$BT$74)</f>
        <v>1.16268014414093</v>
      </c>
      <c r="F28" s="52" t="n">
        <f aca="false">SUM(B_2010!E25:BT25)*68/SUM(B_2010!$E$7:$BT$74)</f>
        <v>2.53687688409919</v>
      </c>
      <c r="G28" s="14" t="str">
        <f aca="false">IF(AND(E28&gt;1,F28&gt;1),"CHAVE","")</f>
        <v>CHAVE</v>
      </c>
      <c r="H28" s="52" t="n">
        <f aca="false">SUM(B_2020!W7:W74)*68/SUM(B_2020!$E$7:$BT$74)</f>
        <v>1.16881914537986</v>
      </c>
      <c r="I28" s="52" t="n">
        <f aca="false">SUM(B_2020!E25:BT25)*68/SUM(B_2020!$E$7:$BT$74)</f>
        <v>2.42504840483073</v>
      </c>
      <c r="J28" s="14" t="str">
        <f aca="false">IF(AND(H28&gt;1,I28&gt;1),"CHAVE","")</f>
        <v>CHAVE</v>
      </c>
      <c r="K28" s="52" t="n">
        <f aca="false">H28-E28</f>
        <v>0.00613900123893174</v>
      </c>
      <c r="L28" s="52" t="n">
        <f aca="false">I28-F28</f>
        <v>-0.111828479268464</v>
      </c>
      <c r="M28" s="14" t="str">
        <f aca="false">IF(G28=J28,"",IF(J28="CHAVE","entrou","saiu"))</f>
        <v/>
      </c>
    </row>
    <row r="29" customFormat="false" ht="15" hidden="false" customHeight="false" outlineLevel="0" collapsed="false">
      <c r="B29" s="17" t="s">
        <v>103</v>
      </c>
      <c r="C29" s="9" t="s">
        <v>104</v>
      </c>
      <c r="D29" s="17" t="n">
        <v>20</v>
      </c>
      <c r="E29" s="53" t="n">
        <f aca="false">SUM(B_2010!X7:X74)*68/SUM(B_2010!$E$7:$BT$74)</f>
        <v>1.27826573909088</v>
      </c>
      <c r="F29" s="53" t="n">
        <f aca="false">SUM(B_2010!E26:BT26)*68/SUM(B_2010!$E$7:$BT$74)</f>
        <v>0.598305969510524</v>
      </c>
      <c r="G29" s="17" t="str">
        <f aca="false">IF(AND(E29&gt;1,F29&gt;1),"CHAVE","")</f>
        <v/>
      </c>
      <c r="H29" s="53" t="n">
        <f aca="false">SUM(B_2020!X7:X74)*68/SUM(B_2020!$E$7:$BT$74)</f>
        <v>1.2097891927358</v>
      </c>
      <c r="I29" s="53" t="n">
        <f aca="false">SUM(B_2020!E26:BT26)*68/SUM(B_2020!$E$7:$BT$74)</f>
        <v>0.689622411456652</v>
      </c>
      <c r="J29" s="17" t="str">
        <f aca="false">IF(AND(H29&gt;1,I29&gt;1),"CHAVE","")</f>
        <v/>
      </c>
      <c r="K29" s="53" t="n">
        <f aca="false">H29-E29</f>
        <v>-0.0684765463550787</v>
      </c>
      <c r="L29" s="53" t="n">
        <f aca="false">I29-F29</f>
        <v>0.0913164419461278</v>
      </c>
      <c r="M29" s="17" t="str">
        <f aca="false">IF(G29=J29,"",IF(J29="CHAVE","entrou","saiu"))</f>
        <v/>
      </c>
    </row>
    <row r="30" customFormat="false" ht="15" hidden="false" customHeight="false" outlineLevel="0" collapsed="false">
      <c r="B30" s="14" t="s">
        <v>105</v>
      </c>
      <c r="C30" s="7" t="s">
        <v>106</v>
      </c>
      <c r="D30" s="14" t="n">
        <v>21</v>
      </c>
      <c r="E30" s="52" t="n">
        <f aca="false">SUM(B_2010!Y7:Y74)*68/SUM(B_2010!$E$7:$BT$74)</f>
        <v>1.15557544717094</v>
      </c>
      <c r="F30" s="52" t="n">
        <f aca="false">SUM(B_2010!E27:BT27)*68/SUM(B_2010!$E$7:$BT$74)</f>
        <v>1.72972561356865</v>
      </c>
      <c r="G30" s="14" t="str">
        <f aca="false">IF(AND(E30&gt;1,F30&gt;1),"CHAVE","")</f>
        <v>CHAVE</v>
      </c>
      <c r="H30" s="52" t="n">
        <f aca="false">SUM(B_2020!Y7:Y74)*68/SUM(B_2020!$E$7:$BT$74)</f>
        <v>1.10972697176345</v>
      </c>
      <c r="I30" s="52" t="n">
        <f aca="false">SUM(B_2020!E27:BT27)*68/SUM(B_2020!$E$7:$BT$74)</f>
        <v>1.76542858922011</v>
      </c>
      <c r="J30" s="14" t="str">
        <f aca="false">IF(AND(H30&gt;1,I30&gt;1),"CHAVE","")</f>
        <v>CHAVE</v>
      </c>
      <c r="K30" s="52" t="n">
        <f aca="false">H30-E30</f>
        <v>-0.0458484754074868</v>
      </c>
      <c r="L30" s="52" t="n">
        <f aca="false">I30-F30</f>
        <v>0.0357029756514522</v>
      </c>
      <c r="M30" s="14" t="str">
        <f aca="false">IF(G30=J30,"",IF(J30="CHAVE","entrou","saiu"))</f>
        <v/>
      </c>
    </row>
    <row r="31" customFormat="false" ht="15" hidden="false" customHeight="false" outlineLevel="0" collapsed="false">
      <c r="B31" s="17" t="s">
        <v>107</v>
      </c>
      <c r="C31" s="9" t="s">
        <v>108</v>
      </c>
      <c r="D31" s="17" t="n">
        <v>22</v>
      </c>
      <c r="E31" s="53" t="n">
        <f aca="false">SUM(B_2010!Z7:Z74)*68/SUM(B_2010!$E$7:$BT$74)</f>
        <v>1.34803927731491</v>
      </c>
      <c r="F31" s="53" t="n">
        <f aca="false">SUM(B_2010!E28:BT28)*68/SUM(B_2010!$E$7:$BT$74)</f>
        <v>1.07509972536842</v>
      </c>
      <c r="G31" s="17" t="str">
        <f aca="false">IF(AND(E31&gt;1,F31&gt;1),"CHAVE","")</f>
        <v>CHAVE</v>
      </c>
      <c r="H31" s="53" t="n">
        <f aca="false">SUM(B_2020!Z7:Z74)*68/SUM(B_2020!$E$7:$BT$74)</f>
        <v>1.25173719346096</v>
      </c>
      <c r="I31" s="53" t="n">
        <f aca="false">SUM(B_2020!E28:BT28)*68/SUM(B_2020!$E$7:$BT$74)</f>
        <v>1.11442222281675</v>
      </c>
      <c r="J31" s="17" t="str">
        <f aca="false">IF(AND(H31&gt;1,I31&gt;1),"CHAVE","")</f>
        <v>CHAVE</v>
      </c>
      <c r="K31" s="53" t="n">
        <f aca="false">H31-E31</f>
        <v>-0.0963020838539574</v>
      </c>
      <c r="L31" s="53" t="n">
        <f aca="false">I31-F31</f>
        <v>0.0393224974483293</v>
      </c>
      <c r="M31" s="17" t="str">
        <f aca="false">IF(G31=J31,"",IF(J31="CHAVE","entrou","saiu"))</f>
        <v/>
      </c>
    </row>
    <row r="32" customFormat="false" ht="15" hidden="false" customHeight="false" outlineLevel="0" collapsed="false">
      <c r="B32" s="14" t="s">
        <v>109</v>
      </c>
      <c r="C32" s="7" t="s">
        <v>110</v>
      </c>
      <c r="D32" s="14" t="n">
        <v>23</v>
      </c>
      <c r="E32" s="52" t="n">
        <f aca="false">SUM(B_2010!AA7:AA74)*68/SUM(B_2010!$E$7:$BT$74)</f>
        <v>1.11743902007793</v>
      </c>
      <c r="F32" s="52" t="n">
        <f aca="false">SUM(B_2010!E29:BT29)*68/SUM(B_2010!$E$7:$BT$74)</f>
        <v>0.578430430438764</v>
      </c>
      <c r="G32" s="14" t="str">
        <f aca="false">IF(AND(E32&gt;1,F32&gt;1),"CHAVE","")</f>
        <v/>
      </c>
      <c r="H32" s="52" t="n">
        <f aca="false">SUM(B_2020!AA7:AA74)*68/SUM(B_2020!$E$7:$BT$74)</f>
        <v>1.11510312590363</v>
      </c>
      <c r="I32" s="52" t="n">
        <f aca="false">SUM(B_2020!E29:BT29)*68/SUM(B_2020!$E$7:$BT$74)</f>
        <v>0.586787356122046</v>
      </c>
      <c r="J32" s="14" t="str">
        <f aca="false">IF(AND(H32&gt;1,I32&gt;1),"CHAVE","")</f>
        <v/>
      </c>
      <c r="K32" s="52" t="n">
        <f aca="false">H32-E32</f>
        <v>-0.0023358941742917</v>
      </c>
      <c r="L32" s="52" t="n">
        <f aca="false">I32-F32</f>
        <v>0.00835692568328272</v>
      </c>
      <c r="M32" s="14" t="str">
        <f aca="false">IF(G32=J32,"",IF(J32="CHAVE","entrou","saiu"))</f>
        <v/>
      </c>
    </row>
    <row r="33" customFormat="false" ht="15" hidden="false" customHeight="false" outlineLevel="0" collapsed="false">
      <c r="B33" s="17" t="s">
        <v>111</v>
      </c>
      <c r="C33" s="9" t="s">
        <v>112</v>
      </c>
      <c r="D33" s="17" t="n">
        <v>24</v>
      </c>
      <c r="E33" s="53" t="n">
        <f aca="false">SUM(B_2010!AB7:AB74)*68/SUM(B_2010!$E$7:$BT$74)</f>
        <v>1.17584810907232</v>
      </c>
      <c r="F33" s="53" t="n">
        <f aca="false">SUM(B_2010!E30:BT30)*68/SUM(B_2010!$E$7:$BT$74)</f>
        <v>0.590200226532386</v>
      </c>
      <c r="G33" s="17" t="str">
        <f aca="false">IF(AND(E33&gt;1,F33&gt;1),"CHAVE","")</f>
        <v/>
      </c>
      <c r="H33" s="53" t="n">
        <f aca="false">SUM(B_2020!AB7:AB74)*68/SUM(B_2020!$E$7:$BT$74)</f>
        <v>1.19822593999503</v>
      </c>
      <c r="I33" s="53" t="n">
        <f aca="false">SUM(B_2020!E30:BT30)*68/SUM(B_2020!$E$7:$BT$74)</f>
        <v>0.580777681584123</v>
      </c>
      <c r="J33" s="17" t="str">
        <f aca="false">IF(AND(H33&gt;1,I33&gt;1),"CHAVE","")</f>
        <v/>
      </c>
      <c r="K33" s="53" t="n">
        <f aca="false">H33-E33</f>
        <v>0.0223778309227041</v>
      </c>
      <c r="L33" s="53" t="n">
        <f aca="false">I33-F33</f>
        <v>-0.00942254494826367</v>
      </c>
      <c r="M33" s="17" t="str">
        <f aca="false">IF(G33=J33,"",IF(J33="CHAVE","entrou","saiu"))</f>
        <v/>
      </c>
    </row>
    <row r="34" customFormat="false" ht="15" hidden="false" customHeight="false" outlineLevel="0" collapsed="false">
      <c r="B34" s="14" t="s">
        <v>113</v>
      </c>
      <c r="C34" s="7" t="s">
        <v>114</v>
      </c>
      <c r="D34" s="14" t="n">
        <v>25</v>
      </c>
      <c r="E34" s="52" t="n">
        <f aca="false">SUM(B_2010!AC7:AC74)*68/SUM(B_2010!$E$7:$BT$74)</f>
        <v>1.26378727203748</v>
      </c>
      <c r="F34" s="52" t="n">
        <f aca="false">SUM(B_2010!E31:BT31)*68/SUM(B_2010!$E$7:$BT$74)</f>
        <v>1.12605111524605</v>
      </c>
      <c r="G34" s="14" t="str">
        <f aca="false">IF(AND(E34&gt;1,F34&gt;1),"CHAVE","")</f>
        <v>CHAVE</v>
      </c>
      <c r="H34" s="52" t="n">
        <f aca="false">SUM(B_2020!AC7:AC74)*68/SUM(B_2020!$E$7:$BT$74)</f>
        <v>1.28858734236322</v>
      </c>
      <c r="I34" s="52" t="n">
        <f aca="false">SUM(B_2020!E31:BT31)*68/SUM(B_2020!$E$7:$BT$74)</f>
        <v>1.13167689740956</v>
      </c>
      <c r="J34" s="14" t="str">
        <f aca="false">IF(AND(H34&gt;1,I34&gt;1),"CHAVE","")</f>
        <v>CHAVE</v>
      </c>
      <c r="K34" s="52" t="n">
        <f aca="false">H34-E34</f>
        <v>0.0248000703257387</v>
      </c>
      <c r="L34" s="52" t="n">
        <f aca="false">I34-F34</f>
        <v>0.00562578216350662</v>
      </c>
      <c r="M34" s="14" t="str">
        <f aca="false">IF(G34=J34,"",IF(J34="CHAVE","entrou","saiu"))</f>
        <v/>
      </c>
    </row>
    <row r="35" customFormat="false" ht="15" hidden="false" customHeight="false" outlineLevel="0" collapsed="false">
      <c r="B35" s="17" t="s">
        <v>115</v>
      </c>
      <c r="C35" s="9" t="s">
        <v>116</v>
      </c>
      <c r="D35" s="17" t="n">
        <v>26</v>
      </c>
      <c r="E35" s="53" t="n">
        <f aca="false">SUM(B_2010!AD7:AD74)*68/SUM(B_2010!$E$7:$BT$74)</f>
        <v>1.17895567727078</v>
      </c>
      <c r="F35" s="53" t="n">
        <f aca="false">SUM(B_2010!E32:BT32)*68/SUM(B_2010!$E$7:$BT$74)</f>
        <v>0.795575203829647</v>
      </c>
      <c r="G35" s="17" t="str">
        <f aca="false">IF(AND(E35&gt;1,F35&gt;1),"CHAVE","")</f>
        <v/>
      </c>
      <c r="H35" s="53" t="n">
        <f aca="false">SUM(B_2020!AD7:AD74)*68/SUM(B_2020!$E$7:$BT$74)</f>
        <v>1.27590216984579</v>
      </c>
      <c r="I35" s="53" t="n">
        <f aca="false">SUM(B_2020!E32:BT32)*68/SUM(B_2020!$E$7:$BT$74)</f>
        <v>0.771730170664795</v>
      </c>
      <c r="J35" s="17" t="str">
        <f aca="false">IF(AND(H35&gt;1,I35&gt;1),"CHAVE","")</f>
        <v/>
      </c>
      <c r="K35" s="53" t="n">
        <f aca="false">H35-E35</f>
        <v>0.0969464925750079</v>
      </c>
      <c r="L35" s="53" t="n">
        <f aca="false">I35-F35</f>
        <v>-0.0238450331648516</v>
      </c>
      <c r="M35" s="17" t="str">
        <f aca="false">IF(G35=J35,"",IF(J35="CHAVE","entrou","saiu"))</f>
        <v/>
      </c>
    </row>
    <row r="36" customFormat="false" ht="15" hidden="false" customHeight="false" outlineLevel="0" collapsed="false">
      <c r="B36" s="14" t="s">
        <v>117</v>
      </c>
      <c r="C36" s="7" t="s">
        <v>118</v>
      </c>
      <c r="D36" s="14" t="n">
        <v>27</v>
      </c>
      <c r="E36" s="52" t="n">
        <f aca="false">SUM(B_2010!AE7:AE74)*68/SUM(B_2010!$E$7:$BT$74)</f>
        <v>1.31092909076291</v>
      </c>
      <c r="F36" s="52" t="n">
        <f aca="false">SUM(B_2010!E33:BT33)*68/SUM(B_2010!$E$7:$BT$74)</f>
        <v>1.27499675051845</v>
      </c>
      <c r="G36" s="14" t="str">
        <f aca="false">IF(AND(E36&gt;1,F36&gt;1),"CHAVE","")</f>
        <v>CHAVE</v>
      </c>
      <c r="H36" s="52" t="n">
        <f aca="false">SUM(B_2020!AE7:AE74)*68/SUM(B_2020!$E$7:$BT$74)</f>
        <v>1.35442967331235</v>
      </c>
      <c r="I36" s="52" t="n">
        <f aca="false">SUM(B_2020!E33:BT33)*68/SUM(B_2020!$E$7:$BT$74)</f>
        <v>1.1983346729211</v>
      </c>
      <c r="J36" s="14" t="str">
        <f aca="false">IF(AND(H36&gt;1,I36&gt;1),"CHAVE","")</f>
        <v>CHAVE</v>
      </c>
      <c r="K36" s="52" t="n">
        <f aca="false">H36-E36</f>
        <v>0.0435005825494372</v>
      </c>
      <c r="L36" s="52" t="n">
        <f aca="false">I36-F36</f>
        <v>-0.0766620775973439</v>
      </c>
      <c r="M36" s="14" t="str">
        <f aca="false">IF(G36=J36,"",IF(J36="CHAVE","entrou","saiu"))</f>
        <v/>
      </c>
    </row>
    <row r="37" customFormat="false" ht="15" hidden="false" customHeight="false" outlineLevel="0" collapsed="false">
      <c r="B37" s="17" t="s">
        <v>119</v>
      </c>
      <c r="C37" s="9" t="s">
        <v>120</v>
      </c>
      <c r="D37" s="17" t="n">
        <v>28</v>
      </c>
      <c r="E37" s="53" t="n">
        <f aca="false">SUM(B_2010!AF7:AF74)*68/SUM(B_2010!$E$7:$BT$74)</f>
        <v>1.25170078476529</v>
      </c>
      <c r="F37" s="53" t="n">
        <f aca="false">SUM(B_2010!E34:BT34)*68/SUM(B_2010!$E$7:$BT$74)</f>
        <v>0.888982395567423</v>
      </c>
      <c r="G37" s="17" t="str">
        <f aca="false">IF(AND(E37&gt;1,F37&gt;1),"CHAVE","")</f>
        <v/>
      </c>
      <c r="H37" s="53" t="n">
        <f aca="false">SUM(B_2020!AF7:AF74)*68/SUM(B_2020!$E$7:$BT$74)</f>
        <v>1.19455467771988</v>
      </c>
      <c r="I37" s="53" t="n">
        <f aca="false">SUM(B_2020!E34:BT34)*68/SUM(B_2020!$E$7:$BT$74)</f>
        <v>0.956371691745842</v>
      </c>
      <c r="J37" s="17" t="str">
        <f aca="false">IF(AND(H37&gt;1,I37&gt;1),"CHAVE","")</f>
        <v/>
      </c>
      <c r="K37" s="53" t="n">
        <f aca="false">H37-E37</f>
        <v>-0.0571461070454133</v>
      </c>
      <c r="L37" s="53" t="n">
        <f aca="false">I37-F37</f>
        <v>0.0673892961784192</v>
      </c>
      <c r="M37" s="17" t="str">
        <f aca="false">IF(G37=J37,"",IF(J37="CHAVE","entrou","saiu"))</f>
        <v/>
      </c>
    </row>
    <row r="38" customFormat="false" ht="15" hidden="false" customHeight="false" outlineLevel="0" collapsed="false">
      <c r="B38" s="14" t="s">
        <v>121</v>
      </c>
      <c r="C38" s="7" t="s">
        <v>122</v>
      </c>
      <c r="D38" s="14" t="n">
        <v>29</v>
      </c>
      <c r="E38" s="52" t="n">
        <f aca="false">SUM(B_2010!AG7:AG74)*68/SUM(B_2010!$E$7:$BT$74)</f>
        <v>1.20257140560812</v>
      </c>
      <c r="F38" s="52" t="n">
        <f aca="false">SUM(B_2010!E35:BT35)*68/SUM(B_2010!$E$7:$BT$74)</f>
        <v>1.00631498010774</v>
      </c>
      <c r="G38" s="14" t="str">
        <f aca="false">IF(AND(E38&gt;1,F38&gt;1),"CHAVE","")</f>
        <v>CHAVE</v>
      </c>
      <c r="H38" s="52" t="n">
        <f aca="false">SUM(B_2020!AG7:AG74)*68/SUM(B_2020!$E$7:$BT$74)</f>
        <v>1.33627805725188</v>
      </c>
      <c r="I38" s="52" t="n">
        <f aca="false">SUM(B_2020!E35:BT35)*68/SUM(B_2020!$E$7:$BT$74)</f>
        <v>1.00457913174211</v>
      </c>
      <c r="J38" s="14" t="str">
        <f aca="false">IF(AND(H38&gt;1,I38&gt;1),"CHAVE","")</f>
        <v>CHAVE</v>
      </c>
      <c r="K38" s="52" t="n">
        <f aca="false">H38-E38</f>
        <v>0.133706651643766</v>
      </c>
      <c r="L38" s="52" t="n">
        <f aca="false">I38-F38</f>
        <v>-0.00173584836563911</v>
      </c>
      <c r="M38" s="14" t="str">
        <f aca="false">IF(G38=J38,"",IF(J38="CHAVE","entrou","saiu"))</f>
        <v/>
      </c>
    </row>
    <row r="39" customFormat="false" ht="15" hidden="false" customHeight="false" outlineLevel="0" collapsed="false">
      <c r="B39" s="17" t="s">
        <v>123</v>
      </c>
      <c r="C39" s="9" t="s">
        <v>124</v>
      </c>
      <c r="D39" s="17" t="n">
        <v>30</v>
      </c>
      <c r="E39" s="53" t="n">
        <f aca="false">SUM(B_2010!AH7:AH74)*68/SUM(B_2010!$E$7:$BT$74)</f>
        <v>1.01559721067666</v>
      </c>
      <c r="F39" s="53" t="n">
        <f aca="false">SUM(B_2010!E36:BT36)*68/SUM(B_2010!$E$7:$BT$74)</f>
        <v>0.722027375363635</v>
      </c>
      <c r="G39" s="17" t="str">
        <f aca="false">IF(AND(E39&gt;1,F39&gt;1),"CHAVE","")</f>
        <v/>
      </c>
      <c r="H39" s="53" t="n">
        <f aca="false">SUM(B_2020!AH7:AH74)*68/SUM(B_2020!$E$7:$BT$74)</f>
        <v>0.94615630134471</v>
      </c>
      <c r="I39" s="53" t="n">
        <f aca="false">SUM(B_2020!E36:BT36)*68/SUM(B_2020!$E$7:$BT$74)</f>
        <v>0.726716806198687</v>
      </c>
      <c r="J39" s="17" t="str">
        <f aca="false">IF(AND(H39&gt;1,I39&gt;1),"CHAVE","")</f>
        <v/>
      </c>
      <c r="K39" s="53" t="n">
        <f aca="false">H39-E39</f>
        <v>-0.0694409093319494</v>
      </c>
      <c r="L39" s="53" t="n">
        <f aca="false">I39-F39</f>
        <v>0.00468943083505224</v>
      </c>
      <c r="M39" s="17" t="str">
        <f aca="false">IF(G39=J39,"",IF(J39="CHAVE","entrou","saiu"))</f>
        <v/>
      </c>
    </row>
    <row r="40" customFormat="false" ht="15" hidden="false" customHeight="false" outlineLevel="0" collapsed="false">
      <c r="B40" s="14" t="s">
        <v>125</v>
      </c>
      <c r="C40" s="7" t="s">
        <v>126</v>
      </c>
      <c r="D40" s="14" t="n">
        <v>31</v>
      </c>
      <c r="E40" s="52" t="n">
        <f aca="false">SUM(B_2010!AI7:AI74)*68/SUM(B_2010!$E$7:$BT$74)</f>
        <v>1.264056801511</v>
      </c>
      <c r="F40" s="52" t="n">
        <f aca="false">SUM(B_2010!E37:BT37)*68/SUM(B_2010!$E$7:$BT$74)</f>
        <v>0.764225660049524</v>
      </c>
      <c r="G40" s="14" t="str">
        <f aca="false">IF(AND(E40&gt;1,F40&gt;1),"CHAVE","")</f>
        <v/>
      </c>
      <c r="H40" s="52" t="n">
        <f aca="false">SUM(B_2020!AI7:AI74)*68/SUM(B_2020!$E$7:$BT$74)</f>
        <v>1.30529101252405</v>
      </c>
      <c r="I40" s="52" t="n">
        <f aca="false">SUM(B_2020!E37:BT37)*68/SUM(B_2020!$E$7:$BT$74)</f>
        <v>0.789408792555962</v>
      </c>
      <c r="J40" s="14" t="str">
        <f aca="false">IF(AND(H40&gt;1,I40&gt;1),"CHAVE","")</f>
        <v/>
      </c>
      <c r="K40" s="52" t="n">
        <f aca="false">H40-E40</f>
        <v>0.0412342110130581</v>
      </c>
      <c r="L40" s="52" t="n">
        <f aca="false">I40-F40</f>
        <v>0.0251831325064379</v>
      </c>
      <c r="M40" s="14" t="str">
        <f aca="false">IF(G40=J40,"",IF(J40="CHAVE","entrou","saiu"))</f>
        <v/>
      </c>
    </row>
    <row r="41" customFormat="false" ht="15" hidden="false" customHeight="false" outlineLevel="0" collapsed="false">
      <c r="B41" s="17" t="s">
        <v>127</v>
      </c>
      <c r="C41" s="9" t="s">
        <v>128</v>
      </c>
      <c r="D41" s="17" t="n">
        <v>32</v>
      </c>
      <c r="E41" s="53" t="n">
        <f aca="false">SUM(B_2010!AJ7:AJ74)*68/SUM(B_2010!$E$7:$BT$74)</f>
        <v>1.2958285145909</v>
      </c>
      <c r="F41" s="53" t="n">
        <f aca="false">SUM(B_2010!E38:BT38)*68/SUM(B_2010!$E$7:$BT$74)</f>
        <v>0.923492891290245</v>
      </c>
      <c r="G41" s="17" t="str">
        <f aca="false">IF(AND(E41&gt;1,F41&gt;1),"CHAVE","")</f>
        <v/>
      </c>
      <c r="H41" s="53" t="n">
        <f aca="false">SUM(B_2020!AJ7:AJ74)*68/SUM(B_2020!$E$7:$BT$74)</f>
        <v>1.37377259260028</v>
      </c>
      <c r="I41" s="53" t="n">
        <f aca="false">SUM(B_2020!E38:BT38)*68/SUM(B_2020!$E$7:$BT$74)</f>
        <v>0.873515475545184</v>
      </c>
      <c r="J41" s="17" t="str">
        <f aca="false">IF(AND(H41&gt;1,I41&gt;1),"CHAVE","")</f>
        <v/>
      </c>
      <c r="K41" s="53" t="n">
        <f aca="false">H41-E41</f>
        <v>0.0779440780093821</v>
      </c>
      <c r="L41" s="53" t="n">
        <f aca="false">I41-F41</f>
        <v>-0.049977415745061</v>
      </c>
      <c r="M41" s="17" t="str">
        <f aca="false">IF(G41=J41,"",IF(J41="CHAVE","entrou","saiu"))</f>
        <v/>
      </c>
    </row>
    <row r="42" customFormat="false" ht="15" hidden="false" customHeight="false" outlineLevel="0" collapsed="false">
      <c r="B42" s="14" t="s">
        <v>129</v>
      </c>
      <c r="C42" s="7" t="s">
        <v>130</v>
      </c>
      <c r="D42" s="14" t="n">
        <v>33</v>
      </c>
      <c r="E42" s="52" t="n">
        <f aca="false">SUM(B_2010!AK7:AK74)*68/SUM(B_2010!$E$7:$BT$74)</f>
        <v>1.11242057390627</v>
      </c>
      <c r="F42" s="52" t="n">
        <f aca="false">SUM(B_2010!E39:BT39)*68/SUM(B_2010!$E$7:$BT$74)</f>
        <v>0.534443860825997</v>
      </c>
      <c r="G42" s="14" t="str">
        <f aca="false">IF(AND(E42&gt;1,F42&gt;1),"CHAVE","")</f>
        <v/>
      </c>
      <c r="H42" s="52" t="n">
        <f aca="false">SUM(B_2020!AK7:AK74)*68/SUM(B_2020!$E$7:$BT$74)</f>
        <v>1.13843569140038</v>
      </c>
      <c r="I42" s="52" t="n">
        <f aca="false">SUM(B_2020!E39:BT39)*68/SUM(B_2020!$E$7:$BT$74)</f>
        <v>0.5277624210635</v>
      </c>
      <c r="J42" s="14" t="str">
        <f aca="false">IF(AND(H42&gt;1,I42&gt;1),"CHAVE","")</f>
        <v/>
      </c>
      <c r="K42" s="52" t="n">
        <f aca="false">H42-E42</f>
        <v>0.0260151174941154</v>
      </c>
      <c r="L42" s="52" t="n">
        <f aca="false">I42-F42</f>
        <v>-0.0066814397624978</v>
      </c>
      <c r="M42" s="14" t="str">
        <f aca="false">IF(G42=J42,"",IF(J42="CHAVE","entrou","saiu"))</f>
        <v/>
      </c>
    </row>
    <row r="43" customFormat="false" ht="15" hidden="false" customHeight="false" outlineLevel="0" collapsed="false">
      <c r="B43" s="17" t="s">
        <v>131</v>
      </c>
      <c r="C43" s="9" t="s">
        <v>132</v>
      </c>
      <c r="D43" s="17" t="n">
        <v>34</v>
      </c>
      <c r="E43" s="53" t="n">
        <f aca="false">SUM(B_2010!AL7:AL74)*68/SUM(B_2010!$E$7:$BT$74)</f>
        <v>1.08428589596319</v>
      </c>
      <c r="F43" s="53" t="n">
        <f aca="false">SUM(B_2010!E40:BT40)*68/SUM(B_2010!$E$7:$BT$74)</f>
        <v>0.913996377380507</v>
      </c>
      <c r="G43" s="17" t="str">
        <f aca="false">IF(AND(E43&gt;1,F43&gt;1),"CHAVE","")</f>
        <v/>
      </c>
      <c r="H43" s="53" t="n">
        <f aca="false">SUM(B_2020!AL7:AL74)*68/SUM(B_2020!$E$7:$BT$74)</f>
        <v>1.04945207402294</v>
      </c>
      <c r="I43" s="53" t="n">
        <f aca="false">SUM(B_2020!E40:BT40)*68/SUM(B_2020!$E$7:$BT$74)</f>
        <v>0.936092830898057</v>
      </c>
      <c r="J43" s="17" t="str">
        <f aca="false">IF(AND(H43&gt;1,I43&gt;1),"CHAVE","")</f>
        <v/>
      </c>
      <c r="K43" s="53" t="n">
        <f aca="false">H43-E43</f>
        <v>-0.0348338219402538</v>
      </c>
      <c r="L43" s="53" t="n">
        <f aca="false">I43-F43</f>
        <v>0.0220964535175499</v>
      </c>
      <c r="M43" s="17" t="str">
        <f aca="false">IF(G43=J43,"",IF(J43="CHAVE","entrou","saiu"))</f>
        <v/>
      </c>
    </row>
    <row r="44" customFormat="false" ht="15" hidden="false" customHeight="false" outlineLevel="0" collapsed="false">
      <c r="B44" s="14" t="s">
        <v>133</v>
      </c>
      <c r="C44" s="7" t="s">
        <v>134</v>
      </c>
      <c r="D44" s="14" t="n">
        <v>35</v>
      </c>
      <c r="E44" s="52" t="n">
        <f aca="false">SUM(B_2010!AM7:AM74)*68/SUM(B_2010!$E$7:$BT$74)</f>
        <v>1.0548105583167</v>
      </c>
      <c r="F44" s="52" t="n">
        <f aca="false">SUM(B_2010!E41:BT41)*68/SUM(B_2010!$E$7:$BT$74)</f>
        <v>0.654840060869745</v>
      </c>
      <c r="G44" s="14" t="str">
        <f aca="false">IF(AND(E44&gt;1,F44&gt;1),"CHAVE","")</f>
        <v/>
      </c>
      <c r="H44" s="52" t="n">
        <f aca="false">SUM(B_2020!AM7:AM74)*68/SUM(B_2020!$E$7:$BT$74)</f>
        <v>0.934497427637256</v>
      </c>
      <c r="I44" s="52" t="n">
        <f aca="false">SUM(B_2020!E41:BT41)*68/SUM(B_2020!$E$7:$BT$74)</f>
        <v>0.581083738444445</v>
      </c>
      <c r="J44" s="14" t="str">
        <f aca="false">IF(AND(H44&gt;1,I44&gt;1),"CHAVE","")</f>
        <v/>
      </c>
      <c r="K44" s="52" t="n">
        <f aca="false">H44-E44</f>
        <v>-0.12031313067944</v>
      </c>
      <c r="L44" s="52" t="n">
        <f aca="false">I44-F44</f>
        <v>-0.0737563224253008</v>
      </c>
      <c r="M44" s="14" t="str">
        <f aca="false">IF(G44=J44,"",IF(J44="CHAVE","entrou","saiu"))</f>
        <v/>
      </c>
    </row>
    <row r="45" customFormat="false" ht="15" hidden="false" customHeight="false" outlineLevel="0" collapsed="false">
      <c r="B45" s="17" t="s">
        <v>135</v>
      </c>
      <c r="C45" s="9" t="s">
        <v>136</v>
      </c>
      <c r="D45" s="17" t="n">
        <v>36</v>
      </c>
      <c r="E45" s="53" t="n">
        <f aca="false">SUM(B_2010!AN7:AN74)*68/SUM(B_2010!$E$7:$BT$74)</f>
        <v>1.02646955873468</v>
      </c>
      <c r="F45" s="53" t="n">
        <f aca="false">SUM(B_2010!E42:BT42)*68/SUM(B_2010!$E$7:$BT$74)</f>
        <v>0.607511001796396</v>
      </c>
      <c r="G45" s="17" t="str">
        <f aca="false">IF(AND(E45&gt;1,F45&gt;1),"CHAVE","")</f>
        <v/>
      </c>
      <c r="H45" s="53" t="n">
        <f aca="false">SUM(B_2020!AN7:AN74)*68/SUM(B_2020!$E$7:$BT$74)</f>
        <v>1.082237631023</v>
      </c>
      <c r="I45" s="53" t="n">
        <f aca="false">SUM(B_2020!E42:BT42)*68/SUM(B_2020!$E$7:$BT$74)</f>
        <v>0.587082802236204</v>
      </c>
      <c r="J45" s="17" t="str">
        <f aca="false">IF(AND(H45&gt;1,I45&gt;1),"CHAVE","")</f>
        <v/>
      </c>
      <c r="K45" s="53" t="n">
        <f aca="false">H45-E45</f>
        <v>0.0557680722883225</v>
      </c>
      <c r="L45" s="53" t="n">
        <f aca="false">I45-F45</f>
        <v>-0.0204281995601923</v>
      </c>
      <c r="M45" s="17" t="str">
        <f aca="false">IF(G45=J45,"",IF(J45="CHAVE","entrou","saiu"))</f>
        <v/>
      </c>
    </row>
    <row r="46" customFormat="false" ht="15" hidden="false" customHeight="false" outlineLevel="0" collapsed="false">
      <c r="B46" s="14" t="s">
        <v>137</v>
      </c>
      <c r="C46" s="7" t="s">
        <v>138</v>
      </c>
      <c r="D46" s="14" t="n">
        <v>37</v>
      </c>
      <c r="E46" s="52" t="n">
        <f aca="false">SUM(B_2010!AO7:AO74)*68/SUM(B_2010!$E$7:$BT$74)</f>
        <v>0.937014251892641</v>
      </c>
      <c r="F46" s="52" t="n">
        <f aca="false">SUM(B_2010!E43:BT43)*68/SUM(B_2010!$E$7:$BT$74)</f>
        <v>1.08645485177248</v>
      </c>
      <c r="G46" s="14" t="str">
        <f aca="false">IF(AND(E46&gt;1,F46&gt;1),"CHAVE","")</f>
        <v/>
      </c>
      <c r="H46" s="52" t="n">
        <f aca="false">SUM(B_2020!AO7:AO74)*68/SUM(B_2020!$E$7:$BT$74)</f>
        <v>0.902477335138221</v>
      </c>
      <c r="I46" s="52" t="n">
        <f aca="false">SUM(B_2020!E43:BT43)*68/SUM(B_2020!$E$7:$BT$74)</f>
        <v>1.11679819348603</v>
      </c>
      <c r="J46" s="14" t="str">
        <f aca="false">IF(AND(H46&gt;1,I46&gt;1),"CHAVE","")</f>
        <v/>
      </c>
      <c r="K46" s="52" t="n">
        <f aca="false">H46-E46</f>
        <v>-0.0345369167544206</v>
      </c>
      <c r="L46" s="52" t="n">
        <f aca="false">I46-F46</f>
        <v>0.0303433417135524</v>
      </c>
      <c r="M46" s="14" t="str">
        <f aca="false">IF(G46=J46,"",IF(J46="CHAVE","entrou","saiu"))</f>
        <v/>
      </c>
    </row>
    <row r="47" customFormat="false" ht="15" hidden="false" customHeight="false" outlineLevel="0" collapsed="false">
      <c r="B47" s="17" t="s">
        <v>139</v>
      </c>
      <c r="C47" s="9" t="s">
        <v>140</v>
      </c>
      <c r="D47" s="17" t="n">
        <v>38</v>
      </c>
      <c r="E47" s="53" t="n">
        <f aca="false">SUM(B_2010!AP7:AP74)*68/SUM(B_2010!$E$7:$BT$74)</f>
        <v>0.908307903500031</v>
      </c>
      <c r="F47" s="53" t="n">
        <f aca="false">SUM(B_2010!E44:BT44)*68/SUM(B_2010!$E$7:$BT$74)</f>
        <v>1.76489802121147</v>
      </c>
      <c r="G47" s="17" t="str">
        <f aca="false">IF(AND(E47&gt;1,F47&gt;1),"CHAVE","")</f>
        <v/>
      </c>
      <c r="H47" s="53" t="n">
        <f aca="false">SUM(B_2020!AP7:AP74)*68/SUM(B_2020!$E$7:$BT$74)</f>
        <v>0.924940040515613</v>
      </c>
      <c r="I47" s="53" t="n">
        <f aca="false">SUM(B_2020!E44:BT44)*68/SUM(B_2020!$E$7:$BT$74)</f>
        <v>1.84096740071856</v>
      </c>
      <c r="J47" s="17" t="str">
        <f aca="false">IF(AND(H47&gt;1,I47&gt;1),"CHAVE","")</f>
        <v/>
      </c>
      <c r="K47" s="53" t="n">
        <f aca="false">H47-E47</f>
        <v>0.0166321370155824</v>
      </c>
      <c r="L47" s="53" t="n">
        <f aca="false">I47-F47</f>
        <v>0.0760693795070904</v>
      </c>
      <c r="M47" s="17" t="str">
        <f aca="false">IF(G47=J47,"",IF(J47="CHAVE","entrou","saiu"))</f>
        <v/>
      </c>
    </row>
    <row r="48" customFormat="false" ht="15" hidden="false" customHeight="false" outlineLevel="0" collapsed="false">
      <c r="B48" s="14" t="s">
        <v>141</v>
      </c>
      <c r="C48" s="7" t="s">
        <v>142</v>
      </c>
      <c r="D48" s="14" t="n">
        <v>39</v>
      </c>
      <c r="E48" s="52" t="n">
        <f aca="false">SUM(B_2010!AQ7:AQ74)*68/SUM(B_2010!$E$7:$BT$74)</f>
        <v>0.842960132930504</v>
      </c>
      <c r="F48" s="52" t="n">
        <f aca="false">SUM(B_2010!E45:BT45)*68/SUM(B_2010!$E$7:$BT$74)</f>
        <v>0.745697223396946</v>
      </c>
      <c r="G48" s="14" t="str">
        <f aca="false">IF(AND(E48&gt;1,F48&gt;1),"CHAVE","")</f>
        <v/>
      </c>
      <c r="H48" s="52" t="n">
        <f aca="false">SUM(B_2020!AQ7:AQ74)*68/SUM(B_2020!$E$7:$BT$74)</f>
        <v>0.788446372271896</v>
      </c>
      <c r="I48" s="52" t="n">
        <f aca="false">SUM(B_2020!E45:BT45)*68/SUM(B_2020!$E$7:$BT$74)</f>
        <v>0.784300139498683</v>
      </c>
      <c r="J48" s="14" t="str">
        <f aca="false">IF(AND(H48&gt;1,I48&gt;1),"CHAVE","")</f>
        <v/>
      </c>
      <c r="K48" s="52" t="n">
        <f aca="false">H48-E48</f>
        <v>-0.0545137606586085</v>
      </c>
      <c r="L48" s="52" t="n">
        <f aca="false">I48-F48</f>
        <v>0.0386029161017376</v>
      </c>
      <c r="M48" s="14" t="str">
        <f aca="false">IF(G48=J48,"",IF(J48="CHAVE","entrou","saiu"))</f>
        <v/>
      </c>
    </row>
    <row r="49" customFormat="false" ht="15" hidden="false" customHeight="false" outlineLevel="0" collapsed="false">
      <c r="B49" s="17" t="s">
        <v>143</v>
      </c>
      <c r="C49" s="9" t="s">
        <v>144</v>
      </c>
      <c r="D49" s="17" t="n">
        <v>40</v>
      </c>
      <c r="E49" s="53" t="n">
        <f aca="false">SUM(B_2010!AR7:AR74)*68/SUM(B_2010!$E$7:$BT$74)</f>
        <v>0.94251001560319</v>
      </c>
      <c r="F49" s="53" t="n">
        <f aca="false">SUM(B_2010!E46:BT46)*68/SUM(B_2010!$E$7:$BT$74)</f>
        <v>0.88200316335147</v>
      </c>
      <c r="G49" s="17" t="str">
        <f aca="false">IF(AND(E49&gt;1,F49&gt;1),"CHAVE","")</f>
        <v/>
      </c>
      <c r="H49" s="53" t="n">
        <f aca="false">SUM(B_2020!AR7:AR74)*68/SUM(B_2020!$E$7:$BT$74)</f>
        <v>0.955825486126194</v>
      </c>
      <c r="I49" s="53" t="n">
        <f aca="false">SUM(B_2020!E46:BT46)*68/SUM(B_2020!$E$7:$BT$74)</f>
        <v>0.802177811124042</v>
      </c>
      <c r="J49" s="17" t="str">
        <f aca="false">IF(AND(H49&gt;1,I49&gt;1),"CHAVE","")</f>
        <v/>
      </c>
      <c r="K49" s="53" t="n">
        <f aca="false">H49-E49</f>
        <v>0.0133154705230035</v>
      </c>
      <c r="L49" s="53" t="n">
        <f aca="false">I49-F49</f>
        <v>-0.0798253522274283</v>
      </c>
      <c r="M49" s="17" t="str">
        <f aca="false">IF(G49=J49,"",IF(J49="CHAVE","entrou","saiu"))</f>
        <v/>
      </c>
    </row>
    <row r="50" customFormat="false" ht="15" hidden="false" customHeight="false" outlineLevel="0" collapsed="false">
      <c r="B50" s="14" t="s">
        <v>145</v>
      </c>
      <c r="C50" s="7" t="s">
        <v>146</v>
      </c>
      <c r="D50" s="14" t="n">
        <v>41</v>
      </c>
      <c r="E50" s="52" t="n">
        <f aca="false">SUM(B_2010!AS7:AS74)*68/SUM(B_2010!$E$7:$BT$74)</f>
        <v>0.80415130651671</v>
      </c>
      <c r="F50" s="52" t="n">
        <f aca="false">SUM(B_2010!E47:BT47)*68/SUM(B_2010!$E$7:$BT$74)</f>
        <v>0.878052385265981</v>
      </c>
      <c r="G50" s="14" t="str">
        <f aca="false">IF(AND(E50&gt;1,F50&gt;1),"CHAVE","")</f>
        <v/>
      </c>
      <c r="H50" s="52" t="n">
        <f aca="false">SUM(B_2020!AS7:AS74)*68/SUM(B_2020!$E$7:$BT$74)</f>
        <v>0.803372483983619</v>
      </c>
      <c r="I50" s="52" t="n">
        <f aca="false">SUM(B_2020!E47:BT47)*68/SUM(B_2020!$E$7:$BT$74)</f>
        <v>0.841716876341572</v>
      </c>
      <c r="J50" s="14" t="str">
        <f aca="false">IF(AND(H50&gt;1,I50&gt;1),"CHAVE","")</f>
        <v/>
      </c>
      <c r="K50" s="52" t="n">
        <f aca="false">H50-E50</f>
        <v>-0.000778822533091139</v>
      </c>
      <c r="L50" s="52" t="n">
        <f aca="false">I50-F50</f>
        <v>-0.0363355089244091</v>
      </c>
      <c r="M50" s="14" t="str">
        <f aca="false">IF(G50=J50,"",IF(J50="CHAVE","entrou","saiu"))</f>
        <v/>
      </c>
    </row>
    <row r="51" customFormat="false" ht="15" hidden="false" customHeight="false" outlineLevel="0" collapsed="false">
      <c r="B51" s="17" t="s">
        <v>147</v>
      </c>
      <c r="C51" s="9" t="s">
        <v>148</v>
      </c>
      <c r="D51" s="17" t="n">
        <v>42</v>
      </c>
      <c r="E51" s="53" t="n">
        <f aca="false">SUM(B_2010!AT7:AT74)*68/SUM(B_2010!$E$7:$BT$74)</f>
        <v>0.861719855553909</v>
      </c>
      <c r="F51" s="53" t="n">
        <f aca="false">SUM(B_2010!E48:BT48)*68/SUM(B_2010!$E$7:$BT$74)</f>
        <v>6.71344944108587</v>
      </c>
      <c r="G51" s="17" t="str">
        <f aca="false">IF(AND(E51&gt;1,F51&gt;1),"CHAVE","")</f>
        <v/>
      </c>
      <c r="H51" s="53" t="n">
        <f aca="false">SUM(B_2020!AT7:AT74)*68/SUM(B_2020!$E$7:$BT$74)</f>
        <v>0.905939735493976</v>
      </c>
      <c r="I51" s="53" t="n">
        <f aca="false">SUM(B_2020!E48:BT48)*68/SUM(B_2020!$E$7:$BT$74)</f>
        <v>7.2370823184036</v>
      </c>
      <c r="J51" s="17" t="str">
        <f aca="false">IF(AND(H51&gt;1,I51&gt;1),"CHAVE","")</f>
        <v/>
      </c>
      <c r="K51" s="53" t="n">
        <f aca="false">H51-E51</f>
        <v>0.0442198799400676</v>
      </c>
      <c r="L51" s="53" t="n">
        <f aca="false">I51-F51</f>
        <v>0.523632877317735</v>
      </c>
      <c r="M51" s="17" t="str">
        <f aca="false">IF(G51=J51,"",IF(J51="CHAVE","entrou","saiu"))</f>
        <v/>
      </c>
    </row>
    <row r="52" customFormat="false" ht="15" hidden="false" customHeight="false" outlineLevel="0" collapsed="false">
      <c r="B52" s="14" t="s">
        <v>149</v>
      </c>
      <c r="C52" s="7" t="s">
        <v>150</v>
      </c>
      <c r="D52" s="14" t="n">
        <v>43</v>
      </c>
      <c r="E52" s="52" t="n">
        <f aca="false">SUM(B_2010!AU7:AU74)*68/SUM(B_2010!$E$7:$BT$74)</f>
        <v>1.0435139088209</v>
      </c>
      <c r="F52" s="52" t="n">
        <f aca="false">SUM(B_2010!E49:BT49)*68/SUM(B_2010!$E$7:$BT$74)</f>
        <v>2.42074930762479</v>
      </c>
      <c r="G52" s="14" t="str">
        <f aca="false">IF(AND(E52&gt;1,F52&gt;1),"CHAVE","")</f>
        <v>CHAVE</v>
      </c>
      <c r="H52" s="52" t="n">
        <f aca="false">SUM(B_2020!AU7:AU74)*68/SUM(B_2020!$E$7:$BT$74)</f>
        <v>1.05385980341825</v>
      </c>
      <c r="I52" s="52" t="n">
        <f aca="false">SUM(B_2020!E49:BT49)*68/SUM(B_2020!$E$7:$BT$74)</f>
        <v>2.64945611855542</v>
      </c>
      <c r="J52" s="14" t="str">
        <f aca="false">IF(AND(H52&gt;1,I52&gt;1),"CHAVE","")</f>
        <v>CHAVE</v>
      </c>
      <c r="K52" s="52" t="n">
        <f aca="false">H52-E52</f>
        <v>0.0103458945973511</v>
      </c>
      <c r="L52" s="52" t="n">
        <f aca="false">I52-F52</f>
        <v>0.228706810930631</v>
      </c>
      <c r="M52" s="14" t="str">
        <f aca="false">IF(G52=J52,"",IF(J52="CHAVE","entrou","saiu"))</f>
        <v/>
      </c>
    </row>
    <row r="53" customFormat="false" ht="15" hidden="false" customHeight="false" outlineLevel="0" collapsed="false">
      <c r="B53" s="17" t="s">
        <v>151</v>
      </c>
      <c r="C53" s="9" t="s">
        <v>152</v>
      </c>
      <c r="D53" s="17" t="n">
        <v>44</v>
      </c>
      <c r="E53" s="53" t="n">
        <f aca="false">SUM(B_2010!AV7:AV74)*68/SUM(B_2010!$E$7:$BT$74)</f>
        <v>0.992587628120288</v>
      </c>
      <c r="F53" s="53" t="n">
        <f aca="false">SUM(B_2010!E50:BT50)*68/SUM(B_2010!$E$7:$BT$74)</f>
        <v>0.600046066471243</v>
      </c>
      <c r="G53" s="17" t="str">
        <f aca="false">IF(AND(E53&gt;1,F53&gt;1),"CHAVE","")</f>
        <v/>
      </c>
      <c r="H53" s="53" t="n">
        <f aca="false">SUM(B_2020!AV7:AV74)*68/SUM(B_2020!$E$7:$BT$74)</f>
        <v>0.89658446820966</v>
      </c>
      <c r="I53" s="53" t="n">
        <f aca="false">SUM(B_2020!E50:BT50)*68/SUM(B_2020!$E$7:$BT$74)</f>
        <v>0.638109651871311</v>
      </c>
      <c r="J53" s="17" t="str">
        <f aca="false">IF(AND(H53&gt;1,I53&gt;1),"CHAVE","")</f>
        <v/>
      </c>
      <c r="K53" s="53" t="n">
        <f aca="false">H53-E53</f>
        <v>-0.096003159910628</v>
      </c>
      <c r="L53" s="53" t="n">
        <f aca="false">I53-F53</f>
        <v>0.0380635854000689</v>
      </c>
      <c r="M53" s="17" t="str">
        <f aca="false">IF(G53=J53,"",IF(J53="CHAVE","entrou","saiu"))</f>
        <v/>
      </c>
    </row>
    <row r="54" customFormat="false" ht="15" hidden="false" customHeight="false" outlineLevel="0" collapsed="false">
      <c r="B54" s="14" t="s">
        <v>153</v>
      </c>
      <c r="C54" s="7" t="s">
        <v>154</v>
      </c>
      <c r="D54" s="14" t="n">
        <v>45</v>
      </c>
      <c r="E54" s="52" t="n">
        <f aca="false">SUM(B_2010!AW7:AW74)*68/SUM(B_2010!$E$7:$BT$74)</f>
        <v>0.927742561622375</v>
      </c>
      <c r="F54" s="52" t="n">
        <f aca="false">SUM(B_2010!E51:BT51)*68/SUM(B_2010!$E$7:$BT$74)</f>
        <v>0.656507278867208</v>
      </c>
      <c r="G54" s="14" t="str">
        <f aca="false">IF(AND(E54&gt;1,F54&gt;1),"CHAVE","")</f>
        <v/>
      </c>
      <c r="H54" s="52" t="n">
        <f aca="false">SUM(B_2020!AW7:AW74)*68/SUM(B_2020!$E$7:$BT$74)</f>
        <v>0.960359748231963</v>
      </c>
      <c r="I54" s="52" t="n">
        <f aca="false">SUM(B_2020!E51:BT51)*68/SUM(B_2020!$E$7:$BT$74)</f>
        <v>0.560891129679579</v>
      </c>
      <c r="J54" s="14" t="str">
        <f aca="false">IF(AND(H54&gt;1,I54&gt;1),"CHAVE","")</f>
        <v/>
      </c>
      <c r="K54" s="52" t="n">
        <f aca="false">H54-E54</f>
        <v>0.0326171866095881</v>
      </c>
      <c r="L54" s="52" t="n">
        <f aca="false">I54-F54</f>
        <v>-0.0956161491876286</v>
      </c>
      <c r="M54" s="14" t="str">
        <f aca="false">IF(G54=J54,"",IF(J54="CHAVE","entrou","saiu"))</f>
        <v/>
      </c>
    </row>
    <row r="55" customFormat="false" ht="15" hidden="false" customHeight="false" outlineLevel="0" collapsed="false">
      <c r="B55" s="17" t="s">
        <v>155</v>
      </c>
      <c r="C55" s="9" t="s">
        <v>156</v>
      </c>
      <c r="D55" s="17" t="n">
        <v>46</v>
      </c>
      <c r="E55" s="53" t="n">
        <f aca="false">SUM(B_2010!AX7:AX74)*68/SUM(B_2010!$E$7:$BT$74)</f>
        <v>0.830940336209504</v>
      </c>
      <c r="F55" s="53" t="n">
        <f aca="false">SUM(B_2010!E52:BT52)*68/SUM(B_2010!$E$7:$BT$74)</f>
        <v>1.17864352617763</v>
      </c>
      <c r="G55" s="17" t="str">
        <f aca="false">IF(AND(E55&gt;1,F55&gt;1),"CHAVE","")</f>
        <v/>
      </c>
      <c r="H55" s="53" t="n">
        <f aca="false">SUM(B_2020!AX7:AX74)*68/SUM(B_2020!$E$7:$BT$74)</f>
        <v>0.821872173394825</v>
      </c>
      <c r="I55" s="53" t="n">
        <f aca="false">SUM(B_2020!E52:BT52)*68/SUM(B_2020!$E$7:$BT$74)</f>
        <v>1.24663841748767</v>
      </c>
      <c r="J55" s="17" t="str">
        <f aca="false">IF(AND(H55&gt;1,I55&gt;1),"CHAVE","")</f>
        <v/>
      </c>
      <c r="K55" s="53" t="n">
        <f aca="false">H55-E55</f>
        <v>-0.00906816281467848</v>
      </c>
      <c r="L55" s="53" t="n">
        <f aca="false">I55-F55</f>
        <v>0.0679948913100434</v>
      </c>
      <c r="M55" s="17" t="str">
        <f aca="false">IF(G55=J55,"",IF(J55="CHAVE","entrou","saiu"))</f>
        <v/>
      </c>
    </row>
    <row r="56" customFormat="false" ht="15" hidden="false" customHeight="false" outlineLevel="0" collapsed="false">
      <c r="B56" s="14" t="s">
        <v>157</v>
      </c>
      <c r="C56" s="7" t="s">
        <v>158</v>
      </c>
      <c r="D56" s="14" t="n">
        <v>47</v>
      </c>
      <c r="E56" s="52" t="n">
        <f aca="false">SUM(B_2010!AY7:AY74)*68/SUM(B_2010!$E$7:$BT$74)</f>
        <v>0.819820309431126</v>
      </c>
      <c r="F56" s="52" t="n">
        <f aca="false">SUM(B_2010!E53:BT53)*68/SUM(B_2010!$E$7:$BT$74)</f>
        <v>0.584039543162849</v>
      </c>
      <c r="G56" s="14" t="str">
        <f aca="false">IF(AND(E56&gt;1,F56&gt;1),"CHAVE","")</f>
        <v/>
      </c>
      <c r="H56" s="52" t="n">
        <f aca="false">SUM(B_2020!AY7:AY74)*68/SUM(B_2020!$E$7:$BT$74)</f>
        <v>0.85318997457487</v>
      </c>
      <c r="I56" s="52" t="n">
        <f aca="false">SUM(B_2020!E53:BT53)*68/SUM(B_2020!$E$7:$BT$74)</f>
        <v>0.548242495045125</v>
      </c>
      <c r="J56" s="14" t="str">
        <f aca="false">IF(AND(H56&gt;1,I56&gt;1),"CHAVE","")</f>
        <v/>
      </c>
      <c r="K56" s="52" t="n">
        <f aca="false">H56-E56</f>
        <v>0.0333696651437445</v>
      </c>
      <c r="L56" s="52" t="n">
        <f aca="false">I56-F56</f>
        <v>-0.035797048117724</v>
      </c>
      <c r="M56" s="14" t="str">
        <f aca="false">IF(G56=J56,"",IF(J56="CHAVE","entrou","saiu"))</f>
        <v/>
      </c>
    </row>
    <row r="57" customFormat="false" ht="15" hidden="false" customHeight="false" outlineLevel="0" collapsed="false">
      <c r="B57" s="17" t="s">
        <v>159</v>
      </c>
      <c r="C57" s="9" t="s">
        <v>160</v>
      </c>
      <c r="D57" s="17" t="n">
        <v>48</v>
      </c>
      <c r="E57" s="53" t="n">
        <f aca="false">SUM(B_2010!AZ7:AZ74)*68/SUM(B_2010!$E$7:$BT$74)</f>
        <v>0.883869207916445</v>
      </c>
      <c r="F57" s="53" t="n">
        <f aca="false">SUM(B_2010!E54:BT54)*68/SUM(B_2010!$E$7:$BT$74)</f>
        <v>0.649890241299878</v>
      </c>
      <c r="G57" s="17" t="str">
        <f aca="false">IF(AND(E57&gt;1,F57&gt;1),"CHAVE","")</f>
        <v/>
      </c>
      <c r="H57" s="53" t="n">
        <f aca="false">SUM(B_2020!AZ7:AZ74)*68/SUM(B_2020!$E$7:$BT$74)</f>
        <v>0.948949083619517</v>
      </c>
      <c r="I57" s="53" t="n">
        <f aca="false">SUM(B_2020!E54:BT54)*68/SUM(B_2020!$E$7:$BT$74)</f>
        <v>0.625509510440453</v>
      </c>
      <c r="J57" s="17" t="str">
        <f aca="false">IF(AND(H57&gt;1,I57&gt;1),"CHAVE","")</f>
        <v/>
      </c>
      <c r="K57" s="53" t="n">
        <f aca="false">H57-E57</f>
        <v>0.0650798757030718</v>
      </c>
      <c r="L57" s="53" t="n">
        <f aca="false">I57-F57</f>
        <v>-0.0243807308594255</v>
      </c>
      <c r="M57" s="17" t="str">
        <f aca="false">IF(G57=J57,"",IF(J57="CHAVE","entrou","saiu"))</f>
        <v/>
      </c>
    </row>
    <row r="58" customFormat="false" ht="15" hidden="false" customHeight="false" outlineLevel="0" collapsed="false">
      <c r="B58" s="14" t="s">
        <v>161</v>
      </c>
      <c r="C58" s="7" t="s">
        <v>162</v>
      </c>
      <c r="D58" s="14" t="n">
        <v>49</v>
      </c>
      <c r="E58" s="52" t="n">
        <f aca="false">SUM(B_2010!BA7:BA74)*68/SUM(B_2010!$E$7:$BT$74)</f>
        <v>1.25013772236763</v>
      </c>
      <c r="F58" s="52" t="n">
        <f aca="false">SUM(B_2010!E55:BT55)*68/SUM(B_2010!$E$7:$BT$74)</f>
        <v>0.599926470902229</v>
      </c>
      <c r="G58" s="14" t="str">
        <f aca="false">IF(AND(E58&gt;1,F58&gt;1),"CHAVE","")</f>
        <v/>
      </c>
      <c r="H58" s="52" t="n">
        <f aca="false">SUM(B_2020!BA7:BA74)*68/SUM(B_2020!$E$7:$BT$74)</f>
        <v>1.16410729160454</v>
      </c>
      <c r="I58" s="52" t="n">
        <f aca="false">SUM(B_2020!E55:BT55)*68/SUM(B_2020!$E$7:$BT$74)</f>
        <v>0.532842151365052</v>
      </c>
      <c r="J58" s="14" t="str">
        <f aca="false">IF(AND(H58&gt;1,I58&gt;1),"CHAVE","")</f>
        <v/>
      </c>
      <c r="K58" s="52" t="n">
        <f aca="false">H58-E58</f>
        <v>-0.086030430763083</v>
      </c>
      <c r="L58" s="52" t="n">
        <f aca="false">I58-F58</f>
        <v>-0.0670843195371771</v>
      </c>
      <c r="M58" s="14" t="str">
        <f aca="false">IF(G58=J58,"",IF(J58="CHAVE","entrou","saiu"))</f>
        <v/>
      </c>
    </row>
    <row r="59" customFormat="false" ht="15" hidden="false" customHeight="false" outlineLevel="0" collapsed="false">
      <c r="B59" s="17" t="s">
        <v>163</v>
      </c>
      <c r="C59" s="9" t="s">
        <v>164</v>
      </c>
      <c r="D59" s="17" t="n">
        <v>50</v>
      </c>
      <c r="E59" s="53" t="n">
        <f aca="false">SUM(B_2010!BB7:BB74)*68/SUM(B_2010!$E$7:$BT$74)</f>
        <v>1.1418670322064</v>
      </c>
      <c r="F59" s="53" t="n">
        <f aca="false">SUM(B_2010!E56:BT56)*68/SUM(B_2010!$E$7:$BT$74)</f>
        <v>1.03745993794816</v>
      </c>
      <c r="G59" s="17" t="str">
        <f aca="false">IF(AND(E59&gt;1,F59&gt;1),"CHAVE","")</f>
        <v>CHAVE</v>
      </c>
      <c r="H59" s="53" t="n">
        <f aca="false">SUM(B_2020!BB7:BB74)*68/SUM(B_2020!$E$7:$BT$74)</f>
        <v>1.13790219524267</v>
      </c>
      <c r="I59" s="53" t="n">
        <f aca="false">SUM(B_2020!E56:BT56)*68/SUM(B_2020!$E$7:$BT$74)</f>
        <v>0.886873936604286</v>
      </c>
      <c r="J59" s="17" t="str">
        <f aca="false">IF(AND(H59&gt;1,I59&gt;1),"CHAVE","")</f>
        <v/>
      </c>
      <c r="K59" s="53" t="n">
        <f aca="false">H59-E59</f>
        <v>-0.00396483696373551</v>
      </c>
      <c r="L59" s="53" t="n">
        <f aca="false">I59-F59</f>
        <v>-0.150586001343869</v>
      </c>
      <c r="M59" s="17" t="str">
        <f aca="false">IF(G59=J59,"",IF(J59="CHAVE","entrou","saiu"))</f>
        <v>saiu</v>
      </c>
    </row>
    <row r="60" customFormat="false" ht="15" hidden="false" customHeight="false" outlineLevel="0" collapsed="false">
      <c r="B60" s="14" t="s">
        <v>165</v>
      </c>
      <c r="C60" s="7" t="s">
        <v>166</v>
      </c>
      <c r="D60" s="14" t="n">
        <v>51</v>
      </c>
      <c r="E60" s="52" t="n">
        <f aca="false">SUM(B_2010!BC7:BC74)*68/SUM(B_2010!$E$7:$BT$74)</f>
        <v>1.25648824434958</v>
      </c>
      <c r="F60" s="52" t="n">
        <f aca="false">SUM(B_2010!E57:BT57)*68/SUM(B_2010!$E$7:$BT$74)</f>
        <v>1.09020685060588</v>
      </c>
      <c r="G60" s="14" t="str">
        <f aca="false">IF(AND(E60&gt;1,F60&gt;1),"CHAVE","")</f>
        <v>CHAVE</v>
      </c>
      <c r="H60" s="52" t="n">
        <f aca="false">SUM(B_2020!BC7:BC74)*68/SUM(B_2020!$E$7:$BT$74)</f>
        <v>1.14229021715167</v>
      </c>
      <c r="I60" s="52" t="n">
        <f aca="false">SUM(B_2020!E57:BT57)*68/SUM(B_2020!$E$7:$BT$74)</f>
        <v>0.834623277930492</v>
      </c>
      <c r="J60" s="14" t="str">
        <f aca="false">IF(AND(H60&gt;1,I60&gt;1),"CHAVE","")</f>
        <v/>
      </c>
      <c r="K60" s="52" t="n">
        <f aca="false">H60-E60</f>
        <v>-0.114198027197905</v>
      </c>
      <c r="L60" s="52" t="n">
        <f aca="false">I60-F60</f>
        <v>-0.255583572675392</v>
      </c>
      <c r="M60" s="14" t="str">
        <f aca="false">IF(G60=J60,"",IF(J60="CHAVE","entrou","saiu"))</f>
        <v>saiu</v>
      </c>
    </row>
    <row r="61" customFormat="false" ht="15" hidden="false" customHeight="false" outlineLevel="0" collapsed="false">
      <c r="B61" s="17" t="s">
        <v>167</v>
      </c>
      <c r="C61" s="9" t="s">
        <v>168</v>
      </c>
      <c r="D61" s="17" t="n">
        <v>52</v>
      </c>
      <c r="E61" s="53" t="n">
        <f aca="false">SUM(B_2010!BD7:BD74)*68/SUM(B_2010!$E$7:$BT$74)</f>
        <v>0.755006102529998</v>
      </c>
      <c r="F61" s="53" t="n">
        <f aca="false">SUM(B_2010!E58:BT58)*68/SUM(B_2010!$E$7:$BT$74)</f>
        <v>0.848830625034941</v>
      </c>
      <c r="G61" s="17" t="str">
        <f aca="false">IF(AND(E61&gt;1,F61&gt;1),"CHAVE","")</f>
        <v/>
      </c>
      <c r="H61" s="53" t="n">
        <f aca="false">SUM(B_2020!BD7:BD74)*68/SUM(B_2020!$E$7:$BT$74)</f>
        <v>0.754438015465992</v>
      </c>
      <c r="I61" s="53" t="n">
        <f aca="false">SUM(B_2020!E58:BT58)*68/SUM(B_2020!$E$7:$BT$74)</f>
        <v>1.06144612861263</v>
      </c>
      <c r="J61" s="17" t="str">
        <f aca="false">IF(AND(H61&gt;1,I61&gt;1),"CHAVE","")</f>
        <v/>
      </c>
      <c r="K61" s="53" t="n">
        <f aca="false">H61-E61</f>
        <v>-0.000568087064005685</v>
      </c>
      <c r="L61" s="53" t="n">
        <f aca="false">I61-F61</f>
        <v>0.212615503577687</v>
      </c>
      <c r="M61" s="17" t="str">
        <f aca="false">IF(G61=J61,"",IF(J61="CHAVE","entrou","saiu"))</f>
        <v/>
      </c>
    </row>
    <row r="62" customFormat="false" ht="15" hidden="false" customHeight="false" outlineLevel="0" collapsed="false">
      <c r="B62" s="14" t="s">
        <v>169</v>
      </c>
      <c r="C62" s="7" t="s">
        <v>170</v>
      </c>
      <c r="D62" s="14" t="n">
        <v>53</v>
      </c>
      <c r="E62" s="52" t="n">
        <f aca="false">SUM(B_2010!BE7:BE74)*68/SUM(B_2010!$E$7:$BT$74)</f>
        <v>0.772536922569277</v>
      </c>
      <c r="F62" s="52" t="n">
        <f aca="false">SUM(B_2010!E59:BT59)*68/SUM(B_2010!$E$7:$BT$74)</f>
        <v>2.19738802013725</v>
      </c>
      <c r="G62" s="14" t="str">
        <f aca="false">IF(AND(E62&gt;1,F62&gt;1),"CHAVE","")</f>
        <v/>
      </c>
      <c r="H62" s="52" t="n">
        <f aca="false">SUM(B_2020!BE7:BE74)*68/SUM(B_2020!$E$7:$BT$74)</f>
        <v>0.722466932891449</v>
      </c>
      <c r="I62" s="52" t="n">
        <f aca="false">SUM(B_2020!E59:BT59)*68/SUM(B_2020!$E$7:$BT$74)</f>
        <v>2.0364267889824</v>
      </c>
      <c r="J62" s="14" t="str">
        <f aca="false">IF(AND(H62&gt;1,I62&gt;1),"CHAVE","")</f>
        <v/>
      </c>
      <c r="K62" s="52" t="n">
        <f aca="false">H62-E62</f>
        <v>-0.0500699896778282</v>
      </c>
      <c r="L62" s="52" t="n">
        <f aca="false">I62-F62</f>
        <v>-0.160961231154851</v>
      </c>
      <c r="M62" s="14" t="str">
        <f aca="false">IF(G62=J62,"",IF(J62="CHAVE","entrou","saiu"))</f>
        <v/>
      </c>
    </row>
    <row r="63" customFormat="false" ht="15" hidden="false" customHeight="false" outlineLevel="0" collapsed="false">
      <c r="B63" s="17" t="s">
        <v>171</v>
      </c>
      <c r="C63" s="9" t="s">
        <v>172</v>
      </c>
      <c r="D63" s="17" t="n">
        <v>54</v>
      </c>
      <c r="E63" s="53" t="n">
        <f aca="false">SUM(B_2010!BF7:BF74)*68/SUM(B_2010!$E$7:$BT$74)</f>
        <v>0.547289194724517</v>
      </c>
      <c r="F63" s="53" t="n">
        <f aca="false">SUM(B_2010!E60:BT60)*68/SUM(B_2010!$E$7:$BT$74)</f>
        <v>1.0197141813161</v>
      </c>
      <c r="G63" s="17" t="str">
        <f aca="false">IF(AND(E63&gt;1,F63&gt;1),"CHAVE","")</f>
        <v/>
      </c>
      <c r="H63" s="53" t="n">
        <f aca="false">SUM(B_2020!BF7:BF74)*68/SUM(B_2020!$E$7:$BT$74)</f>
        <v>0.539357787969131</v>
      </c>
      <c r="I63" s="53" t="n">
        <f aca="false">SUM(B_2020!E60:BT60)*68/SUM(B_2020!$E$7:$BT$74)</f>
        <v>1.09664202265146</v>
      </c>
      <c r="J63" s="17" t="str">
        <f aca="false">IF(AND(H63&gt;1,I63&gt;1),"CHAVE","")</f>
        <v/>
      </c>
      <c r="K63" s="53" t="n">
        <f aca="false">H63-E63</f>
        <v>-0.00793140675538606</v>
      </c>
      <c r="L63" s="53" t="n">
        <f aca="false">I63-F63</f>
        <v>0.0769278413353647</v>
      </c>
      <c r="M63" s="17" t="str">
        <f aca="false">IF(G63=J63,"",IF(J63="CHAVE","entrou","saiu"))</f>
        <v/>
      </c>
    </row>
    <row r="64" customFormat="false" ht="15" hidden="false" customHeight="false" outlineLevel="0" collapsed="false">
      <c r="B64" s="14" t="s">
        <v>173</v>
      </c>
      <c r="C64" s="7" t="s">
        <v>174</v>
      </c>
      <c r="D64" s="14" t="n">
        <v>55</v>
      </c>
      <c r="E64" s="52" t="n">
        <f aca="false">SUM(B_2010!BG7:BG74)*68/SUM(B_2010!$E$7:$BT$74)</f>
        <v>0.765082521590927</v>
      </c>
      <c r="F64" s="52" t="n">
        <f aca="false">SUM(B_2010!E61:BT61)*68/SUM(B_2010!$E$7:$BT$74)</f>
        <v>1.75118852424156</v>
      </c>
      <c r="G64" s="14" t="str">
        <f aca="false">IF(AND(E64&gt;1,F64&gt;1),"CHAVE","")</f>
        <v/>
      </c>
      <c r="H64" s="52" t="n">
        <f aca="false">SUM(B_2020!BG7:BG74)*68/SUM(B_2020!$E$7:$BT$74)</f>
        <v>0.740482183267364</v>
      </c>
      <c r="I64" s="52" t="n">
        <f aca="false">SUM(B_2020!E61:BT61)*68/SUM(B_2020!$E$7:$BT$74)</f>
        <v>1.79240271332987</v>
      </c>
      <c r="J64" s="14" t="str">
        <f aca="false">IF(AND(H64&gt;1,I64&gt;1),"CHAVE","")</f>
        <v/>
      </c>
      <c r="K64" s="52" t="n">
        <f aca="false">H64-E64</f>
        <v>-0.024600338323563</v>
      </c>
      <c r="L64" s="52" t="n">
        <f aca="false">I64-F64</f>
        <v>0.041214189088312</v>
      </c>
      <c r="M64" s="14" t="str">
        <f aca="false">IF(G64=J64,"",IF(J64="CHAVE","entrou","saiu"))</f>
        <v/>
      </c>
    </row>
    <row r="65" customFormat="false" ht="15" hidden="false" customHeight="false" outlineLevel="0" collapsed="false">
      <c r="B65" s="17" t="s">
        <v>175</v>
      </c>
      <c r="C65" s="9" t="s">
        <v>176</v>
      </c>
      <c r="D65" s="17" t="n">
        <v>56</v>
      </c>
      <c r="E65" s="53" t="n">
        <f aca="false">SUM(B_2010!BH7:BH74)*68/SUM(B_2010!$E$7:$BT$74)</f>
        <v>0.743030986466063</v>
      </c>
      <c r="F65" s="53" t="n">
        <f aca="false">SUM(B_2010!E62:BT62)*68/SUM(B_2010!$E$7:$BT$74)</f>
        <v>0.857974169414451</v>
      </c>
      <c r="G65" s="17" t="str">
        <f aca="false">IF(AND(E65&gt;1,F65&gt;1),"CHAVE","")</f>
        <v/>
      </c>
      <c r="H65" s="53" t="n">
        <f aca="false">SUM(B_2020!BH7:BH74)*68/SUM(B_2020!$E$7:$BT$74)</f>
        <v>0.73545204658271</v>
      </c>
      <c r="I65" s="53" t="n">
        <f aca="false">SUM(B_2020!E62:BT62)*68/SUM(B_2020!$E$7:$BT$74)</f>
        <v>0.729577705571357</v>
      </c>
      <c r="J65" s="17" t="str">
        <f aca="false">IF(AND(H65&gt;1,I65&gt;1),"CHAVE","")</f>
        <v/>
      </c>
      <c r="K65" s="53" t="n">
        <f aca="false">H65-E65</f>
        <v>-0.00757893988335356</v>
      </c>
      <c r="L65" s="53" t="n">
        <f aca="false">I65-F65</f>
        <v>-0.128396463843093</v>
      </c>
      <c r="M65" s="17" t="str">
        <f aca="false">IF(G65=J65,"",IF(J65="CHAVE","entrou","saiu"))</f>
        <v/>
      </c>
    </row>
    <row r="66" customFormat="false" ht="15" hidden="false" customHeight="false" outlineLevel="0" collapsed="false">
      <c r="B66" s="14" t="s">
        <v>177</v>
      </c>
      <c r="C66" s="7" t="s">
        <v>178</v>
      </c>
      <c r="D66" s="14" t="n">
        <v>57</v>
      </c>
      <c r="E66" s="52" t="n">
        <f aca="false">SUM(B_2010!BI7:BI74)*68/SUM(B_2010!$E$7:$BT$74)</f>
        <v>1.13432268502236</v>
      </c>
      <c r="F66" s="52" t="n">
        <f aca="false">SUM(B_2010!E63:BT63)*68/SUM(B_2010!$E$7:$BT$74)</f>
        <v>1.13876649995979</v>
      </c>
      <c r="G66" s="14" t="str">
        <f aca="false">IF(AND(E66&gt;1,F66&gt;1),"CHAVE","")</f>
        <v>CHAVE</v>
      </c>
      <c r="H66" s="52" t="n">
        <f aca="false">SUM(B_2020!BI7:BI74)*68/SUM(B_2020!$E$7:$BT$74)</f>
        <v>1.03274997855033</v>
      </c>
      <c r="I66" s="52" t="n">
        <f aca="false">SUM(B_2020!E63:BT63)*68/SUM(B_2020!$E$7:$BT$74)</f>
        <v>1.15156879818</v>
      </c>
      <c r="J66" s="14" t="str">
        <f aca="false">IF(AND(H66&gt;1,I66&gt;1),"CHAVE","")</f>
        <v>CHAVE</v>
      </c>
      <c r="K66" s="52" t="n">
        <f aca="false">H66-E66</f>
        <v>-0.10157270647203</v>
      </c>
      <c r="L66" s="52" t="n">
        <f aca="false">I66-F66</f>
        <v>0.0128022982202101</v>
      </c>
      <c r="M66" s="14" t="str">
        <f aca="false">IF(G66=J66,"",IF(J66="CHAVE","entrou","saiu"))</f>
        <v/>
      </c>
    </row>
    <row r="67" customFormat="false" ht="15" hidden="false" customHeight="false" outlineLevel="0" collapsed="false">
      <c r="B67" s="17" t="s">
        <v>179</v>
      </c>
      <c r="C67" s="9" t="s">
        <v>180</v>
      </c>
      <c r="D67" s="17" t="n">
        <v>58</v>
      </c>
      <c r="E67" s="53" t="n">
        <f aca="false">SUM(B_2010!BJ7:BJ74)*68/SUM(B_2010!$E$7:$BT$74)</f>
        <v>0.771158568809114</v>
      </c>
      <c r="F67" s="53" t="n">
        <f aca="false">SUM(B_2010!E64:BT64)*68/SUM(B_2010!$E$7:$BT$74)</f>
        <v>0.800772568774724</v>
      </c>
      <c r="G67" s="17" t="str">
        <f aca="false">IF(AND(E67&gt;1,F67&gt;1),"CHAVE","")</f>
        <v/>
      </c>
      <c r="H67" s="53" t="n">
        <f aca="false">SUM(B_2020!BJ7:BJ74)*68/SUM(B_2020!$E$7:$BT$74)</f>
        <v>0.731433594798464</v>
      </c>
      <c r="I67" s="53" t="n">
        <f aca="false">SUM(B_2020!E64:BT64)*68/SUM(B_2020!$E$7:$BT$74)</f>
        <v>0.861448931453432</v>
      </c>
      <c r="J67" s="17" t="str">
        <f aca="false">IF(AND(H67&gt;1,I67&gt;1),"CHAVE","")</f>
        <v/>
      </c>
      <c r="K67" s="53" t="n">
        <f aca="false">H67-E67</f>
        <v>-0.03972497401065</v>
      </c>
      <c r="L67" s="53" t="n">
        <f aca="false">I67-F67</f>
        <v>0.0606763626787084</v>
      </c>
      <c r="M67" s="17" t="str">
        <f aca="false">IF(G67=J67,"",IF(J67="CHAVE","entrou","saiu"))</f>
        <v/>
      </c>
    </row>
    <row r="68" customFormat="false" ht="15" hidden="false" customHeight="false" outlineLevel="0" collapsed="false">
      <c r="B68" s="14" t="s">
        <v>181</v>
      </c>
      <c r="C68" s="7" t="s">
        <v>182</v>
      </c>
      <c r="D68" s="14" t="n">
        <v>59</v>
      </c>
      <c r="E68" s="52" t="n">
        <f aca="false">SUM(B_2010!BK7:BK74)*68/SUM(B_2010!$E$7:$BT$74)</f>
        <v>0.74903228252667</v>
      </c>
      <c r="F68" s="52" t="n">
        <f aca="false">SUM(B_2010!E65:BT65)*68/SUM(B_2010!$E$7:$BT$74)</f>
        <v>1.40465391137309</v>
      </c>
      <c r="G68" s="14" t="str">
        <f aca="false">IF(AND(E68&gt;1,F68&gt;1),"CHAVE","")</f>
        <v/>
      </c>
      <c r="H68" s="52" t="n">
        <f aca="false">SUM(B_2020!BK7:BK74)*68/SUM(B_2020!$E$7:$BT$74)</f>
        <v>0.736984570770983</v>
      </c>
      <c r="I68" s="52" t="n">
        <f aca="false">SUM(B_2020!E65:BT65)*68/SUM(B_2020!$E$7:$BT$74)</f>
        <v>1.55472759804654</v>
      </c>
      <c r="J68" s="14" t="str">
        <f aca="false">IF(AND(H68&gt;1,I68&gt;1),"CHAVE","")</f>
        <v/>
      </c>
      <c r="K68" s="52" t="n">
        <f aca="false">H68-E68</f>
        <v>-0.0120477117556864</v>
      </c>
      <c r="L68" s="52" t="n">
        <f aca="false">I68-F68</f>
        <v>0.150073686673451</v>
      </c>
      <c r="M68" s="14" t="str">
        <f aca="false">IF(G68=J68,"",IF(J68="CHAVE","entrou","saiu"))</f>
        <v/>
      </c>
    </row>
    <row r="69" customFormat="false" ht="15" hidden="false" customHeight="false" outlineLevel="0" collapsed="false">
      <c r="B69" s="17" t="s">
        <v>183</v>
      </c>
      <c r="C69" s="9" t="s">
        <v>184</v>
      </c>
      <c r="D69" s="17" t="n">
        <v>60</v>
      </c>
      <c r="E69" s="53" t="n">
        <f aca="false">SUM(B_2010!BL7:BL74)*68/SUM(B_2010!$E$7:$BT$74)</f>
        <v>0.64522263481738</v>
      </c>
      <c r="F69" s="53" t="n">
        <f aca="false">SUM(B_2010!E66:BT66)*68/SUM(B_2010!$E$7:$BT$74)</f>
        <v>0.691990726621317</v>
      </c>
      <c r="G69" s="17" t="str">
        <f aca="false">IF(AND(E69&gt;1,F69&gt;1),"CHAVE","")</f>
        <v/>
      </c>
      <c r="H69" s="53" t="n">
        <f aca="false">SUM(B_2020!BL7:BL74)*68/SUM(B_2020!$E$7:$BT$74)</f>
        <v>0.64760506276996</v>
      </c>
      <c r="I69" s="53" t="n">
        <f aca="false">SUM(B_2020!E66:BT66)*68/SUM(B_2020!$E$7:$BT$74)</f>
        <v>0.701797512420413</v>
      </c>
      <c r="J69" s="17" t="str">
        <f aca="false">IF(AND(H69&gt;1,I69&gt;1),"CHAVE","")</f>
        <v/>
      </c>
      <c r="K69" s="53" t="n">
        <f aca="false">H69-E69</f>
        <v>0.00238242795258015</v>
      </c>
      <c r="L69" s="53" t="n">
        <f aca="false">I69-F69</f>
        <v>0.00980678579909666</v>
      </c>
      <c r="M69" s="17" t="str">
        <f aca="false">IF(G69=J69,"",IF(J69="CHAVE","entrou","saiu"))</f>
        <v/>
      </c>
    </row>
    <row r="70" customFormat="false" ht="15" hidden="false" customHeight="false" outlineLevel="0" collapsed="false">
      <c r="B70" s="14" t="s">
        <v>185</v>
      </c>
      <c r="C70" s="7" t="s">
        <v>186</v>
      </c>
      <c r="D70" s="14" t="n">
        <v>61</v>
      </c>
      <c r="E70" s="52" t="n">
        <f aca="false">SUM(B_2010!BM7:BM74)*68/SUM(B_2010!$E$7:$BT$74)</f>
        <v>0.706947708198369</v>
      </c>
      <c r="F70" s="52" t="n">
        <f aca="false">SUM(B_2010!E67:BT67)*68/SUM(B_2010!$E$7:$BT$74)</f>
        <v>0.672771366883785</v>
      </c>
      <c r="G70" s="14" t="str">
        <f aca="false">IF(AND(E70&gt;1,F70&gt;1),"CHAVE","")</f>
        <v/>
      </c>
      <c r="H70" s="52" t="n">
        <f aca="false">SUM(B_2020!BM7:BM74)*68/SUM(B_2020!$E$7:$BT$74)</f>
        <v>0.671481915097615</v>
      </c>
      <c r="I70" s="52" t="n">
        <f aca="false">SUM(B_2020!E67:BT67)*68/SUM(B_2020!$E$7:$BT$74)</f>
        <v>0.645190200475912</v>
      </c>
      <c r="J70" s="14" t="str">
        <f aca="false">IF(AND(H70&gt;1,I70&gt;1),"CHAVE","")</f>
        <v/>
      </c>
      <c r="K70" s="52" t="n">
        <f aca="false">H70-E70</f>
        <v>-0.0354657931007538</v>
      </c>
      <c r="L70" s="52" t="n">
        <f aca="false">I70-F70</f>
        <v>-0.0275811664078732</v>
      </c>
      <c r="M70" s="14" t="str">
        <f aca="false">IF(G70=J70,"",IF(J70="CHAVE","entrou","saiu"))</f>
        <v/>
      </c>
    </row>
    <row r="71" customFormat="false" ht="15" hidden="false" customHeight="false" outlineLevel="0" collapsed="false">
      <c r="B71" s="17" t="s">
        <v>187</v>
      </c>
      <c r="C71" s="9" t="s">
        <v>188</v>
      </c>
      <c r="D71" s="17" t="n">
        <v>62</v>
      </c>
      <c r="E71" s="53" t="n">
        <f aca="false">SUM(B_2010!BN7:BN74)*68/SUM(B_2010!$E$7:$BT$74)</f>
        <v>0.641978553497534</v>
      </c>
      <c r="F71" s="53" t="n">
        <f aca="false">SUM(B_2010!E68:BT68)*68/SUM(B_2010!$E$7:$BT$74)</f>
        <v>0.508605220434706</v>
      </c>
      <c r="G71" s="17" t="str">
        <f aca="false">IF(AND(E71&gt;1,F71&gt;1),"CHAVE","")</f>
        <v/>
      </c>
      <c r="H71" s="53" t="n">
        <f aca="false">SUM(B_2020!BN7:BN74)*68/SUM(B_2020!$E$7:$BT$74)</f>
        <v>0.590342068974142</v>
      </c>
      <c r="I71" s="53" t="n">
        <f aca="false">SUM(B_2020!E68:BT68)*68/SUM(B_2020!$E$7:$BT$74)</f>
        <v>0.494195684860126</v>
      </c>
      <c r="J71" s="17" t="str">
        <f aca="false">IF(AND(H71&gt;1,I71&gt;1),"CHAVE","")</f>
        <v/>
      </c>
      <c r="K71" s="53" t="n">
        <f aca="false">H71-E71</f>
        <v>-0.0516364845233919</v>
      </c>
      <c r="L71" s="53" t="n">
        <f aca="false">I71-F71</f>
        <v>-0.0144095355745797</v>
      </c>
      <c r="M71" s="17" t="str">
        <f aca="false">IF(G71=J71,"",IF(J71="CHAVE","entrou","saiu"))</f>
        <v/>
      </c>
    </row>
    <row r="72" customFormat="false" ht="15" hidden="false" customHeight="false" outlineLevel="0" collapsed="false">
      <c r="B72" s="14" t="s">
        <v>189</v>
      </c>
      <c r="C72" s="7" t="s">
        <v>190</v>
      </c>
      <c r="D72" s="14" t="n">
        <v>63</v>
      </c>
      <c r="E72" s="52" t="n">
        <f aca="false">SUM(B_2010!BO7:BO74)*68/SUM(B_2010!$E$7:$BT$74)</f>
        <v>0.761507319154463</v>
      </c>
      <c r="F72" s="52" t="n">
        <f aca="false">SUM(B_2010!E69:BT69)*68/SUM(B_2010!$E$7:$BT$74)</f>
        <v>0.570720503491929</v>
      </c>
      <c r="G72" s="14" t="str">
        <f aca="false">IF(AND(E72&gt;1,F72&gt;1),"CHAVE","")</f>
        <v/>
      </c>
      <c r="H72" s="52" t="n">
        <f aca="false">SUM(B_2020!BO7:BO74)*68/SUM(B_2020!$E$7:$BT$74)</f>
        <v>0.707565604342332</v>
      </c>
      <c r="I72" s="52" t="n">
        <f aca="false">SUM(B_2020!E69:BT69)*68/SUM(B_2020!$E$7:$BT$74)</f>
        <v>0.593185153852798</v>
      </c>
      <c r="J72" s="14" t="str">
        <f aca="false">IF(AND(H72&gt;1,I72&gt;1),"CHAVE","")</f>
        <v/>
      </c>
      <c r="K72" s="52" t="n">
        <f aca="false">H72-E72</f>
        <v>-0.053941714812131</v>
      </c>
      <c r="L72" s="52" t="n">
        <f aca="false">I72-F72</f>
        <v>0.0224646503608684</v>
      </c>
      <c r="M72" s="14" t="str">
        <f aca="false">IF(G72=J72,"",IF(J72="CHAVE","entrou","saiu"))</f>
        <v/>
      </c>
    </row>
    <row r="73" customFormat="false" ht="15" hidden="false" customHeight="false" outlineLevel="0" collapsed="false">
      <c r="B73" s="17" t="s">
        <v>191</v>
      </c>
      <c r="C73" s="9" t="s">
        <v>192</v>
      </c>
      <c r="D73" s="17" t="n">
        <v>64</v>
      </c>
      <c r="E73" s="53" t="n">
        <f aca="false">SUM(B_2010!BP7:BP74)*68/SUM(B_2010!$E$7:$BT$74)</f>
        <v>0.739539596372729</v>
      </c>
      <c r="F73" s="53" t="n">
        <f aca="false">SUM(B_2010!E70:BT70)*68/SUM(B_2010!$E$7:$BT$74)</f>
        <v>0.495584703115319</v>
      </c>
      <c r="G73" s="17" t="str">
        <f aca="false">IF(AND(E73&gt;1,F73&gt;1),"CHAVE","")</f>
        <v/>
      </c>
      <c r="H73" s="53" t="n">
        <f aca="false">SUM(B_2020!BP7:BP74)*68/SUM(B_2020!$E$7:$BT$74)</f>
        <v>0.745617021846261</v>
      </c>
      <c r="I73" s="53" t="n">
        <f aca="false">SUM(B_2020!E70:BT70)*68/SUM(B_2020!$E$7:$BT$74)</f>
        <v>0.486486644351083</v>
      </c>
      <c r="J73" s="17" t="str">
        <f aca="false">IF(AND(H73&gt;1,I73&gt;1),"CHAVE","")</f>
        <v/>
      </c>
      <c r="K73" s="53" t="n">
        <f aca="false">H73-E73</f>
        <v>0.00607742547353163</v>
      </c>
      <c r="L73" s="53" t="n">
        <f aca="false">I73-F73</f>
        <v>-0.00909805876423536</v>
      </c>
      <c r="M73" s="17" t="str">
        <f aca="false">IF(G73=J73,"",IF(J73="CHAVE","entrou","saiu"))</f>
        <v/>
      </c>
    </row>
    <row r="74" customFormat="false" ht="15" hidden="false" customHeight="false" outlineLevel="0" collapsed="false">
      <c r="B74" s="14" t="s">
        <v>193</v>
      </c>
      <c r="C74" s="7" t="s">
        <v>194</v>
      </c>
      <c r="D74" s="14" t="n">
        <v>65</v>
      </c>
      <c r="E74" s="52" t="n">
        <f aca="false">SUM(B_2010!BQ7:BQ74)*68/SUM(B_2010!$E$7:$BT$74)</f>
        <v>0.784284443667265</v>
      </c>
      <c r="F74" s="52" t="n">
        <f aca="false">SUM(B_2010!E71:BT71)*68/SUM(B_2010!$E$7:$BT$74)</f>
        <v>0.555121449708324</v>
      </c>
      <c r="G74" s="14" t="str">
        <f aca="false">IF(AND(E74&gt;1,F74&gt;1),"CHAVE","")</f>
        <v/>
      </c>
      <c r="H74" s="52" t="n">
        <f aca="false">SUM(B_2020!BQ7:BQ74)*68/SUM(B_2020!$E$7:$BT$74)</f>
        <v>0.749019223678903</v>
      </c>
      <c r="I74" s="52" t="n">
        <f aca="false">SUM(B_2020!E71:BT71)*68/SUM(B_2020!$E$7:$BT$74)</f>
        <v>0.555262650828657</v>
      </c>
      <c r="J74" s="14" t="str">
        <f aca="false">IF(AND(H74&gt;1,I74&gt;1),"CHAVE","")</f>
        <v/>
      </c>
      <c r="K74" s="52" t="n">
        <f aca="false">H74-E74</f>
        <v>-0.0352652199883622</v>
      </c>
      <c r="L74" s="52" t="n">
        <f aca="false">I74-F74</f>
        <v>0.000141201120333223</v>
      </c>
      <c r="M74" s="14" t="str">
        <f aca="false">IF(G74=J74,"",IF(J74="CHAVE","entrou","saiu"))</f>
        <v/>
      </c>
    </row>
    <row r="75" customFormat="false" ht="15" hidden="false" customHeight="false" outlineLevel="0" collapsed="false">
      <c r="B75" s="17" t="s">
        <v>195</v>
      </c>
      <c r="C75" s="9" t="s">
        <v>196</v>
      </c>
      <c r="D75" s="17" t="n">
        <v>66</v>
      </c>
      <c r="E75" s="53" t="n">
        <f aca="false">SUM(B_2010!BR7:BR74)*68/SUM(B_2010!$E$7:$BT$74)</f>
        <v>0.773386781361349</v>
      </c>
      <c r="F75" s="53" t="n">
        <f aca="false">SUM(B_2010!E72:BT72)*68/SUM(B_2010!$E$7:$BT$74)</f>
        <v>0.575551819536732</v>
      </c>
      <c r="G75" s="17" t="str">
        <f aca="false">IF(AND(E75&gt;1,F75&gt;1),"CHAVE","")</f>
        <v/>
      </c>
      <c r="H75" s="53" t="n">
        <f aca="false">SUM(B_2020!BR7:BR74)*68/SUM(B_2020!$E$7:$BT$74)</f>
        <v>0.801597257062574</v>
      </c>
      <c r="I75" s="53" t="n">
        <f aca="false">SUM(B_2020!E72:BT72)*68/SUM(B_2020!$E$7:$BT$74)</f>
        <v>0.556807407073334</v>
      </c>
      <c r="J75" s="17" t="str">
        <f aca="false">IF(AND(H75&gt;1,I75&gt;1),"CHAVE","")</f>
        <v/>
      </c>
      <c r="K75" s="53" t="n">
        <f aca="false">H75-E75</f>
        <v>0.0282104757012258</v>
      </c>
      <c r="L75" s="53" t="n">
        <f aca="false">I75-F75</f>
        <v>-0.0187444124633981</v>
      </c>
      <c r="M75" s="17" t="str">
        <f aca="false">IF(G75=J75,"",IF(J75="CHAVE","entrou","saiu"))</f>
        <v/>
      </c>
    </row>
    <row r="76" customFormat="false" ht="15" hidden="false" customHeight="false" outlineLevel="0" collapsed="false">
      <c r="B76" s="14" t="s">
        <v>197</v>
      </c>
      <c r="C76" s="7" t="s">
        <v>198</v>
      </c>
      <c r="D76" s="14" t="n">
        <v>67</v>
      </c>
      <c r="E76" s="52" t="n">
        <f aca="false">SUM(B_2010!BS7:BS74)*68/SUM(B_2010!$E$7:$BT$74)</f>
        <v>0.877115321211834</v>
      </c>
      <c r="F76" s="52" t="n">
        <f aca="false">SUM(B_2010!E73:BT73)*68/SUM(B_2010!$E$7:$BT$74)</f>
        <v>0.651184021177355</v>
      </c>
      <c r="G76" s="14" t="str">
        <f aca="false">IF(AND(E76&gt;1,F76&gt;1),"CHAVE","")</f>
        <v/>
      </c>
      <c r="H76" s="52" t="n">
        <f aca="false">SUM(B_2020!BS7:BS74)*68/SUM(B_2020!$E$7:$BT$74)</f>
        <v>0.843230300538656</v>
      </c>
      <c r="I76" s="52" t="n">
        <f aca="false">SUM(B_2020!E73:BT73)*68/SUM(B_2020!$E$7:$BT$74)</f>
        <v>0.659340586134332</v>
      </c>
      <c r="J76" s="14" t="str">
        <f aca="false">IF(AND(H76&gt;1,I76&gt;1),"CHAVE","")</f>
        <v/>
      </c>
      <c r="K76" s="52" t="n">
        <f aca="false">H76-E76</f>
        <v>-0.0338850206731788</v>
      </c>
      <c r="L76" s="52" t="n">
        <f aca="false">I76-F76</f>
        <v>0.00815656495697692</v>
      </c>
      <c r="M76" s="14" t="str">
        <f aca="false">IF(G76=J76,"",IF(J76="CHAVE","entrou","saiu"))</f>
        <v/>
      </c>
    </row>
    <row r="77" customFormat="false" ht="15" hidden="false" customHeight="false" outlineLevel="0" collapsed="false">
      <c r="B77" s="17" t="s">
        <v>199</v>
      </c>
      <c r="C77" s="9" t="s">
        <v>200</v>
      </c>
      <c r="D77" s="17" t="n">
        <v>68</v>
      </c>
      <c r="E77" s="53" t="n">
        <f aca="false">SUM(B_2010!BT7:BT74)*68/SUM(B_2010!$E$7:$BT$74)</f>
        <v>0.493465046761994</v>
      </c>
      <c r="F77" s="53" t="n">
        <f aca="false">SUM(B_2010!E74:BT74)*68/SUM(B_2010!$E$7:$BT$74)</f>
        <v>0.493465046761994</v>
      </c>
      <c r="G77" s="17" t="str">
        <f aca="false">IF(AND(E77&gt;1,F77&gt;1),"CHAVE","")</f>
        <v/>
      </c>
      <c r="H77" s="53" t="n">
        <f aca="false">SUM(B_2020!BT7:BT74)*68/SUM(B_2020!$E$7:$BT$74)</f>
        <v>0.485120366669396</v>
      </c>
      <c r="I77" s="53" t="n">
        <f aca="false">SUM(B_2020!E74:BT74)*68/SUM(B_2020!$E$7:$BT$74)</f>
        <v>0.485120366669396</v>
      </c>
      <c r="J77" s="17" t="str">
        <f aca="false">IF(AND(H77&gt;1,I77&gt;1),"CHAVE","")</f>
        <v/>
      </c>
      <c r="K77" s="53" t="n">
        <f aca="false">H77-E77</f>
        <v>-0.00834468009259787</v>
      </c>
      <c r="L77" s="53" t="n">
        <f aca="false">I77-F77</f>
        <v>-0.00834468009259787</v>
      </c>
      <c r="M77" s="17" t="str">
        <f aca="false">IF(G77=J77,"",IF(J77="CHAVE","entrou","saiu"))</f>
        <v/>
      </c>
    </row>
    <row r="80" customFormat="false" ht="15" hidden="false" customHeight="false" outlineLevel="0" collapsed="false">
      <c r="B80" s="4" t="s">
        <v>254</v>
      </c>
    </row>
    <row r="81" customFormat="false" ht="27" hidden="false" customHeight="true" outlineLevel="0" collapsed="false">
      <c r="B81" s="38" t="s">
        <v>315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customFormat="false" ht="27" hidden="false" customHeight="true" outlineLevel="0" collapsed="false">
      <c r="B82" s="38" t="s">
        <v>316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</sheetData>
  <mergeCells count="5">
    <mergeCell ref="B3:V3"/>
    <mergeCell ref="B6:V6"/>
    <mergeCell ref="B7:V7"/>
    <mergeCell ref="B81:V81"/>
    <mergeCell ref="B82:V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D8E1"/>
    <pageSetUpPr fitToPage="false"/>
  </sheetPr>
  <dimension ref="B1:BU10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46"/>
    <col collapsed="false" customWidth="true" hidden="false" outlineLevel="0" max="4" min="4" style="0" width="4.4"/>
    <col collapsed="false" customWidth="true" hidden="false" outlineLevel="0" max="72" min="5" style="0" width="10.5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317</v>
      </c>
    </row>
    <row r="3" customFormat="false" ht="24.75" hidden="false" customHeight="true" outlineLevel="0" collapsed="false">
      <c r="B3" s="15" t="s">
        <v>318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5" customFormat="false" ht="15" hidden="false" customHeight="false" outlineLevel="0" collapsed="false">
      <c r="B5" s="4" t="s">
        <v>237</v>
      </c>
    </row>
    <row r="6" customFormat="false" ht="13.5" hidden="false" customHeight="true" outlineLevel="0" collapsed="false">
      <c r="B6" s="35" t="s">
        <v>319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customFormat="false" ht="39" hidden="false" customHeight="true" outlineLevel="0" collapsed="false">
      <c r="B7" s="35" t="s">
        <v>320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9" customFormat="false" ht="24" hidden="false" customHeight="true" outlineLevel="0" collapsed="false">
      <c r="B9" s="5" t="s">
        <v>251</v>
      </c>
      <c r="C9" s="5" t="s">
        <v>321</v>
      </c>
      <c r="D9" s="5"/>
      <c r="F9" s="5" t="s">
        <v>322</v>
      </c>
      <c r="G9" s="5"/>
      <c r="H9" s="5"/>
      <c r="I9" s="5"/>
      <c r="K9" s="5" t="s">
        <v>323</v>
      </c>
    </row>
    <row r="10" customFormat="false" ht="15" hidden="false" customHeight="false" outlineLevel="0" collapsed="false">
      <c r="B10" s="14" t="n">
        <v>1</v>
      </c>
      <c r="C10" s="7" t="s">
        <v>102</v>
      </c>
      <c r="D10" s="7"/>
      <c r="E10" s="54"/>
      <c r="F10" s="7" t="s">
        <v>148</v>
      </c>
      <c r="G10" s="7"/>
      <c r="H10" s="7"/>
      <c r="I10" s="7"/>
      <c r="J10" s="54"/>
      <c r="K10" s="55" t="n">
        <f aca="false">AT56</f>
        <v>11.3681101559211</v>
      </c>
    </row>
    <row r="11" customFormat="false" ht="15" hidden="false" customHeight="false" outlineLevel="0" collapsed="false">
      <c r="B11" s="17" t="n">
        <v>2</v>
      </c>
      <c r="C11" s="9" t="s">
        <v>98</v>
      </c>
      <c r="D11" s="9"/>
      <c r="E11" s="56"/>
      <c r="F11" s="9" t="s">
        <v>148</v>
      </c>
      <c r="G11" s="9"/>
      <c r="H11" s="9"/>
      <c r="I11" s="9"/>
      <c r="J11" s="56"/>
      <c r="K11" s="57" t="n">
        <f aca="false">AT54</f>
        <v>9.93467652682229</v>
      </c>
    </row>
    <row r="12" customFormat="false" ht="15" hidden="false" customHeight="false" outlineLevel="0" collapsed="false">
      <c r="B12" s="14" t="n">
        <v>3</v>
      </c>
      <c r="C12" s="7" t="s">
        <v>140</v>
      </c>
      <c r="D12" s="7"/>
      <c r="E12" s="54"/>
      <c r="F12" s="7" t="s">
        <v>148</v>
      </c>
      <c r="G12" s="7"/>
      <c r="H12" s="7"/>
      <c r="I12" s="7"/>
      <c r="J12" s="54"/>
      <c r="K12" s="55" t="n">
        <f aca="false">AT75</f>
        <v>9.72796540427193</v>
      </c>
    </row>
    <row r="13" customFormat="false" ht="15" hidden="false" customHeight="false" outlineLevel="0" collapsed="false">
      <c r="B13" s="17" t="n">
        <v>4</v>
      </c>
      <c r="C13" s="9" t="s">
        <v>80</v>
      </c>
      <c r="D13" s="9"/>
      <c r="E13" s="56"/>
      <c r="F13" s="9" t="s">
        <v>148</v>
      </c>
      <c r="G13" s="9"/>
      <c r="H13" s="9"/>
      <c r="I13" s="9"/>
      <c r="J13" s="56"/>
      <c r="K13" s="57" t="n">
        <f aca="false">AT45</f>
        <v>9.43520322947332</v>
      </c>
    </row>
    <row r="14" customFormat="false" ht="15" hidden="false" customHeight="false" outlineLevel="0" collapsed="false">
      <c r="B14" s="14" t="n">
        <v>5</v>
      </c>
      <c r="C14" s="7" t="s">
        <v>166</v>
      </c>
      <c r="D14" s="7"/>
      <c r="E14" s="54"/>
      <c r="F14" s="7" t="s">
        <v>148</v>
      </c>
      <c r="G14" s="7"/>
      <c r="H14" s="7"/>
      <c r="I14" s="7"/>
      <c r="J14" s="54"/>
      <c r="K14" s="55" t="n">
        <f aca="false">AT88</f>
        <v>9.41783063136431</v>
      </c>
    </row>
    <row r="15" customFormat="false" ht="15" hidden="false" customHeight="false" outlineLevel="0" collapsed="false">
      <c r="B15" s="17" t="n">
        <v>6</v>
      </c>
      <c r="C15" s="9" t="s">
        <v>90</v>
      </c>
      <c r="D15" s="9"/>
      <c r="E15" s="56"/>
      <c r="F15" s="9" t="s">
        <v>148</v>
      </c>
      <c r="G15" s="9"/>
      <c r="H15" s="9"/>
      <c r="I15" s="9"/>
      <c r="J15" s="56"/>
      <c r="K15" s="57" t="n">
        <f aca="false">AT50</f>
        <v>9.2155834018404</v>
      </c>
    </row>
    <row r="16" customFormat="false" ht="15" hidden="false" customHeight="false" outlineLevel="0" collapsed="false">
      <c r="B16" s="14" t="n">
        <v>7</v>
      </c>
      <c r="C16" s="7" t="s">
        <v>106</v>
      </c>
      <c r="D16" s="7"/>
      <c r="E16" s="54"/>
      <c r="F16" s="7" t="s">
        <v>148</v>
      </c>
      <c r="G16" s="7"/>
      <c r="H16" s="7"/>
      <c r="I16" s="7"/>
      <c r="J16" s="54"/>
      <c r="K16" s="55" t="n">
        <f aca="false">AT58</f>
        <v>9.14194140512523</v>
      </c>
    </row>
    <row r="17" customFormat="false" ht="15" hidden="false" customHeight="false" outlineLevel="0" collapsed="false">
      <c r="B17" s="17" t="n">
        <v>8</v>
      </c>
      <c r="C17" s="9" t="s">
        <v>94</v>
      </c>
      <c r="D17" s="9"/>
      <c r="E17" s="56"/>
      <c r="F17" s="9" t="s">
        <v>148</v>
      </c>
      <c r="G17" s="9"/>
      <c r="H17" s="9"/>
      <c r="I17" s="9"/>
      <c r="J17" s="56"/>
      <c r="K17" s="57" t="n">
        <f aca="false">AT52</f>
        <v>8.91328566685167</v>
      </c>
    </row>
    <row r="18" customFormat="false" ht="15" hidden="false" customHeight="false" outlineLevel="0" collapsed="false">
      <c r="B18" s="14" t="n">
        <v>9</v>
      </c>
      <c r="C18" s="7" t="s">
        <v>134</v>
      </c>
      <c r="D18" s="7"/>
      <c r="E18" s="54"/>
      <c r="F18" s="7" t="s">
        <v>148</v>
      </c>
      <c r="G18" s="7"/>
      <c r="H18" s="7"/>
      <c r="I18" s="7"/>
      <c r="J18" s="54"/>
      <c r="K18" s="55" t="n">
        <f aca="false">AT72</f>
        <v>8.68490354929588</v>
      </c>
    </row>
    <row r="19" customFormat="false" ht="15" hidden="false" customHeight="false" outlineLevel="0" collapsed="false">
      <c r="B19" s="17" t="n">
        <v>10</v>
      </c>
      <c r="C19" s="9" t="s">
        <v>128</v>
      </c>
      <c r="D19" s="9"/>
      <c r="E19" s="56"/>
      <c r="F19" s="9" t="s">
        <v>148</v>
      </c>
      <c r="G19" s="9"/>
      <c r="H19" s="9"/>
      <c r="I19" s="9"/>
      <c r="J19" s="56"/>
      <c r="K19" s="57" t="n">
        <f aca="false">AT69</f>
        <v>8.65738074637667</v>
      </c>
    </row>
    <row r="20" customFormat="false" ht="15" hidden="false" customHeight="false" outlineLevel="0" collapsed="false">
      <c r="B20" s="14" t="n">
        <v>11</v>
      </c>
      <c r="C20" s="7" t="s">
        <v>84</v>
      </c>
      <c r="D20" s="7"/>
      <c r="E20" s="54"/>
      <c r="F20" s="7" t="s">
        <v>148</v>
      </c>
      <c r="G20" s="7"/>
      <c r="H20" s="7"/>
      <c r="I20" s="7"/>
      <c r="J20" s="54"/>
      <c r="K20" s="55" t="n">
        <f aca="false">AT47</f>
        <v>8.48358286980618</v>
      </c>
    </row>
    <row r="21" customFormat="false" ht="15" hidden="false" customHeight="false" outlineLevel="0" collapsed="false">
      <c r="B21" s="17" t="n">
        <v>12</v>
      </c>
      <c r="C21" s="9" t="s">
        <v>118</v>
      </c>
      <c r="D21" s="9"/>
      <c r="E21" s="56"/>
      <c r="F21" s="9" t="s">
        <v>148</v>
      </c>
      <c r="G21" s="9"/>
      <c r="H21" s="9"/>
      <c r="I21" s="9"/>
      <c r="J21" s="56"/>
      <c r="K21" s="57" t="n">
        <f aca="false">AT64</f>
        <v>8.42107242400593</v>
      </c>
    </row>
    <row r="22" customFormat="false" ht="15" hidden="false" customHeight="false" outlineLevel="0" collapsed="false">
      <c r="B22" s="14" t="n">
        <v>13</v>
      </c>
      <c r="C22" s="7" t="s">
        <v>114</v>
      </c>
      <c r="D22" s="7"/>
      <c r="E22" s="54"/>
      <c r="F22" s="7" t="s">
        <v>148</v>
      </c>
      <c r="G22" s="7"/>
      <c r="H22" s="7"/>
      <c r="I22" s="7"/>
      <c r="J22" s="54"/>
      <c r="K22" s="55" t="n">
        <f aca="false">AT62</f>
        <v>8.39869055102147</v>
      </c>
    </row>
    <row r="23" customFormat="false" ht="15" hidden="false" customHeight="false" outlineLevel="0" collapsed="false">
      <c r="B23" s="17" t="n">
        <v>14</v>
      </c>
      <c r="C23" s="9" t="s">
        <v>108</v>
      </c>
      <c r="D23" s="9"/>
      <c r="E23" s="56"/>
      <c r="F23" s="9" t="s">
        <v>148</v>
      </c>
      <c r="G23" s="9"/>
      <c r="H23" s="9"/>
      <c r="I23" s="9"/>
      <c r="J23" s="56"/>
      <c r="K23" s="57" t="n">
        <f aca="false">AT59</f>
        <v>8.29608254184848</v>
      </c>
    </row>
    <row r="24" customFormat="false" ht="15" hidden="false" customHeight="false" outlineLevel="0" collapsed="false">
      <c r="B24" s="14" t="n">
        <v>15</v>
      </c>
      <c r="C24" s="7" t="s">
        <v>150</v>
      </c>
      <c r="D24" s="7"/>
      <c r="E24" s="54"/>
      <c r="F24" s="7" t="s">
        <v>148</v>
      </c>
      <c r="G24" s="7"/>
      <c r="H24" s="7"/>
      <c r="I24" s="7"/>
      <c r="J24" s="54"/>
      <c r="K24" s="55" t="n">
        <f aca="false">AT80</f>
        <v>8.21179369769884</v>
      </c>
    </row>
    <row r="25" customFormat="false" ht="15" hidden="false" customHeight="false" outlineLevel="0" collapsed="false">
      <c r="B25" s="17" t="n">
        <v>16</v>
      </c>
      <c r="C25" s="9" t="s">
        <v>164</v>
      </c>
      <c r="D25" s="9"/>
      <c r="E25" s="56"/>
      <c r="F25" s="9" t="s">
        <v>148</v>
      </c>
      <c r="G25" s="9"/>
      <c r="H25" s="9"/>
      <c r="I25" s="9"/>
      <c r="J25" s="56"/>
      <c r="K25" s="57" t="n">
        <f aca="false">AT87</f>
        <v>8.11951159267562</v>
      </c>
    </row>
    <row r="26" customFormat="false" ht="15" hidden="false" customHeight="false" outlineLevel="0" collapsed="false">
      <c r="B26" s="14" t="n">
        <v>17</v>
      </c>
      <c r="C26" s="7" t="s">
        <v>124</v>
      </c>
      <c r="D26" s="7"/>
      <c r="E26" s="54"/>
      <c r="F26" s="7" t="s">
        <v>148</v>
      </c>
      <c r="G26" s="7"/>
      <c r="H26" s="7"/>
      <c r="I26" s="7"/>
      <c r="J26" s="54"/>
      <c r="K26" s="55" t="n">
        <f aca="false">AT67</f>
        <v>8.11796314028596</v>
      </c>
    </row>
    <row r="27" customFormat="false" ht="15" hidden="false" customHeight="false" outlineLevel="0" collapsed="false">
      <c r="B27" s="17" t="n">
        <v>18</v>
      </c>
      <c r="C27" s="9" t="s">
        <v>120</v>
      </c>
      <c r="D27" s="9"/>
      <c r="E27" s="56"/>
      <c r="F27" s="9" t="s">
        <v>148</v>
      </c>
      <c r="G27" s="9"/>
      <c r="H27" s="9"/>
      <c r="I27" s="9"/>
      <c r="J27" s="56"/>
      <c r="K27" s="57" t="n">
        <f aca="false">AT65</f>
        <v>8.0209839189902</v>
      </c>
    </row>
    <row r="28" customFormat="false" ht="15" hidden="false" customHeight="false" outlineLevel="0" collapsed="false">
      <c r="B28" s="14" t="n">
        <v>19</v>
      </c>
      <c r="C28" s="7" t="s">
        <v>126</v>
      </c>
      <c r="D28" s="7"/>
      <c r="E28" s="54"/>
      <c r="F28" s="7" t="s">
        <v>148</v>
      </c>
      <c r="G28" s="7"/>
      <c r="H28" s="7"/>
      <c r="I28" s="7"/>
      <c r="J28" s="54"/>
      <c r="K28" s="55" t="n">
        <f aca="false">AT68</f>
        <v>7.69662575419122</v>
      </c>
    </row>
    <row r="29" customFormat="false" ht="15" hidden="false" customHeight="false" outlineLevel="0" collapsed="false">
      <c r="B29" s="17" t="n">
        <v>20</v>
      </c>
      <c r="C29" s="9" t="s">
        <v>82</v>
      </c>
      <c r="D29" s="9"/>
      <c r="E29" s="56"/>
      <c r="F29" s="9" t="s">
        <v>148</v>
      </c>
      <c r="G29" s="9"/>
      <c r="H29" s="9"/>
      <c r="I29" s="9"/>
      <c r="J29" s="56"/>
      <c r="K29" s="57" t="n">
        <f aca="false">AT46</f>
        <v>7.61833896308057</v>
      </c>
    </row>
    <row r="31" customFormat="false" ht="15" hidden="false" customHeight="false" outlineLevel="0" collapsed="false">
      <c r="B31" s="4" t="s">
        <v>254</v>
      </c>
    </row>
    <row r="32" customFormat="false" ht="27" hidden="false" customHeight="true" outlineLevel="0" collapsed="false">
      <c r="B32" s="38" t="s">
        <v>324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</row>
    <row r="33" customFormat="false" ht="13.5" hidden="false" customHeight="true" outlineLevel="0" collapsed="false">
      <c r="B33" s="38" t="s">
        <v>325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</row>
    <row r="34" customFormat="false" ht="13.5" hidden="false" customHeight="true" outlineLevel="0" collapsed="false">
      <c r="B34" s="38" t="s">
        <v>326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</row>
    <row r="36" customFormat="false" ht="15" hidden="false" customHeight="false" outlineLevel="0" collapsed="false">
      <c r="B36" s="4" t="s">
        <v>327</v>
      </c>
    </row>
    <row r="37" customFormat="false" ht="15" hidden="false" customHeight="true" outlineLevel="0" collapsed="false">
      <c r="B37" s="32" t="s">
        <v>62</v>
      </c>
      <c r="C37" s="32" t="s">
        <v>63</v>
      </c>
      <c r="D37" s="32"/>
      <c r="E37" s="32" t="n">
        <v>1</v>
      </c>
      <c r="F37" s="32" t="n">
        <v>2</v>
      </c>
      <c r="G37" s="32" t="n">
        <v>3</v>
      </c>
      <c r="H37" s="32" t="n">
        <v>4</v>
      </c>
      <c r="I37" s="32" t="n">
        <v>5</v>
      </c>
      <c r="J37" s="32" t="n">
        <v>6</v>
      </c>
      <c r="K37" s="32" t="n">
        <v>7</v>
      </c>
      <c r="L37" s="32" t="n">
        <v>8</v>
      </c>
      <c r="M37" s="32" t="n">
        <v>9</v>
      </c>
      <c r="N37" s="32" t="n">
        <v>10</v>
      </c>
      <c r="O37" s="32" t="n">
        <v>11</v>
      </c>
      <c r="P37" s="32" t="n">
        <v>12</v>
      </c>
      <c r="Q37" s="32" t="n">
        <v>13</v>
      </c>
      <c r="R37" s="32" t="n">
        <v>14</v>
      </c>
      <c r="S37" s="32" t="n">
        <v>15</v>
      </c>
      <c r="T37" s="32" t="n">
        <v>16</v>
      </c>
      <c r="U37" s="32" t="n">
        <v>17</v>
      </c>
      <c r="V37" s="32" t="n">
        <v>18</v>
      </c>
      <c r="W37" s="32" t="n">
        <v>19</v>
      </c>
      <c r="X37" s="32" t="n">
        <v>20</v>
      </c>
      <c r="Y37" s="32" t="n">
        <v>21</v>
      </c>
      <c r="Z37" s="32" t="n">
        <v>22</v>
      </c>
      <c r="AA37" s="32" t="n">
        <v>23</v>
      </c>
      <c r="AB37" s="32" t="n">
        <v>24</v>
      </c>
      <c r="AC37" s="32" t="n">
        <v>25</v>
      </c>
      <c r="AD37" s="32" t="n">
        <v>26</v>
      </c>
      <c r="AE37" s="32" t="n">
        <v>27</v>
      </c>
      <c r="AF37" s="32" t="n">
        <v>28</v>
      </c>
      <c r="AG37" s="32" t="n">
        <v>29</v>
      </c>
      <c r="AH37" s="32" t="n">
        <v>30</v>
      </c>
      <c r="AI37" s="32" t="n">
        <v>31</v>
      </c>
      <c r="AJ37" s="32" t="n">
        <v>32</v>
      </c>
      <c r="AK37" s="32" t="n">
        <v>33</v>
      </c>
      <c r="AL37" s="32" t="n">
        <v>34</v>
      </c>
      <c r="AM37" s="32" t="n">
        <v>35</v>
      </c>
      <c r="AN37" s="32" t="n">
        <v>36</v>
      </c>
      <c r="AO37" s="32" t="n">
        <v>37</v>
      </c>
      <c r="AP37" s="32" t="n">
        <v>38</v>
      </c>
      <c r="AQ37" s="32" t="n">
        <v>39</v>
      </c>
      <c r="AR37" s="32" t="n">
        <v>40</v>
      </c>
      <c r="AS37" s="32" t="n">
        <v>41</v>
      </c>
      <c r="AT37" s="32" t="n">
        <v>42</v>
      </c>
      <c r="AU37" s="32" t="n">
        <v>43</v>
      </c>
      <c r="AV37" s="32" t="n">
        <v>44</v>
      </c>
      <c r="AW37" s="32" t="n">
        <v>45</v>
      </c>
      <c r="AX37" s="32" t="n">
        <v>46</v>
      </c>
      <c r="AY37" s="32" t="n">
        <v>47</v>
      </c>
      <c r="AZ37" s="32" t="n">
        <v>48</v>
      </c>
      <c r="BA37" s="32" t="n">
        <v>49</v>
      </c>
      <c r="BB37" s="32" t="n">
        <v>50</v>
      </c>
      <c r="BC37" s="32" t="n">
        <v>51</v>
      </c>
      <c r="BD37" s="32" t="n">
        <v>52</v>
      </c>
      <c r="BE37" s="32" t="n">
        <v>53</v>
      </c>
      <c r="BF37" s="32" t="n">
        <v>54</v>
      </c>
      <c r="BG37" s="32" t="n">
        <v>55</v>
      </c>
      <c r="BH37" s="32" t="n">
        <v>56</v>
      </c>
      <c r="BI37" s="32" t="n">
        <v>57</v>
      </c>
      <c r="BJ37" s="32" t="n">
        <v>58</v>
      </c>
      <c r="BK37" s="32" t="n">
        <v>59</v>
      </c>
      <c r="BL37" s="32" t="n">
        <v>60</v>
      </c>
      <c r="BM37" s="32" t="n">
        <v>61</v>
      </c>
      <c r="BN37" s="32" t="n">
        <v>62</v>
      </c>
      <c r="BO37" s="32" t="n">
        <v>63</v>
      </c>
      <c r="BP37" s="32" t="n">
        <v>64</v>
      </c>
      <c r="BQ37" s="32" t="n">
        <v>65</v>
      </c>
      <c r="BR37" s="32" t="n">
        <v>66</v>
      </c>
      <c r="BS37" s="32" t="n">
        <v>67</v>
      </c>
      <c r="BT37" s="32" t="n">
        <v>68</v>
      </c>
      <c r="BU37" s="32" t="s">
        <v>328</v>
      </c>
    </row>
    <row r="38" customFormat="false" ht="11.25" hidden="false" customHeight="true" outlineLevel="0" collapsed="false">
      <c r="B38" s="19" t="s">
        <v>65</v>
      </c>
      <c r="C38" s="20" t="s">
        <v>66</v>
      </c>
      <c r="D38" s="19" t="n">
        <v>1</v>
      </c>
      <c r="E38" s="21" t="n">
        <v>1.89926563495083</v>
      </c>
      <c r="F38" s="21" t="n">
        <v>1.3782266838803</v>
      </c>
      <c r="G38" s="21" t="n">
        <v>1.31263218277109</v>
      </c>
      <c r="H38" s="21" t="n">
        <v>1.15184377725101</v>
      </c>
      <c r="I38" s="21" t="n">
        <v>1.49488280050582</v>
      </c>
      <c r="J38" s="21" t="n">
        <v>1.15988405596504</v>
      </c>
      <c r="K38" s="21" t="n">
        <v>1.27468032768346</v>
      </c>
      <c r="L38" s="21" t="n">
        <v>1.32411561529124</v>
      </c>
      <c r="M38" s="21" t="n">
        <v>1.1994496152438</v>
      </c>
      <c r="N38" s="21" t="n">
        <v>1.40220667867808</v>
      </c>
      <c r="O38" s="21" t="n">
        <v>1.35472643976153</v>
      </c>
      <c r="P38" s="21" t="n">
        <v>1.27068400777039</v>
      </c>
      <c r="Q38" s="21" t="n">
        <v>1.73054301654214</v>
      </c>
      <c r="R38" s="21" t="n">
        <v>1.17628076437714</v>
      </c>
      <c r="S38" s="21" t="n">
        <v>1.40653174616736</v>
      </c>
      <c r="T38" s="21" t="n">
        <v>1.45177834824866</v>
      </c>
      <c r="U38" s="21" t="n">
        <v>1.66907928109164</v>
      </c>
      <c r="V38" s="21" t="n">
        <v>1.28128222445403</v>
      </c>
      <c r="W38" s="21" t="n">
        <v>2.50048853107572</v>
      </c>
      <c r="X38" s="21" t="n">
        <v>1.12834872484857</v>
      </c>
      <c r="Y38" s="21" t="n">
        <v>1.97750055104181</v>
      </c>
      <c r="Z38" s="21" t="n">
        <v>1.39541690116999</v>
      </c>
      <c r="AA38" s="21" t="n">
        <v>1.15597889988143</v>
      </c>
      <c r="AB38" s="21" t="n">
        <v>1.21897534701286</v>
      </c>
      <c r="AC38" s="21" t="n">
        <v>1.49031271104783</v>
      </c>
      <c r="AD38" s="21" t="n">
        <v>1.38158098680765</v>
      </c>
      <c r="AE38" s="21" t="n">
        <v>1.65534837781446</v>
      </c>
      <c r="AF38" s="21" t="n">
        <v>1.49486620683193</v>
      </c>
      <c r="AG38" s="21" t="n">
        <v>1.32355886968511</v>
      </c>
      <c r="AH38" s="21" t="n">
        <v>1.56109563318668</v>
      </c>
      <c r="AI38" s="21" t="n">
        <v>1.35549013115677</v>
      </c>
      <c r="AJ38" s="21" t="n">
        <v>1.49575361211952</v>
      </c>
      <c r="AK38" s="21" t="n">
        <v>1.18301900531905</v>
      </c>
      <c r="AL38" s="21" t="n">
        <v>1.49361496317374</v>
      </c>
      <c r="AM38" s="21" t="n">
        <v>1.70644983290214</v>
      </c>
      <c r="AN38" s="21" t="n">
        <v>1.17669712710983</v>
      </c>
      <c r="AO38" s="21" t="n">
        <v>1.18988672271876</v>
      </c>
      <c r="AP38" s="21" t="n">
        <v>2.07245220468441</v>
      </c>
      <c r="AQ38" s="21" t="n">
        <v>1.13209407849434</v>
      </c>
      <c r="AR38" s="21" t="n">
        <v>1.38071112205978</v>
      </c>
      <c r="AS38" s="21" t="n">
        <v>1.17771324058323</v>
      </c>
      <c r="AT38" s="21" t="n">
        <v>5.99607069641372</v>
      </c>
      <c r="AU38" s="21" t="n">
        <v>1.84742874000872</v>
      </c>
      <c r="AV38" s="21" t="n">
        <v>1.23583695931312</v>
      </c>
      <c r="AW38" s="21" t="n">
        <v>1.11438912423971</v>
      </c>
      <c r="AX38" s="21" t="n">
        <v>1.27055377988745</v>
      </c>
      <c r="AY38" s="21" t="n">
        <v>1.10685727328834</v>
      </c>
      <c r="AZ38" s="21" t="n">
        <v>1.11203913331547</v>
      </c>
      <c r="BA38" s="21" t="n">
        <v>1.13260231124984</v>
      </c>
      <c r="BB38" s="21" t="n">
        <v>1.66796956017689</v>
      </c>
      <c r="BC38" s="21" t="n">
        <v>1.58856589020771</v>
      </c>
      <c r="BD38" s="21" t="n">
        <v>1.24113116572755</v>
      </c>
      <c r="BE38" s="21" t="n">
        <v>1.6486135292559</v>
      </c>
      <c r="BF38" s="21" t="n">
        <v>1.13952412055734</v>
      </c>
      <c r="BG38" s="21" t="n">
        <v>1.44723671934007</v>
      </c>
      <c r="BH38" s="21" t="n">
        <v>1.23280257429035</v>
      </c>
      <c r="BI38" s="21" t="n">
        <v>1.24455330866499</v>
      </c>
      <c r="BJ38" s="21" t="n">
        <v>1.15539245425049</v>
      </c>
      <c r="BK38" s="21" t="n">
        <v>1.25176681916493</v>
      </c>
      <c r="BL38" s="21" t="n">
        <v>1.11174857926651</v>
      </c>
      <c r="BM38" s="21" t="n">
        <v>1.11195667879534</v>
      </c>
      <c r="BN38" s="21" t="n">
        <v>1.10342842529197</v>
      </c>
      <c r="BO38" s="21" t="n">
        <v>1.10620021502413</v>
      </c>
      <c r="BP38" s="21" t="n">
        <v>1.10291916014803</v>
      </c>
      <c r="BQ38" s="21" t="n">
        <v>1.36254747469765</v>
      </c>
      <c r="BR38" s="21" t="n">
        <v>1.15257603947827</v>
      </c>
      <c r="BS38" s="21" t="n">
        <v>1.11403833445842</v>
      </c>
      <c r="BT38" s="21" t="n">
        <v>1.10288705278612</v>
      </c>
      <c r="BU38" s="58" t="n">
        <f aca="false">AVERAGE(E38:BT38)</f>
        <v>1.43069239853909</v>
      </c>
    </row>
    <row r="39" customFormat="false" ht="11.25" hidden="false" customHeight="true" outlineLevel="0" collapsed="false">
      <c r="B39" s="24" t="s">
        <v>67</v>
      </c>
      <c r="C39" s="25" t="s">
        <v>68</v>
      </c>
      <c r="D39" s="24" t="n">
        <v>2</v>
      </c>
      <c r="E39" s="26" t="n">
        <v>1.93545662103319</v>
      </c>
      <c r="F39" s="26" t="n">
        <v>1.41016155984803</v>
      </c>
      <c r="G39" s="26" t="n">
        <v>1.34026800932323</v>
      </c>
      <c r="H39" s="26" t="n">
        <v>1.17607696714089</v>
      </c>
      <c r="I39" s="26" t="n">
        <v>1.52631873900028</v>
      </c>
      <c r="J39" s="26" t="n">
        <v>1.18428713333138</v>
      </c>
      <c r="K39" s="26" t="n">
        <v>1.301497555567</v>
      </c>
      <c r="L39" s="26" t="n">
        <v>1.3520331783638</v>
      </c>
      <c r="M39" s="26" t="n">
        <v>1.22468829105371</v>
      </c>
      <c r="N39" s="26" t="n">
        <v>1.43188879399361</v>
      </c>
      <c r="O39" s="26" t="n">
        <v>1.38322800558269</v>
      </c>
      <c r="P39" s="26" t="n">
        <v>1.29741726220977</v>
      </c>
      <c r="Q39" s="26" t="n">
        <v>1.76694299151955</v>
      </c>
      <c r="R39" s="26" t="n">
        <v>1.20102785689905</v>
      </c>
      <c r="S39" s="26" t="n">
        <v>1.43612321330958</v>
      </c>
      <c r="T39" s="26" t="n">
        <v>1.48232414394829</v>
      </c>
      <c r="U39" s="26" t="n">
        <v>1.70419831890864</v>
      </c>
      <c r="V39" s="26" t="n">
        <v>1.30823933961652</v>
      </c>
      <c r="W39" s="26" t="n">
        <v>2.55302458386439</v>
      </c>
      <c r="X39" s="26" t="n">
        <v>1.15208776008043</v>
      </c>
      <c r="Y39" s="26" t="n">
        <v>2.01872710131077</v>
      </c>
      <c r="Z39" s="26" t="n">
        <v>1.42466987638712</v>
      </c>
      <c r="AA39" s="26" t="n">
        <v>1.18029697201629</v>
      </c>
      <c r="AB39" s="26" t="n">
        <v>1.24466488548667</v>
      </c>
      <c r="AC39" s="26" t="n">
        <v>1.52166746799289</v>
      </c>
      <c r="AD39" s="26" t="n">
        <v>1.4106665150827</v>
      </c>
      <c r="AE39" s="26" t="n">
        <v>1.69018455917908</v>
      </c>
      <c r="AF39" s="26" t="n">
        <v>1.52631434031003</v>
      </c>
      <c r="AG39" s="26" t="n">
        <v>1.35141323200981</v>
      </c>
      <c r="AH39" s="26" t="n">
        <v>1.59393885731607</v>
      </c>
      <c r="AI39" s="26" t="n">
        <v>1.3840097526956</v>
      </c>
      <c r="AJ39" s="26" t="n">
        <v>1.5272225842033</v>
      </c>
      <c r="AK39" s="26" t="n">
        <v>1.20790781447907</v>
      </c>
      <c r="AL39" s="26" t="n">
        <v>1.52503698722582</v>
      </c>
      <c r="AM39" s="26" t="n">
        <v>1.74235079696096</v>
      </c>
      <c r="AN39" s="26" t="n">
        <v>1.20145306901767</v>
      </c>
      <c r="AO39" s="26" t="n">
        <v>1.21491932220746</v>
      </c>
      <c r="AP39" s="26" t="n">
        <v>2.1160982505647</v>
      </c>
      <c r="AQ39" s="26" t="n">
        <v>1.15591122435794</v>
      </c>
      <c r="AR39" s="26" t="n">
        <v>1.40976218497327</v>
      </c>
      <c r="AS39" s="26" t="n">
        <v>1.20248817385506</v>
      </c>
      <c r="AT39" s="26" t="n">
        <v>6.12244535382074</v>
      </c>
      <c r="AU39" s="26" t="n">
        <v>1.88625340419334</v>
      </c>
      <c r="AV39" s="26" t="n">
        <v>1.26183625348102</v>
      </c>
      <c r="AW39" s="26" t="n">
        <v>1.13783386196744</v>
      </c>
      <c r="AX39" s="26" t="n">
        <v>1.29727856969681</v>
      </c>
      <c r="AY39" s="26" t="n">
        <v>1.13014393583455</v>
      </c>
      <c r="AZ39" s="26" t="n">
        <v>1.13543480184538</v>
      </c>
      <c r="BA39" s="26" t="n">
        <v>1.15643067278443</v>
      </c>
      <c r="BB39" s="26" t="n">
        <v>1.70306686897458</v>
      </c>
      <c r="BC39" s="26" t="n">
        <v>1.62198825404576</v>
      </c>
      <c r="BD39" s="26" t="n">
        <v>1.26724340203004</v>
      </c>
      <c r="BE39" s="26" t="n">
        <v>1.68329607666196</v>
      </c>
      <c r="BF39" s="26" t="n">
        <v>1.16349917150419</v>
      </c>
      <c r="BG39" s="26" t="n">
        <v>1.47768061807654</v>
      </c>
      <c r="BH39" s="26" t="n">
        <v>1.25873318161965</v>
      </c>
      <c r="BI39" s="26" t="n">
        <v>1.27074768757107</v>
      </c>
      <c r="BJ39" s="26" t="n">
        <v>1.17969895519208</v>
      </c>
      <c r="BK39" s="26" t="n">
        <v>1.27810334948567</v>
      </c>
      <c r="BL39" s="26" t="n">
        <v>1.13513794561965</v>
      </c>
      <c r="BM39" s="26" t="n">
        <v>1.13535140731345</v>
      </c>
      <c r="BN39" s="26" t="n">
        <v>1.12664285058763</v>
      </c>
      <c r="BO39" s="26" t="n">
        <v>1.12947292163801</v>
      </c>
      <c r="BP39" s="26" t="n">
        <v>1.12612288901122</v>
      </c>
      <c r="BQ39" s="26" t="n">
        <v>1.39121340543245</v>
      </c>
      <c r="BR39" s="26" t="n">
        <v>1.17682490609586</v>
      </c>
      <c r="BS39" s="26" t="n">
        <v>1.13747586648778</v>
      </c>
      <c r="BT39" s="26" t="n">
        <v>1.12609010773801</v>
      </c>
      <c r="BU39" s="58" t="n">
        <f aca="false">AVERAGE(E39:BT39)</f>
        <v>1.4607800148667</v>
      </c>
    </row>
    <row r="40" customFormat="false" ht="11.25" hidden="false" customHeight="true" outlineLevel="0" collapsed="false">
      <c r="B40" s="19" t="s">
        <v>69</v>
      </c>
      <c r="C40" s="20" t="s">
        <v>70</v>
      </c>
      <c r="D40" s="19" t="n">
        <v>3</v>
      </c>
      <c r="E40" s="21" t="n">
        <v>2.01906621732887</v>
      </c>
      <c r="F40" s="21" t="n">
        <v>1.46816089477954</v>
      </c>
      <c r="G40" s="21" t="n">
        <v>1.40128846602508</v>
      </c>
      <c r="H40" s="21" t="n">
        <v>1.22698661870211</v>
      </c>
      <c r="I40" s="21" t="n">
        <v>1.59237313594144</v>
      </c>
      <c r="J40" s="21" t="n">
        <v>1.23556127278327</v>
      </c>
      <c r="K40" s="21" t="n">
        <v>1.35784725217641</v>
      </c>
      <c r="L40" s="21" t="n">
        <v>1.41051619813349</v>
      </c>
      <c r="M40" s="21" t="n">
        <v>1.27770513165813</v>
      </c>
      <c r="N40" s="21" t="n">
        <v>1.4937207234103</v>
      </c>
      <c r="O40" s="21" t="n">
        <v>1.44311660459243</v>
      </c>
      <c r="P40" s="21" t="n">
        <v>1.35359097076127</v>
      </c>
      <c r="Q40" s="21" t="n">
        <v>1.84344409507865</v>
      </c>
      <c r="R40" s="21" t="n">
        <v>1.25302885725907</v>
      </c>
      <c r="S40" s="21" t="n">
        <v>1.49830206653273</v>
      </c>
      <c r="T40" s="21" t="n">
        <v>1.54649552574724</v>
      </c>
      <c r="U40" s="21" t="n">
        <v>1.77797173905958</v>
      </c>
      <c r="V40" s="21" t="n">
        <v>1.36487962614936</v>
      </c>
      <c r="W40" s="21" t="n">
        <v>2.66343454187695</v>
      </c>
      <c r="X40" s="21" t="n">
        <v>1.20196539903717</v>
      </c>
      <c r="Y40" s="21" t="n">
        <v>2.10602999784063</v>
      </c>
      <c r="Z40" s="21" t="n">
        <v>1.4863157255506</v>
      </c>
      <c r="AA40" s="21" t="n">
        <v>1.23139725632406</v>
      </c>
      <c r="AB40" s="21" t="n">
        <v>1.29850424476626</v>
      </c>
      <c r="AC40" s="21" t="n">
        <v>1.58753917032357</v>
      </c>
      <c r="AD40" s="21" t="n">
        <v>1.47169339848978</v>
      </c>
      <c r="AE40" s="21" t="n">
        <v>1.76334772866355</v>
      </c>
      <c r="AF40" s="21" t="n">
        <v>1.59239499438759</v>
      </c>
      <c r="AG40" s="21" t="n">
        <v>1.40991072636422</v>
      </c>
      <c r="AH40" s="21" t="n">
        <v>1.66294981079706</v>
      </c>
      <c r="AI40" s="21" t="n">
        <v>1.44392786275918</v>
      </c>
      <c r="AJ40" s="21" t="n">
        <v>1.59334444588266</v>
      </c>
      <c r="AK40" s="21" t="n">
        <v>1.26020603268429</v>
      </c>
      <c r="AL40" s="21" t="n">
        <v>1.5910659272969</v>
      </c>
      <c r="AM40" s="21" t="n">
        <v>1.81778869651439</v>
      </c>
      <c r="AN40" s="21" t="n">
        <v>1.25347169339935</v>
      </c>
      <c r="AO40" s="21" t="n">
        <v>1.26752384654705</v>
      </c>
      <c r="AP40" s="21" t="n">
        <v>2.20755597095308</v>
      </c>
      <c r="AQ40" s="21" t="n">
        <v>1.20595603445241</v>
      </c>
      <c r="AR40" s="21" t="n">
        <v>1.47079467980693</v>
      </c>
      <c r="AS40" s="21" t="n">
        <v>1.25455305957907</v>
      </c>
      <c r="AT40" s="21" t="n">
        <v>6.38680648592894</v>
      </c>
      <c r="AU40" s="21" t="n">
        <v>1.96794232516201</v>
      </c>
      <c r="AV40" s="21" t="n">
        <v>1.31646794030876</v>
      </c>
      <c r="AW40" s="21" t="n">
        <v>1.18709702868046</v>
      </c>
      <c r="AX40" s="21" t="n">
        <v>1.35344858396581</v>
      </c>
      <c r="AY40" s="21" t="n">
        <v>1.17907464009388</v>
      </c>
      <c r="AZ40" s="21" t="n">
        <v>1.18459450001472</v>
      </c>
      <c r="BA40" s="21" t="n">
        <v>1.20649934486793</v>
      </c>
      <c r="BB40" s="21" t="n">
        <v>1.77679779106638</v>
      </c>
      <c r="BC40" s="21" t="n">
        <v>1.69220818131547</v>
      </c>
      <c r="BD40" s="21" t="n">
        <v>1.32210657163456</v>
      </c>
      <c r="BE40" s="21" t="n">
        <v>1.75613628139796</v>
      </c>
      <c r="BF40" s="21" t="n">
        <v>1.21386946328082</v>
      </c>
      <c r="BG40" s="21" t="n">
        <v>1.54163761803875</v>
      </c>
      <c r="BH40" s="21" t="n">
        <v>1.31322563027796</v>
      </c>
      <c r="BI40" s="21" t="n">
        <v>1.3257557173007</v>
      </c>
      <c r="BJ40" s="21" t="n">
        <v>1.23077783003683</v>
      </c>
      <c r="BK40" s="21" t="n">
        <v>1.33343248349288</v>
      </c>
      <c r="BL40" s="21" t="n">
        <v>1.18428393240698</v>
      </c>
      <c r="BM40" s="21" t="n">
        <v>1.18450476856045</v>
      </c>
      <c r="BN40" s="21" t="n">
        <v>1.17542244662166</v>
      </c>
      <c r="BO40" s="21" t="n">
        <v>1.17837466592467</v>
      </c>
      <c r="BP40" s="21" t="n">
        <v>1.1748801524308</v>
      </c>
      <c r="BQ40" s="21" t="n">
        <v>1.45144811658368</v>
      </c>
      <c r="BR40" s="21" t="n">
        <v>1.22777693045453</v>
      </c>
      <c r="BS40" s="21" t="n">
        <v>1.18672431717083</v>
      </c>
      <c r="BT40" s="21" t="n">
        <v>1.17484596451361</v>
      </c>
      <c r="BU40" s="58" t="n">
        <f aca="false">AVERAGE(E40:BT40)</f>
        <v>1.52399803458747</v>
      </c>
    </row>
    <row r="41" customFormat="false" ht="11.25" hidden="false" customHeight="true" outlineLevel="0" collapsed="false">
      <c r="B41" s="24" t="s">
        <v>71</v>
      </c>
      <c r="C41" s="25" t="s">
        <v>72</v>
      </c>
      <c r="D41" s="24" t="n">
        <v>4</v>
      </c>
      <c r="E41" s="26" t="n">
        <v>1.88730613735356</v>
      </c>
      <c r="F41" s="26" t="n">
        <v>1.37234698056589</v>
      </c>
      <c r="G41" s="26" t="n">
        <v>1.30702858926119</v>
      </c>
      <c r="H41" s="26" t="n">
        <v>1.14926499262923</v>
      </c>
      <c r="I41" s="26" t="n">
        <v>1.48853248720451</v>
      </c>
      <c r="J41" s="26" t="n">
        <v>1.15494614645232</v>
      </c>
      <c r="K41" s="26" t="n">
        <v>1.2692516009527</v>
      </c>
      <c r="L41" s="26" t="n">
        <v>1.31847386710863</v>
      </c>
      <c r="M41" s="26" t="n">
        <v>1.19434212230796</v>
      </c>
      <c r="N41" s="26" t="n">
        <v>1.39623243162644</v>
      </c>
      <c r="O41" s="26" t="n">
        <v>1.34895605784235</v>
      </c>
      <c r="P41" s="26" t="n">
        <v>1.26527097927077</v>
      </c>
      <c r="Q41" s="26" t="n">
        <v>1.72319727770939</v>
      </c>
      <c r="R41" s="26" t="n">
        <v>1.17127096513411</v>
      </c>
      <c r="S41" s="26" t="n">
        <v>1.40054126315227</v>
      </c>
      <c r="T41" s="26" t="n">
        <v>1.44559023091053</v>
      </c>
      <c r="U41" s="26" t="n">
        <v>1.66197259940881</v>
      </c>
      <c r="V41" s="26" t="n">
        <v>1.27582733017248</v>
      </c>
      <c r="W41" s="26" t="n">
        <v>2.48993783559877</v>
      </c>
      <c r="X41" s="26" t="n">
        <v>1.12354349951751</v>
      </c>
      <c r="Y41" s="26" t="n">
        <v>1.96870168406502</v>
      </c>
      <c r="Z41" s="26" t="n">
        <v>1.3896242849637</v>
      </c>
      <c r="AA41" s="26" t="n">
        <v>1.15105631211966</v>
      </c>
      <c r="AB41" s="26" t="n">
        <v>1.21377897615801</v>
      </c>
      <c r="AC41" s="26" t="n">
        <v>1.48399329235585</v>
      </c>
      <c r="AD41" s="26" t="n">
        <v>1.37567670536747</v>
      </c>
      <c r="AE41" s="26" t="n">
        <v>1.64833370443436</v>
      </c>
      <c r="AF41" s="26" t="n">
        <v>1.48850497812055</v>
      </c>
      <c r="AG41" s="26" t="n">
        <v>1.3179363889404</v>
      </c>
      <c r="AH41" s="26" t="n">
        <v>1.55445058506463</v>
      </c>
      <c r="AI41" s="26" t="n">
        <v>1.34972558059857</v>
      </c>
      <c r="AJ41" s="26" t="n">
        <v>1.48942828414388</v>
      </c>
      <c r="AK41" s="26" t="n">
        <v>1.17798032389113</v>
      </c>
      <c r="AL41" s="26" t="n">
        <v>1.48726322029324</v>
      </c>
      <c r="AM41" s="26" t="n">
        <v>1.69918441553893</v>
      </c>
      <c r="AN41" s="26" t="n">
        <v>1.17168613651514</v>
      </c>
      <c r="AO41" s="26" t="n">
        <v>1.18490564464088</v>
      </c>
      <c r="AP41" s="26" t="n">
        <v>2.06366420983195</v>
      </c>
      <c r="AQ41" s="26" t="n">
        <v>1.12727836415111</v>
      </c>
      <c r="AR41" s="26" t="n">
        <v>1.37483398646742</v>
      </c>
      <c r="AS41" s="26" t="n">
        <v>1.17271994981207</v>
      </c>
      <c r="AT41" s="26" t="n">
        <v>5.97121778327193</v>
      </c>
      <c r="AU41" s="26" t="n">
        <v>1.83970462473857</v>
      </c>
      <c r="AV41" s="26" t="n">
        <v>1.23057216492915</v>
      </c>
      <c r="AW41" s="26" t="n">
        <v>1.10964461534311</v>
      </c>
      <c r="AX41" s="26" t="n">
        <v>1.26514517939354</v>
      </c>
      <c r="AY41" s="26" t="n">
        <v>1.10214387328971</v>
      </c>
      <c r="AZ41" s="26" t="n">
        <v>1.10730415713294</v>
      </c>
      <c r="BA41" s="26" t="n">
        <v>1.12777839390731</v>
      </c>
      <c r="BB41" s="26" t="n">
        <v>1.66087176073191</v>
      </c>
      <c r="BC41" s="26" t="n">
        <v>1.5818157756703</v>
      </c>
      <c r="BD41" s="26" t="n">
        <v>1.23584923169592</v>
      </c>
      <c r="BE41" s="26" t="n">
        <v>1.64166173849359</v>
      </c>
      <c r="BF41" s="26" t="n">
        <v>1.13468019003079</v>
      </c>
      <c r="BG41" s="26" t="n">
        <v>1.44117163425115</v>
      </c>
      <c r="BH41" s="26" t="n">
        <v>1.22755715677845</v>
      </c>
      <c r="BI41" s="26" t="n">
        <v>1.2392650647653</v>
      </c>
      <c r="BJ41" s="26" t="n">
        <v>1.15048664616231</v>
      </c>
      <c r="BK41" s="26" t="n">
        <v>1.24651115610296</v>
      </c>
      <c r="BL41" s="26" t="n">
        <v>1.10701589135158</v>
      </c>
      <c r="BM41" s="26" t="n">
        <v>1.10722375072872</v>
      </c>
      <c r="BN41" s="26" t="n">
        <v>1.09872831892332</v>
      </c>
      <c r="BO41" s="26" t="n">
        <v>1.10149000561842</v>
      </c>
      <c r="BP41" s="26" t="n">
        <v>1.09822078634523</v>
      </c>
      <c r="BQ41" s="26" t="n">
        <v>1.35674324233049</v>
      </c>
      <c r="BR41" s="26" t="n">
        <v>1.14766675904731</v>
      </c>
      <c r="BS41" s="26" t="n">
        <v>1.10929777252992</v>
      </c>
      <c r="BT41" s="26" t="n">
        <v>1.09818880587434</v>
      </c>
      <c r="BU41" s="58" t="n">
        <f aca="false">AVERAGE(E41:BT41)</f>
        <v>1.42459583678076</v>
      </c>
    </row>
    <row r="42" customFormat="false" ht="11.25" hidden="false" customHeight="true" outlineLevel="0" collapsed="false">
      <c r="B42" s="19" t="s">
        <v>73</v>
      </c>
      <c r="C42" s="20" t="s">
        <v>74</v>
      </c>
      <c r="D42" s="19" t="n">
        <v>5</v>
      </c>
      <c r="E42" s="21" t="n">
        <v>1.96377662249808</v>
      </c>
      <c r="F42" s="21" t="n">
        <v>1.42796512044815</v>
      </c>
      <c r="G42" s="21" t="n">
        <v>1.35999991950041</v>
      </c>
      <c r="H42" s="21" t="n">
        <v>1.19341790448391</v>
      </c>
      <c r="I42" s="21" t="n">
        <v>1.55204545567526</v>
      </c>
      <c r="J42" s="21" t="n">
        <v>1.20175792074076</v>
      </c>
      <c r="K42" s="21" t="n">
        <v>1.32069350830956</v>
      </c>
      <c r="L42" s="21" t="n">
        <v>1.371909243206</v>
      </c>
      <c r="M42" s="21" t="n">
        <v>1.24274279618525</v>
      </c>
      <c r="N42" s="21" t="n">
        <v>1.4527954618437</v>
      </c>
      <c r="O42" s="21" t="n">
        <v>1.40362805429335</v>
      </c>
      <c r="P42" s="21" t="n">
        <v>1.31655119330198</v>
      </c>
      <c r="Q42" s="21" t="n">
        <v>1.79300286486031</v>
      </c>
      <c r="R42" s="21" t="n">
        <v>1.21874157704525</v>
      </c>
      <c r="S42" s="21" t="n">
        <v>1.45730255724743</v>
      </c>
      <c r="T42" s="21" t="n">
        <v>1.50417707222838</v>
      </c>
      <c r="U42" s="21" t="n">
        <v>1.72932394397494</v>
      </c>
      <c r="V42" s="21" t="n">
        <v>1.32753328520131</v>
      </c>
      <c r="W42" s="21" t="n">
        <v>2.59052282153173</v>
      </c>
      <c r="X42" s="21" t="n">
        <v>1.16907679117939</v>
      </c>
      <c r="Y42" s="21" t="n">
        <v>2.04841092736423</v>
      </c>
      <c r="Z42" s="21" t="n">
        <v>1.44564881575545</v>
      </c>
      <c r="AA42" s="21" t="n">
        <v>1.19770270704555</v>
      </c>
      <c r="AB42" s="21" t="n">
        <v>1.26297309569338</v>
      </c>
      <c r="AC42" s="21" t="n">
        <v>1.54410414613286</v>
      </c>
      <c r="AD42" s="21" t="n">
        <v>1.43142399177069</v>
      </c>
      <c r="AE42" s="21" t="n">
        <v>1.71517314705893</v>
      </c>
      <c r="AF42" s="21" t="n">
        <v>1.54882823512253</v>
      </c>
      <c r="AG42" s="21" t="n">
        <v>1.37135907387067</v>
      </c>
      <c r="AH42" s="21" t="n">
        <v>1.61745298806668</v>
      </c>
      <c r="AI42" s="21" t="n">
        <v>1.40442485018017</v>
      </c>
      <c r="AJ42" s="21" t="n">
        <v>1.54982662379548</v>
      </c>
      <c r="AK42" s="21" t="n">
        <v>1.22572207394324</v>
      </c>
      <c r="AL42" s="21" t="n">
        <v>1.54753393417878</v>
      </c>
      <c r="AM42" s="21" t="n">
        <v>1.76804854991621</v>
      </c>
      <c r="AN42" s="21" t="n">
        <v>1.21917340014921</v>
      </c>
      <c r="AO42" s="21" t="n">
        <v>1.23287571822632</v>
      </c>
      <c r="AP42" s="21" t="n">
        <v>2.1471083637783</v>
      </c>
      <c r="AQ42" s="21" t="n">
        <v>1.17296038237002</v>
      </c>
      <c r="AR42" s="21" t="n">
        <v>1.43060461912418</v>
      </c>
      <c r="AS42" s="21" t="n">
        <v>1.22022989746633</v>
      </c>
      <c r="AT42" s="21" t="n">
        <v>6.21240693866326</v>
      </c>
      <c r="AU42" s="21" t="n">
        <v>1.91413995683508</v>
      </c>
      <c r="AV42" s="21" t="n">
        <v>1.28050066729579</v>
      </c>
      <c r="AW42" s="21" t="n">
        <v>1.15463179613025</v>
      </c>
      <c r="AX42" s="21" t="n">
        <v>1.31646842420201</v>
      </c>
      <c r="AY42" s="21" t="n">
        <v>1.14681304872967</v>
      </c>
      <c r="AZ42" s="21" t="n">
        <v>1.15218339951559</v>
      </c>
      <c r="BA42" s="21" t="n">
        <v>1.17348569340348</v>
      </c>
      <c r="BB42" s="21" t="n">
        <v>1.72818301223645</v>
      </c>
      <c r="BC42" s="21" t="n">
        <v>1.64592560999089</v>
      </c>
      <c r="BD42" s="21" t="n">
        <v>1.28593463502404</v>
      </c>
      <c r="BE42" s="21" t="n">
        <v>1.70814621081098</v>
      </c>
      <c r="BF42" s="21" t="n">
        <v>1.18066375929297</v>
      </c>
      <c r="BG42" s="21" t="n">
        <v>1.49959702153782</v>
      </c>
      <c r="BH42" s="21" t="n">
        <v>1.27733766153748</v>
      </c>
      <c r="BI42" s="21" t="n">
        <v>1.28948709821729</v>
      </c>
      <c r="BJ42" s="21" t="n">
        <v>1.19715290557109</v>
      </c>
      <c r="BK42" s="21" t="n">
        <v>1.29696446369494</v>
      </c>
      <c r="BL42" s="21" t="n">
        <v>1.15188114851864</v>
      </c>
      <c r="BM42" s="21" t="n">
        <v>1.15209900292356</v>
      </c>
      <c r="BN42" s="21" t="n">
        <v>1.14325864682836</v>
      </c>
      <c r="BO42" s="21" t="n">
        <v>1.14613222082615</v>
      </c>
      <c r="BP42" s="21" t="n">
        <v>1.14273064858798</v>
      </c>
      <c r="BQ42" s="21" t="n">
        <v>1.4117307142609</v>
      </c>
      <c r="BR42" s="21" t="n">
        <v>1.19418041318631</v>
      </c>
      <c r="BS42" s="21" t="n">
        <v>1.15425652310342</v>
      </c>
      <c r="BT42" s="21" t="n">
        <v>1.14269736784875</v>
      </c>
      <c r="BU42" s="58" t="n">
        <f aca="false">AVERAGE(E42:BT42)</f>
        <v>1.4823167447579</v>
      </c>
    </row>
    <row r="43" customFormat="false" ht="11.25" hidden="false" customHeight="true" outlineLevel="0" collapsed="false">
      <c r="B43" s="24" t="s">
        <v>75</v>
      </c>
      <c r="C43" s="25" t="s">
        <v>76</v>
      </c>
      <c r="D43" s="24" t="n">
        <v>6</v>
      </c>
      <c r="E43" s="26" t="n">
        <v>1.80367721527842</v>
      </c>
      <c r="F43" s="26" t="n">
        <v>1.31154928933964</v>
      </c>
      <c r="G43" s="26" t="n">
        <v>1.24912530322521</v>
      </c>
      <c r="H43" s="26" t="n">
        <v>1.09611716062091</v>
      </c>
      <c r="I43" s="26" t="n">
        <v>1.42255660298794</v>
      </c>
      <c r="J43" s="26" t="n">
        <v>1.10602042551656</v>
      </c>
      <c r="K43" s="26" t="n">
        <v>1.21302246732163</v>
      </c>
      <c r="L43" s="26" t="n">
        <v>1.2600635306569</v>
      </c>
      <c r="M43" s="26" t="n">
        <v>1.14142694817437</v>
      </c>
      <c r="N43" s="26" t="n">
        <v>1.33435557385898</v>
      </c>
      <c r="O43" s="26" t="n">
        <v>1.28919629801194</v>
      </c>
      <c r="P43" s="26" t="n">
        <v>1.20921876238964</v>
      </c>
      <c r="Q43" s="26" t="n">
        <v>1.64682539287707</v>
      </c>
      <c r="R43" s="26" t="n">
        <v>1.11938212624134</v>
      </c>
      <c r="S43" s="26" t="n">
        <v>1.33849529816918</v>
      </c>
      <c r="T43" s="26" t="n">
        <v>1.38154850801631</v>
      </c>
      <c r="U43" s="26" t="n">
        <v>1.58834155699437</v>
      </c>
      <c r="V43" s="26" t="n">
        <v>1.21930519389456</v>
      </c>
      <c r="W43" s="26" t="n">
        <v>2.37943351880566</v>
      </c>
      <c r="X43" s="26" t="n">
        <v>1.07376603633852</v>
      </c>
      <c r="Y43" s="26" t="n">
        <v>1.88136520159333</v>
      </c>
      <c r="Z43" s="26" t="n">
        <v>1.32779299883375</v>
      </c>
      <c r="AA43" s="26" t="n">
        <v>1.10005978178153</v>
      </c>
      <c r="AB43" s="26" t="n">
        <v>1.16000624218591</v>
      </c>
      <c r="AC43" s="26" t="n">
        <v>1.41823557546268</v>
      </c>
      <c r="AD43" s="26" t="n">
        <v>1.31472348968434</v>
      </c>
      <c r="AE43" s="26" t="n">
        <v>1.5752979188825</v>
      </c>
      <c r="AF43" s="26" t="n">
        <v>1.4225593922062</v>
      </c>
      <c r="AG43" s="26" t="n">
        <v>1.25955914643119</v>
      </c>
      <c r="AH43" s="26" t="n">
        <v>1.48558544061802</v>
      </c>
      <c r="AI43" s="26" t="n">
        <v>1.28992812865597</v>
      </c>
      <c r="AJ43" s="26" t="n">
        <v>1.42351571719095</v>
      </c>
      <c r="AK43" s="26" t="n">
        <v>1.12579545367122</v>
      </c>
      <c r="AL43" s="26" t="n">
        <v>1.42137906506719</v>
      </c>
      <c r="AM43" s="26" t="n">
        <v>1.6239080214821</v>
      </c>
      <c r="AN43" s="26" t="n">
        <v>1.1197794002374</v>
      </c>
      <c r="AO43" s="26" t="n">
        <v>1.13236243193482</v>
      </c>
      <c r="AP43" s="26" t="n">
        <v>1.97211550990903</v>
      </c>
      <c r="AQ43" s="26" t="n">
        <v>1.07733604826496</v>
      </c>
      <c r="AR43" s="26" t="n">
        <v>1.31397173423933</v>
      </c>
      <c r="AS43" s="26" t="n">
        <v>1.12079714912143</v>
      </c>
      <c r="AT43" s="26" t="n">
        <v>5.70600906785438</v>
      </c>
      <c r="AU43" s="26" t="n">
        <v>1.75813163360252</v>
      </c>
      <c r="AV43" s="26" t="n">
        <v>1.17605589955776</v>
      </c>
      <c r="AW43" s="26" t="n">
        <v>1.06048462701679</v>
      </c>
      <c r="AX43" s="26" t="n">
        <v>1.20914646219816</v>
      </c>
      <c r="AY43" s="26" t="n">
        <v>1.05331805640316</v>
      </c>
      <c r="AZ43" s="26" t="n">
        <v>1.0582484402057</v>
      </c>
      <c r="BA43" s="26" t="n">
        <v>1.07781631510157</v>
      </c>
      <c r="BB43" s="26" t="n">
        <v>1.58728804494095</v>
      </c>
      <c r="BC43" s="26" t="n">
        <v>1.51173063192337</v>
      </c>
      <c r="BD43" s="26" t="n">
        <v>1.18110178765454</v>
      </c>
      <c r="BE43" s="26" t="n">
        <v>1.5688966671602</v>
      </c>
      <c r="BF43" s="26" t="n">
        <v>1.08440654066707</v>
      </c>
      <c r="BG43" s="26" t="n">
        <v>1.37725490713605</v>
      </c>
      <c r="BH43" s="26" t="n">
        <v>1.17317657148285</v>
      </c>
      <c r="BI43" s="26" t="n">
        <v>1.18435387048985</v>
      </c>
      <c r="BJ43" s="26" t="n">
        <v>1.09951848347201</v>
      </c>
      <c r="BK43" s="26" t="n">
        <v>1.19122996433971</v>
      </c>
      <c r="BL43" s="26" t="n">
        <v>1.05797390276903</v>
      </c>
      <c r="BM43" s="26" t="n">
        <v>1.05817130587362</v>
      </c>
      <c r="BN43" s="26" t="n">
        <v>1.05005415828707</v>
      </c>
      <c r="BO43" s="26" t="n">
        <v>1.05269455820311</v>
      </c>
      <c r="BP43" s="26" t="n">
        <v>1.04956904087827</v>
      </c>
      <c r="BQ43" s="26" t="n">
        <v>1.29663867941528</v>
      </c>
      <c r="BR43" s="26" t="n">
        <v>1.09682400937857</v>
      </c>
      <c r="BS43" s="26" t="n">
        <v>1.06015508813947</v>
      </c>
      <c r="BT43" s="26" t="n">
        <v>1.04953844403606</v>
      </c>
      <c r="BU43" s="58" t="n">
        <f aca="false">AVERAGE(E43:BT43)</f>
        <v>1.36146012079941</v>
      </c>
    </row>
    <row r="44" customFormat="false" ht="11.25" hidden="false" customHeight="true" outlineLevel="0" collapsed="false">
      <c r="B44" s="19" t="s">
        <v>77</v>
      </c>
      <c r="C44" s="20" t="s">
        <v>78</v>
      </c>
      <c r="D44" s="19" t="n">
        <v>7</v>
      </c>
      <c r="E44" s="21" t="n">
        <v>2.05402733969434</v>
      </c>
      <c r="F44" s="21" t="n">
        <v>1.49358342477533</v>
      </c>
      <c r="G44" s="21" t="n">
        <v>1.42249530196752</v>
      </c>
      <c r="H44" s="21" t="n">
        <v>1.24825292657778</v>
      </c>
      <c r="I44" s="21" t="n">
        <v>1.62008097451116</v>
      </c>
      <c r="J44" s="21" t="n">
        <v>1.2569877194806</v>
      </c>
      <c r="K44" s="21" t="n">
        <v>1.38431147549742</v>
      </c>
      <c r="L44" s="21" t="n">
        <v>1.43495137269976</v>
      </c>
      <c r="M44" s="21" t="n">
        <v>1.29985341104577</v>
      </c>
      <c r="N44" s="21" t="n">
        <v>1.51955975996501</v>
      </c>
      <c r="O44" s="21" t="n">
        <v>1.46812766477318</v>
      </c>
      <c r="P44" s="21" t="n">
        <v>1.37704900786001</v>
      </c>
      <c r="Q44" s="21" t="n">
        <v>1.87539429131285</v>
      </c>
      <c r="R44" s="21" t="n">
        <v>1.27474428916535</v>
      </c>
      <c r="S44" s="21" t="n">
        <v>1.52426839056609</v>
      </c>
      <c r="T44" s="21" t="n">
        <v>1.57329878514824</v>
      </c>
      <c r="U44" s="21" t="n">
        <v>1.80879995956186</v>
      </c>
      <c r="V44" s="21" t="n">
        <v>1.38853878606197</v>
      </c>
      <c r="W44" s="21" t="n">
        <v>2.71014442538643</v>
      </c>
      <c r="X44" s="21" t="n">
        <v>1.22280220462201</v>
      </c>
      <c r="Y44" s="21" t="n">
        <v>2.14253365341777</v>
      </c>
      <c r="Z44" s="21" t="n">
        <v>1.51210651178768</v>
      </c>
      <c r="AA44" s="21" t="n">
        <v>1.2527415275053</v>
      </c>
      <c r="AB44" s="21" t="n">
        <v>1.32100678422331</v>
      </c>
      <c r="AC44" s="21" t="n">
        <v>1.61508291884409</v>
      </c>
      <c r="AD44" s="21" t="n">
        <v>1.49720368022535</v>
      </c>
      <c r="AE44" s="21" t="n">
        <v>1.79399393892508</v>
      </c>
      <c r="AF44" s="21" t="n">
        <v>1.62003327239291</v>
      </c>
      <c r="AG44" s="21" t="n">
        <v>1.43441234933824</v>
      </c>
      <c r="AH44" s="21" t="n">
        <v>1.69177834044874</v>
      </c>
      <c r="AI44" s="21" t="n">
        <v>1.46897146625816</v>
      </c>
      <c r="AJ44" s="21" t="n">
        <v>1.62117200765328</v>
      </c>
      <c r="AK44" s="21" t="n">
        <v>1.28204728398925</v>
      </c>
      <c r="AL44" s="21" t="n">
        <v>1.61866190431578</v>
      </c>
      <c r="AM44" s="21" t="n">
        <v>1.84929770999959</v>
      </c>
      <c r="AN44" s="21" t="n">
        <v>1.27519757003515</v>
      </c>
      <c r="AO44" s="21" t="n">
        <v>1.28961233085678</v>
      </c>
      <c r="AP44" s="21" t="n">
        <v>2.24593454752165</v>
      </c>
      <c r="AQ44" s="21" t="n">
        <v>1.22687014470767</v>
      </c>
      <c r="AR44" s="21" t="n">
        <v>1.49636303933814</v>
      </c>
      <c r="AS44" s="21" t="n">
        <v>1.27634129172163</v>
      </c>
      <c r="AT44" s="21" t="n">
        <v>6.49895790102039</v>
      </c>
      <c r="AU44" s="21" t="n">
        <v>2.00223557169862</v>
      </c>
      <c r="AV44" s="21" t="n">
        <v>1.33928711176904</v>
      </c>
      <c r="AW44" s="21" t="n">
        <v>1.2076781303608</v>
      </c>
      <c r="AX44" s="21" t="n">
        <v>1.37701034649657</v>
      </c>
      <c r="AY44" s="21" t="n">
        <v>1.19951208536018</v>
      </c>
      <c r="AZ44" s="21" t="n">
        <v>1.20512780664095</v>
      </c>
      <c r="BA44" s="21" t="n">
        <v>1.22740987912306</v>
      </c>
      <c r="BB44" s="21" t="n">
        <v>1.80759647242092</v>
      </c>
      <c r="BC44" s="21" t="n">
        <v>1.72156174293031</v>
      </c>
      <c r="BD44" s="21" t="n">
        <v>1.34503361639081</v>
      </c>
      <c r="BE44" s="21" t="n">
        <v>1.78671089525304</v>
      </c>
      <c r="BF44" s="21" t="n">
        <v>1.23492444986138</v>
      </c>
      <c r="BG44" s="21" t="n">
        <v>1.56844896666029</v>
      </c>
      <c r="BH44" s="21" t="n">
        <v>1.33602604859537</v>
      </c>
      <c r="BI44" s="21" t="n">
        <v>1.3487417566612</v>
      </c>
      <c r="BJ44" s="21" t="n">
        <v>1.2521337593788</v>
      </c>
      <c r="BK44" s="21" t="n">
        <v>1.3565916573235</v>
      </c>
      <c r="BL44" s="21" t="n">
        <v>1.20481647542317</v>
      </c>
      <c r="BM44" s="21" t="n">
        <v>1.20504195997802</v>
      </c>
      <c r="BN44" s="21" t="n">
        <v>1.19579336134696</v>
      </c>
      <c r="BO44" s="21" t="n">
        <v>1.19880184214877</v>
      </c>
      <c r="BP44" s="21" t="n">
        <v>1.19524107077819</v>
      </c>
      <c r="BQ44" s="21" t="n">
        <v>1.47660225597754</v>
      </c>
      <c r="BR44" s="21" t="n">
        <v>1.24905515089569</v>
      </c>
      <c r="BS44" s="21" t="n">
        <v>1.20730114060605</v>
      </c>
      <c r="BT44" s="21" t="n">
        <v>1.19520626110222</v>
      </c>
      <c r="BU44" s="58" t="n">
        <f aca="false">AVERAGE(E44:BT44)</f>
        <v>1.55046296324088</v>
      </c>
    </row>
    <row r="45" customFormat="false" ht="11.25" hidden="false" customHeight="true" outlineLevel="0" collapsed="false">
      <c r="B45" s="24" t="s">
        <v>79</v>
      </c>
      <c r="C45" s="25" t="s">
        <v>80</v>
      </c>
      <c r="D45" s="24" t="n">
        <v>8</v>
      </c>
      <c r="E45" s="26" t="n">
        <v>2.97988320801263</v>
      </c>
      <c r="F45" s="26" t="n">
        <v>2.16816586672068</v>
      </c>
      <c r="G45" s="26" t="n">
        <v>2.063427219347</v>
      </c>
      <c r="H45" s="26" t="n">
        <v>1.81063116340809</v>
      </c>
      <c r="I45" s="26" t="n">
        <v>2.34989055132048</v>
      </c>
      <c r="J45" s="26" t="n">
        <v>1.82328003697028</v>
      </c>
      <c r="K45" s="26" t="n">
        <v>2.00373216946964</v>
      </c>
      <c r="L45" s="26" t="n">
        <v>2.08598469486717</v>
      </c>
      <c r="M45" s="26" t="n">
        <v>1.88548856531811</v>
      </c>
      <c r="N45" s="26" t="n">
        <v>2.20461298692421</v>
      </c>
      <c r="O45" s="26" t="n">
        <v>2.12956973277015</v>
      </c>
      <c r="P45" s="26" t="n">
        <v>1.99744860577371</v>
      </c>
      <c r="Q45" s="26" t="n">
        <v>2.7203151208718</v>
      </c>
      <c r="R45" s="26" t="n">
        <v>1.8490536719391</v>
      </c>
      <c r="S45" s="26" t="n">
        <v>2.21099545091302</v>
      </c>
      <c r="T45" s="26" t="n">
        <v>2.28212535805565</v>
      </c>
      <c r="U45" s="26" t="n">
        <v>2.62381540360831</v>
      </c>
      <c r="V45" s="26" t="n">
        <v>2.0141327512845</v>
      </c>
      <c r="W45" s="26" t="n">
        <v>3.93070735144674</v>
      </c>
      <c r="X45" s="26" t="n">
        <v>1.77370933824744</v>
      </c>
      <c r="Y45" s="26" t="n">
        <v>3.10790544615831</v>
      </c>
      <c r="Z45" s="26" t="n">
        <v>2.19337394988243</v>
      </c>
      <c r="AA45" s="26" t="n">
        <v>1.81714312633948</v>
      </c>
      <c r="AB45" s="26" t="n">
        <v>1.91618829296578</v>
      </c>
      <c r="AC45" s="26" t="n">
        <v>2.34277396528556</v>
      </c>
      <c r="AD45" s="26" t="n">
        <v>2.17176057897634</v>
      </c>
      <c r="AE45" s="26" t="n">
        <v>2.602161183681</v>
      </c>
      <c r="AF45" s="26" t="n">
        <v>2.3498625552762</v>
      </c>
      <c r="AG45" s="26" t="n">
        <v>2.08061765018813</v>
      </c>
      <c r="AH45" s="26" t="n">
        <v>2.45397176450331</v>
      </c>
      <c r="AI45" s="26" t="n">
        <v>2.1307705169357</v>
      </c>
      <c r="AJ45" s="26" t="n">
        <v>2.3512629870519</v>
      </c>
      <c r="AK45" s="26" t="n">
        <v>1.85964482586675</v>
      </c>
      <c r="AL45" s="26" t="n">
        <v>2.34790466440893</v>
      </c>
      <c r="AM45" s="26" t="n">
        <v>2.68245261119234</v>
      </c>
      <c r="AN45" s="26" t="n">
        <v>1.84970982459648</v>
      </c>
      <c r="AO45" s="26" t="n">
        <v>1.8704700271606</v>
      </c>
      <c r="AP45" s="26" t="n">
        <v>3.25783272235534</v>
      </c>
      <c r="AQ45" s="26" t="n">
        <v>1.77960581163626</v>
      </c>
      <c r="AR45" s="26" t="n">
        <v>2.17041992560682</v>
      </c>
      <c r="AS45" s="26" t="n">
        <v>1.8513308077741</v>
      </c>
      <c r="AT45" s="26" t="n">
        <v>9.43520322947332</v>
      </c>
      <c r="AU45" s="26" t="n">
        <v>2.90450905183833</v>
      </c>
      <c r="AV45" s="26" t="n">
        <v>1.94268766810498</v>
      </c>
      <c r="AW45" s="26" t="n">
        <v>1.75177238419758</v>
      </c>
      <c r="AX45" s="26" t="n">
        <v>1.99731958824587</v>
      </c>
      <c r="AY45" s="26" t="n">
        <v>1.73992994064868</v>
      </c>
      <c r="AZ45" s="26" t="n">
        <v>1.74807444126256</v>
      </c>
      <c r="BA45" s="26" t="n">
        <v>1.78039687725368</v>
      </c>
      <c r="BB45" s="26" t="n">
        <v>2.62200942258272</v>
      </c>
      <c r="BC45" s="26" t="n">
        <v>2.49720846728209</v>
      </c>
      <c r="BD45" s="26" t="n">
        <v>1.95102641124924</v>
      </c>
      <c r="BE45" s="26" t="n">
        <v>2.59175523505841</v>
      </c>
      <c r="BF45" s="26" t="n">
        <v>1.79133986301059</v>
      </c>
      <c r="BG45" s="26" t="n">
        <v>2.27513767738326</v>
      </c>
      <c r="BH45" s="26" t="n">
        <v>1.93792502631243</v>
      </c>
      <c r="BI45" s="26" t="n">
        <v>1.95645995578445</v>
      </c>
      <c r="BJ45" s="26" t="n">
        <v>1.81623063315201</v>
      </c>
      <c r="BK45" s="26" t="n">
        <v>1.96779991576792</v>
      </c>
      <c r="BL45" s="26" t="n">
        <v>1.74762787126811</v>
      </c>
      <c r="BM45" s="26" t="n">
        <v>1.74795361170908</v>
      </c>
      <c r="BN45" s="26" t="n">
        <v>1.73453209019324</v>
      </c>
      <c r="BO45" s="26" t="n">
        <v>1.73889353494389</v>
      </c>
      <c r="BP45" s="26" t="n">
        <v>1.73373075065092</v>
      </c>
      <c r="BQ45" s="26" t="n">
        <v>2.14185375476871</v>
      </c>
      <c r="BR45" s="26" t="n">
        <v>1.81179279503176</v>
      </c>
      <c r="BS45" s="26" t="n">
        <v>1.75122166816474</v>
      </c>
      <c r="BT45" s="26" t="n">
        <v>1.73368025435947</v>
      </c>
      <c r="BU45" s="58" t="n">
        <f aca="false">AVERAGE(E45:BT45)</f>
        <v>2.24915006771777</v>
      </c>
    </row>
    <row r="46" customFormat="false" ht="11.25" hidden="false" customHeight="true" outlineLevel="0" collapsed="false">
      <c r="B46" s="19" t="s">
        <v>81</v>
      </c>
      <c r="C46" s="20" t="s">
        <v>82</v>
      </c>
      <c r="D46" s="19" t="n">
        <v>9</v>
      </c>
      <c r="E46" s="21" t="n">
        <v>2.40995771356899</v>
      </c>
      <c r="F46" s="21" t="n">
        <v>1.75069577956731</v>
      </c>
      <c r="G46" s="21" t="n">
        <v>1.66736391852579</v>
      </c>
      <c r="H46" s="21" t="n">
        <v>1.46312501418911</v>
      </c>
      <c r="I46" s="21" t="n">
        <v>1.89889075639576</v>
      </c>
      <c r="J46" s="21" t="n">
        <v>1.47334389000317</v>
      </c>
      <c r="K46" s="21" t="n">
        <v>1.61916359107793</v>
      </c>
      <c r="L46" s="21" t="n">
        <v>1.68195828910012</v>
      </c>
      <c r="M46" s="21" t="n">
        <v>1.52676998406356</v>
      </c>
      <c r="N46" s="21" t="n">
        <v>1.78114585165045</v>
      </c>
      <c r="O46" s="21" t="n">
        <v>1.72084292452962</v>
      </c>
      <c r="P46" s="21" t="n">
        <v>1.61408712441645</v>
      </c>
      <c r="Q46" s="21" t="n">
        <v>2.19822808934995</v>
      </c>
      <c r="R46" s="21" t="n">
        <v>1.49417212784866</v>
      </c>
      <c r="S46" s="21" t="n">
        <v>1.7866479228682</v>
      </c>
      <c r="T46" s="21" t="n">
        <v>1.84412007874535</v>
      </c>
      <c r="U46" s="21" t="n">
        <v>2.12015546363049</v>
      </c>
      <c r="V46" s="21" t="n">
        <v>1.62755598164799</v>
      </c>
      <c r="W46" s="21" t="n">
        <v>3.17635175373639</v>
      </c>
      <c r="X46" s="21" t="n">
        <v>1.43330440730517</v>
      </c>
      <c r="Y46" s="21" t="n">
        <v>2.51161221185497</v>
      </c>
      <c r="Z46" s="21" t="n">
        <v>1.77244268873467</v>
      </c>
      <c r="AA46" s="21" t="n">
        <v>1.46838286819629</v>
      </c>
      <c r="AB46" s="21" t="n">
        <v>1.54840124735003</v>
      </c>
      <c r="AC46" s="21" t="n">
        <v>1.8930852564033</v>
      </c>
      <c r="AD46" s="21" t="n">
        <v>1.75494232491113</v>
      </c>
      <c r="AE46" s="21" t="n">
        <v>2.10271354979294</v>
      </c>
      <c r="AF46" s="21" t="n">
        <v>1.89885586784348</v>
      </c>
      <c r="AG46" s="21" t="n">
        <v>1.6812575135645</v>
      </c>
      <c r="AH46" s="21" t="n">
        <v>1.98298694256549</v>
      </c>
      <c r="AI46" s="21" t="n">
        <v>1.72181661267338</v>
      </c>
      <c r="AJ46" s="21" t="n">
        <v>1.8999914280605</v>
      </c>
      <c r="AK46" s="21" t="n">
        <v>1.50273434348225</v>
      </c>
      <c r="AL46" s="21" t="n">
        <v>1.89727720167118</v>
      </c>
      <c r="AM46" s="21" t="n">
        <v>2.1676211744773</v>
      </c>
      <c r="AN46" s="21" t="n">
        <v>1.49470150221417</v>
      </c>
      <c r="AO46" s="21" t="n">
        <v>1.51148864062021</v>
      </c>
      <c r="AP46" s="21" t="n">
        <v>2.63246253454038</v>
      </c>
      <c r="AQ46" s="21" t="n">
        <v>1.4380491044605</v>
      </c>
      <c r="AR46" s="21" t="n">
        <v>1.7538556974161</v>
      </c>
      <c r="AS46" s="21" t="n">
        <v>1.4960025557737</v>
      </c>
      <c r="AT46" s="21" t="n">
        <v>7.61833896308057</v>
      </c>
      <c r="AU46" s="21" t="n">
        <v>2.34697034035851</v>
      </c>
      <c r="AV46" s="21" t="n">
        <v>1.56982693136427</v>
      </c>
      <c r="AW46" s="21" t="n">
        <v>1.41555651242941</v>
      </c>
      <c r="AX46" s="21" t="n">
        <v>1.61402274239367</v>
      </c>
      <c r="AY46" s="21" t="n">
        <v>1.40598873630969</v>
      </c>
      <c r="AZ46" s="21" t="n">
        <v>1.41257082968088</v>
      </c>
      <c r="BA46" s="21" t="n">
        <v>1.43869037595878</v>
      </c>
      <c r="BB46" s="21" t="n">
        <v>2.11875181775362</v>
      </c>
      <c r="BC46" s="21" t="n">
        <v>2.01791166838337</v>
      </c>
      <c r="BD46" s="21" t="n">
        <v>1.57655636634565</v>
      </c>
      <c r="BE46" s="21" t="n">
        <v>2.09428738262733</v>
      </c>
      <c r="BF46" s="21" t="n">
        <v>1.44750369799407</v>
      </c>
      <c r="BG46" s="21" t="n">
        <v>1.83842639995286</v>
      </c>
      <c r="BH46" s="21" t="n">
        <v>1.56599231489264</v>
      </c>
      <c r="BI46" s="21" t="n">
        <v>1.58091610505566</v>
      </c>
      <c r="BJ46" s="21" t="n">
        <v>1.46765262851974</v>
      </c>
      <c r="BK46" s="21" t="n">
        <v>1.59010638605754</v>
      </c>
      <c r="BL46" s="21" t="n">
        <v>1.41221056713276</v>
      </c>
      <c r="BM46" s="21" t="n">
        <v>1.41247071759206</v>
      </c>
      <c r="BN46" s="21" t="n">
        <v>1.40163090626528</v>
      </c>
      <c r="BO46" s="21" t="n">
        <v>1.40515364289669</v>
      </c>
      <c r="BP46" s="21" t="n">
        <v>1.40098367737532</v>
      </c>
      <c r="BQ46" s="21" t="n">
        <v>1.73077701054503</v>
      </c>
      <c r="BR46" s="21" t="n">
        <v>1.46406139998102</v>
      </c>
      <c r="BS46" s="21" t="n">
        <v>1.41511478095324</v>
      </c>
      <c r="BT46" s="21" t="n">
        <v>1.40094288027542</v>
      </c>
      <c r="BU46" s="58" t="n">
        <f aca="false">AVERAGE(E46:BT46)</f>
        <v>1.81738202516179</v>
      </c>
    </row>
    <row r="47" customFormat="false" ht="11.25" hidden="false" customHeight="true" outlineLevel="0" collapsed="false">
      <c r="B47" s="24" t="s">
        <v>83</v>
      </c>
      <c r="C47" s="25" t="s">
        <v>84</v>
      </c>
      <c r="D47" s="24" t="n">
        <v>10</v>
      </c>
      <c r="E47" s="26" t="n">
        <v>2.68132033176129</v>
      </c>
      <c r="F47" s="26" t="n">
        <v>1.94866353635357</v>
      </c>
      <c r="G47" s="26" t="n">
        <v>1.85585404167993</v>
      </c>
      <c r="H47" s="26" t="n">
        <v>1.6285191381669</v>
      </c>
      <c r="I47" s="26" t="n">
        <v>2.11354680848498</v>
      </c>
      <c r="J47" s="26" t="n">
        <v>1.63989230156659</v>
      </c>
      <c r="K47" s="26" t="n">
        <v>1.80219563252587</v>
      </c>
      <c r="L47" s="26" t="n">
        <v>1.87212035138972</v>
      </c>
      <c r="M47" s="26" t="n">
        <v>1.69591031236363</v>
      </c>
      <c r="N47" s="26" t="n">
        <v>1.98687985835926</v>
      </c>
      <c r="O47" s="26" t="n">
        <v>1.91536933574491</v>
      </c>
      <c r="P47" s="26" t="n">
        <v>1.7965438192273</v>
      </c>
      <c r="Q47" s="26" t="n">
        <v>2.44671013581515</v>
      </c>
      <c r="R47" s="26" t="n">
        <v>1.66307426620437</v>
      </c>
      <c r="S47" s="26" t="n">
        <v>1.98861186445735</v>
      </c>
      <c r="T47" s="26" t="n">
        <v>2.05258922025197</v>
      </c>
      <c r="U47" s="26" t="n">
        <v>2.3599095106389</v>
      </c>
      <c r="V47" s="26" t="n">
        <v>1.81154618336267</v>
      </c>
      <c r="W47" s="26" t="n">
        <v>3.53536548015852</v>
      </c>
      <c r="X47" s="26" t="n">
        <v>1.59531901482784</v>
      </c>
      <c r="Y47" s="26" t="n">
        <v>2.79543730437469</v>
      </c>
      <c r="Z47" s="26" t="n">
        <v>1.97282019393697</v>
      </c>
      <c r="AA47" s="26" t="n">
        <v>1.63437353791403</v>
      </c>
      <c r="AB47" s="26" t="n">
        <v>1.72343577172103</v>
      </c>
      <c r="AC47" s="26" t="n">
        <v>2.10719921639896</v>
      </c>
      <c r="AD47" s="26" t="n">
        <v>1.95332879015489</v>
      </c>
      <c r="AE47" s="26" t="n">
        <v>2.34042179926066</v>
      </c>
      <c r="AF47" s="26" t="n">
        <v>2.11351380907957</v>
      </c>
      <c r="AG47" s="26" t="n">
        <v>1.87133730520398</v>
      </c>
      <c r="AH47" s="26" t="n">
        <v>2.20714763113907</v>
      </c>
      <c r="AI47" s="26" t="n">
        <v>1.91645453381948</v>
      </c>
      <c r="AJ47" s="26" t="n">
        <v>2.11476860692384</v>
      </c>
      <c r="AK47" s="26" t="n">
        <v>1.67260070147478</v>
      </c>
      <c r="AL47" s="26" t="n">
        <v>2.11175335372288</v>
      </c>
      <c r="AM47" s="26" t="n">
        <v>2.41264955678238</v>
      </c>
      <c r="AN47" s="26" t="n">
        <v>1.6636650264708</v>
      </c>
      <c r="AO47" s="26" t="n">
        <v>1.68233006625563</v>
      </c>
      <c r="AP47" s="26" t="n">
        <v>2.93013096577993</v>
      </c>
      <c r="AQ47" s="26" t="n">
        <v>1.6006127214559</v>
      </c>
      <c r="AR47" s="26" t="n">
        <v>1.95211547170154</v>
      </c>
      <c r="AS47" s="26" t="n">
        <v>1.66512156521205</v>
      </c>
      <c r="AT47" s="26" t="n">
        <v>8.48358286980618</v>
      </c>
      <c r="AU47" s="26" t="n">
        <v>2.61244407764101</v>
      </c>
      <c r="AV47" s="26" t="n">
        <v>1.747282777695</v>
      </c>
      <c r="AW47" s="26" t="n">
        <v>1.5755762148065</v>
      </c>
      <c r="AX47" s="26" t="n">
        <v>1.79642895378851</v>
      </c>
      <c r="AY47" s="26" t="n">
        <v>1.56492532131028</v>
      </c>
      <c r="AZ47" s="26" t="n">
        <v>1.57225209340236</v>
      </c>
      <c r="BA47" s="26" t="n">
        <v>1.60132294176383</v>
      </c>
      <c r="BB47" s="26" t="n">
        <v>2.35828478299429</v>
      </c>
      <c r="BC47" s="26" t="n">
        <v>2.24604522855891</v>
      </c>
      <c r="BD47" s="26" t="n">
        <v>1.75479089579556</v>
      </c>
      <c r="BE47" s="26" t="n">
        <v>2.33103386362112</v>
      </c>
      <c r="BF47" s="26" t="n">
        <v>1.61115088582437</v>
      </c>
      <c r="BG47" s="26" t="n">
        <v>2.04633467650484</v>
      </c>
      <c r="BH47" s="26" t="n">
        <v>1.74300589933829</v>
      </c>
      <c r="BI47" s="26" t="n">
        <v>1.75967586728168</v>
      </c>
      <c r="BJ47" s="26" t="n">
        <v>1.63355583101165</v>
      </c>
      <c r="BK47" s="26" t="n">
        <v>1.76986876593467</v>
      </c>
      <c r="BL47" s="26" t="n">
        <v>1.57184809657991</v>
      </c>
      <c r="BM47" s="26" t="n">
        <v>1.57214873354887</v>
      </c>
      <c r="BN47" s="26" t="n">
        <v>1.56007184569866</v>
      </c>
      <c r="BO47" s="26" t="n">
        <v>1.56399452379181</v>
      </c>
      <c r="BP47" s="26" t="n">
        <v>1.55935099674534</v>
      </c>
      <c r="BQ47" s="26" t="n">
        <v>1.92642448337187</v>
      </c>
      <c r="BR47" s="26" t="n">
        <v>1.62956130558285</v>
      </c>
      <c r="BS47" s="26" t="n">
        <v>1.57508122313615</v>
      </c>
      <c r="BT47" s="26" t="n">
        <v>1.55930556045446</v>
      </c>
      <c r="BU47" s="58" t="n">
        <f aca="false">AVERAGE(E47:BT47)</f>
        <v>2.02288982041342</v>
      </c>
    </row>
    <row r="48" customFormat="false" ht="11.25" hidden="false" customHeight="true" outlineLevel="0" collapsed="false">
      <c r="B48" s="19" t="s">
        <v>85</v>
      </c>
      <c r="C48" s="20" t="s">
        <v>86</v>
      </c>
      <c r="D48" s="19" t="n">
        <v>11</v>
      </c>
      <c r="E48" s="21" t="n">
        <v>2.1860931255791</v>
      </c>
      <c r="F48" s="21" t="n">
        <v>1.58947029910537</v>
      </c>
      <c r="G48" s="21" t="n">
        <v>1.51381633084731</v>
      </c>
      <c r="H48" s="21" t="n">
        <v>1.32838629029988</v>
      </c>
      <c r="I48" s="21" t="n">
        <v>1.72398481521273</v>
      </c>
      <c r="J48" s="21" t="n">
        <v>1.33767018577192</v>
      </c>
      <c r="K48" s="21" t="n">
        <v>1.47005836886763</v>
      </c>
      <c r="L48" s="21" t="n">
        <v>1.52707134831277</v>
      </c>
      <c r="M48" s="21" t="n">
        <v>1.38334392104837</v>
      </c>
      <c r="N48" s="21" t="n">
        <v>1.61721585329537</v>
      </c>
      <c r="O48" s="21" t="n">
        <v>1.56581562715047</v>
      </c>
      <c r="P48" s="21" t="n">
        <v>1.4654484157937</v>
      </c>
      <c r="Q48" s="21" t="n">
        <v>1.99578580610149</v>
      </c>
      <c r="R48" s="21" t="n">
        <v>1.35657626859401</v>
      </c>
      <c r="S48" s="21" t="n">
        <v>1.62211860564804</v>
      </c>
      <c r="T48" s="21" t="n">
        <v>1.67430172043421</v>
      </c>
      <c r="U48" s="21" t="n">
        <v>1.9249359954429</v>
      </c>
      <c r="V48" s="21" t="n">
        <v>1.47769475836272</v>
      </c>
      <c r="W48" s="21" t="n">
        <v>2.88359738384901</v>
      </c>
      <c r="X48" s="21" t="n">
        <v>1.30130124516198</v>
      </c>
      <c r="Y48" s="21" t="n">
        <v>2.28008606829767</v>
      </c>
      <c r="Z48" s="21" t="n">
        <v>1.60916453656157</v>
      </c>
      <c r="AA48" s="21" t="n">
        <v>1.33316062165554</v>
      </c>
      <c r="AB48" s="21" t="n">
        <v>1.40580930770621</v>
      </c>
      <c r="AC48" s="21" t="n">
        <v>1.7188874113142</v>
      </c>
      <c r="AD48" s="21" t="n">
        <v>1.59338072231885</v>
      </c>
      <c r="AE48" s="21" t="n">
        <v>1.90912610724047</v>
      </c>
      <c r="AF48" s="21" t="n">
        <v>1.72399677755875</v>
      </c>
      <c r="AG48" s="21" t="n">
        <v>1.5265788885297</v>
      </c>
      <c r="AH48" s="21" t="n">
        <v>1.80037837561327</v>
      </c>
      <c r="AI48" s="21" t="n">
        <v>1.56325838756568</v>
      </c>
      <c r="AJ48" s="21" t="n">
        <v>1.72502884556123</v>
      </c>
      <c r="AK48" s="21" t="n">
        <v>1.36434723923034</v>
      </c>
      <c r="AL48" s="21" t="n">
        <v>1.72256277497942</v>
      </c>
      <c r="AM48" s="21" t="n">
        <v>1.96800825431228</v>
      </c>
      <c r="AN48" s="21" t="n">
        <v>1.35705922560438</v>
      </c>
      <c r="AO48" s="21" t="n">
        <v>1.37228767426186</v>
      </c>
      <c r="AP48" s="21" t="n">
        <v>2.39002818526757</v>
      </c>
      <c r="AQ48" s="21" t="n">
        <v>1.30563266887079</v>
      </c>
      <c r="AR48" s="21" t="n">
        <v>1.59234712816166</v>
      </c>
      <c r="AS48" s="21" t="n">
        <v>1.35823845575253</v>
      </c>
      <c r="AT48" s="21" t="n">
        <v>6.91629384734905</v>
      </c>
      <c r="AU48" s="21" t="n">
        <v>2.13082471214199</v>
      </c>
      <c r="AV48" s="21" t="n">
        <v>1.42525944717266</v>
      </c>
      <c r="AW48" s="21" t="n">
        <v>1.28520156211627</v>
      </c>
      <c r="AX48" s="21" t="n">
        <v>1.4653686837606</v>
      </c>
      <c r="AY48" s="21" t="n">
        <v>1.27651395900799</v>
      </c>
      <c r="AZ48" s="21" t="n">
        <v>1.28249016611436</v>
      </c>
      <c r="BA48" s="21" t="n">
        <v>1.30621054896094</v>
      </c>
      <c r="BB48" s="21" t="n">
        <v>1.92373482423052</v>
      </c>
      <c r="BC48" s="21" t="n">
        <v>1.83210929064983</v>
      </c>
      <c r="BD48" s="21" t="n">
        <v>1.43138165965524</v>
      </c>
      <c r="BE48" s="21" t="n">
        <v>1.90137152934709</v>
      </c>
      <c r="BF48" s="21" t="n">
        <v>1.31420108191444</v>
      </c>
      <c r="BG48" s="21" t="n">
        <v>1.66914230806643</v>
      </c>
      <c r="BH48" s="21" t="n">
        <v>1.4217692635353</v>
      </c>
      <c r="BI48" s="21" t="n">
        <v>1.43551258114267</v>
      </c>
      <c r="BJ48" s="21" t="n">
        <v>1.33249619009928</v>
      </c>
      <c r="BK48" s="21" t="n">
        <v>1.44369646089132</v>
      </c>
      <c r="BL48" s="21" t="n">
        <v>1.2821607264197</v>
      </c>
      <c r="BM48" s="21" t="n">
        <v>1.28241409957179</v>
      </c>
      <c r="BN48" s="21" t="n">
        <v>1.27255719955529</v>
      </c>
      <c r="BO48" s="21" t="n">
        <v>1.27575612927211</v>
      </c>
      <c r="BP48" s="21" t="n">
        <v>1.27196935182024</v>
      </c>
      <c r="BQ48" s="21" t="n">
        <v>1.57139246954848</v>
      </c>
      <c r="BR48" s="21" t="n">
        <v>1.32924534964829</v>
      </c>
      <c r="BS48" s="21" t="n">
        <v>1.28480013584105</v>
      </c>
      <c r="BT48" s="21" t="n">
        <v>1.2719322972895</v>
      </c>
      <c r="BU48" s="58" t="n">
        <f aca="false">AVERAGE(E48:BT48)</f>
        <v>1.64999793965243</v>
      </c>
    </row>
    <row r="49" customFormat="false" ht="11.25" hidden="false" customHeight="true" outlineLevel="0" collapsed="false">
      <c r="B49" s="24" t="s">
        <v>87</v>
      </c>
      <c r="C49" s="25" t="s">
        <v>88</v>
      </c>
      <c r="D49" s="24" t="n">
        <v>12</v>
      </c>
      <c r="E49" s="26" t="n">
        <v>2.34873454926468</v>
      </c>
      <c r="F49" s="26" t="n">
        <v>1.70700623644298</v>
      </c>
      <c r="G49" s="26" t="n">
        <v>1.6257291179284</v>
      </c>
      <c r="H49" s="26" t="n">
        <v>1.4265762239503</v>
      </c>
      <c r="I49" s="26" t="n">
        <v>1.85140734070332</v>
      </c>
      <c r="J49" s="26" t="n">
        <v>1.43654395509027</v>
      </c>
      <c r="K49" s="26" t="n">
        <v>1.57872152606156</v>
      </c>
      <c r="L49" s="26" t="n">
        <v>1.63994890977438</v>
      </c>
      <c r="M49" s="26" t="n">
        <v>1.48554301773383</v>
      </c>
      <c r="N49" s="26" t="n">
        <v>1.73666129078377</v>
      </c>
      <c r="O49" s="26" t="n">
        <v>1.67786231034182</v>
      </c>
      <c r="P49" s="26" t="n">
        <v>1.57715604975847</v>
      </c>
      <c r="Q49" s="26" t="n">
        <v>2.14331217144946</v>
      </c>
      <c r="R49" s="26" t="n">
        <v>1.45685260382454</v>
      </c>
      <c r="S49" s="26" t="n">
        <v>1.74202347578689</v>
      </c>
      <c r="T49" s="26" t="n">
        <v>1.79806131494245</v>
      </c>
      <c r="U49" s="26" t="n">
        <v>2.06746095558627</v>
      </c>
      <c r="V49" s="26" t="n">
        <v>1.5869132419716</v>
      </c>
      <c r="W49" s="26" t="n">
        <v>3.09671628577294</v>
      </c>
      <c r="X49" s="26" t="n">
        <v>1.39748329507927</v>
      </c>
      <c r="Y49" s="26" t="n">
        <v>2.4487399959172</v>
      </c>
      <c r="Z49" s="26" t="n">
        <v>1.72814116030106</v>
      </c>
      <c r="AA49" s="26" t="n">
        <v>1.43170780377375</v>
      </c>
      <c r="AB49" s="26" t="n">
        <v>1.50972669278225</v>
      </c>
      <c r="AC49" s="26" t="n">
        <v>1.84579020935375</v>
      </c>
      <c r="AD49" s="26" t="n">
        <v>1.71109270339259</v>
      </c>
      <c r="AE49" s="26" t="n">
        <v>2.05019045762533</v>
      </c>
      <c r="AF49" s="26" t="n">
        <v>1.85142621791032</v>
      </c>
      <c r="AG49" s="26" t="n">
        <v>1.63926143099781</v>
      </c>
      <c r="AH49" s="26" t="n">
        <v>1.9334599534744</v>
      </c>
      <c r="AI49" s="26" t="n">
        <v>1.67880947497863</v>
      </c>
      <c r="AJ49" s="26" t="n">
        <v>1.85252988537453</v>
      </c>
      <c r="AK49" s="26" t="n">
        <v>1.46519725353113</v>
      </c>
      <c r="AL49" s="26" t="n">
        <v>1.84988074893802</v>
      </c>
      <c r="AM49" s="26" t="n">
        <v>2.11347933069257</v>
      </c>
      <c r="AN49" s="26" t="n">
        <v>1.45736851829444</v>
      </c>
      <c r="AO49" s="26" t="n">
        <v>1.4737117215667</v>
      </c>
      <c r="AP49" s="26" t="n">
        <v>2.56671423245294</v>
      </c>
      <c r="AQ49" s="26" t="n">
        <v>1.40212963839534</v>
      </c>
      <c r="AR49" s="26" t="n">
        <v>1.71004833187925</v>
      </c>
      <c r="AS49" s="26" t="n">
        <v>1.4586314503457</v>
      </c>
      <c r="AT49" s="26" t="n">
        <v>7.43029717374266</v>
      </c>
      <c r="AU49" s="26" t="n">
        <v>2.28815181943272</v>
      </c>
      <c r="AV49" s="26" t="n">
        <v>1.53061417851613</v>
      </c>
      <c r="AW49" s="26" t="n">
        <v>1.38020526555802</v>
      </c>
      <c r="AX49" s="26" t="n">
        <v>1.57362412430655</v>
      </c>
      <c r="AY49" s="26" t="n">
        <v>1.37087518734061</v>
      </c>
      <c r="AZ49" s="26" t="n">
        <v>1.37729091690411</v>
      </c>
      <c r="BA49" s="26" t="n">
        <v>1.40275939242619</v>
      </c>
      <c r="BB49" s="26" t="n">
        <v>2.06587016538068</v>
      </c>
      <c r="BC49" s="26" t="n">
        <v>1.96750758412927</v>
      </c>
      <c r="BD49" s="26" t="n">
        <v>1.53719160610031</v>
      </c>
      <c r="BE49" s="26" t="n">
        <v>2.04195824029518</v>
      </c>
      <c r="BF49" s="26" t="n">
        <v>1.41135941825252</v>
      </c>
      <c r="BG49" s="26" t="n">
        <v>1.79262918492387</v>
      </c>
      <c r="BH49" s="26" t="n">
        <v>1.52688186236419</v>
      </c>
      <c r="BI49" s="26" t="n">
        <v>1.54150203304255</v>
      </c>
      <c r="BJ49" s="26" t="n">
        <v>1.43098835806477</v>
      </c>
      <c r="BK49" s="26" t="n">
        <v>1.55040277978027</v>
      </c>
      <c r="BL49" s="26" t="n">
        <v>1.37695534722349</v>
      </c>
      <c r="BM49" s="26" t="n">
        <v>1.37720190961401</v>
      </c>
      <c r="BN49" s="26" t="n">
        <v>1.36662300620801</v>
      </c>
      <c r="BO49" s="26" t="n">
        <v>1.37005860081934</v>
      </c>
      <c r="BP49" s="26" t="n">
        <v>1.36599144807766</v>
      </c>
      <c r="BQ49" s="26" t="n">
        <v>1.68754768206214</v>
      </c>
      <c r="BR49" s="26" t="n">
        <v>1.4274965522933</v>
      </c>
      <c r="BS49" s="26" t="n">
        <v>1.37976954655911</v>
      </c>
      <c r="BT49" s="26" t="n">
        <v>1.36595164240137</v>
      </c>
      <c r="BU49" s="58" t="n">
        <f aca="false">AVERAGE(E49:BT49)</f>
        <v>1.77200670750065</v>
      </c>
    </row>
    <row r="50" customFormat="false" ht="11.25" hidden="false" customHeight="true" outlineLevel="0" collapsed="false">
      <c r="B50" s="19" t="s">
        <v>89</v>
      </c>
      <c r="C50" s="20" t="s">
        <v>90</v>
      </c>
      <c r="D50" s="19" t="n">
        <v>13</v>
      </c>
      <c r="E50" s="21" t="n">
        <v>2.91186670427987</v>
      </c>
      <c r="F50" s="21" t="n">
        <v>2.1169167973431</v>
      </c>
      <c r="G50" s="21" t="n">
        <v>2.01616221779009</v>
      </c>
      <c r="H50" s="21" t="n">
        <v>1.76919791471162</v>
      </c>
      <c r="I50" s="21" t="n">
        <v>2.2960985160896</v>
      </c>
      <c r="J50" s="21" t="n">
        <v>1.78155072630377</v>
      </c>
      <c r="K50" s="21" t="n">
        <v>1.95787444768619</v>
      </c>
      <c r="L50" s="21" t="n">
        <v>2.03380446345494</v>
      </c>
      <c r="M50" s="21" t="n">
        <v>1.84231923639255</v>
      </c>
      <c r="N50" s="21" t="n">
        <v>2.15374098921865</v>
      </c>
      <c r="O50" s="21" t="n">
        <v>2.0808245755895</v>
      </c>
      <c r="P50" s="21" t="n">
        <v>1.9517357462348</v>
      </c>
      <c r="Q50" s="21" t="n">
        <v>2.66455901924804</v>
      </c>
      <c r="R50" s="21" t="n">
        <v>1.80674487031174</v>
      </c>
      <c r="S50" s="21" t="n">
        <v>2.16039552573254</v>
      </c>
      <c r="T50" s="21" t="n">
        <v>2.22989313020224</v>
      </c>
      <c r="U50" s="21" t="n">
        <v>2.56376914039752</v>
      </c>
      <c r="V50" s="21" t="n">
        <v>1.96802944204474</v>
      </c>
      <c r="W50" s="21" t="n">
        <v>3.84055159166775</v>
      </c>
      <c r="X50" s="21" t="n">
        <v>1.73311039679788</v>
      </c>
      <c r="Y50" s="21" t="n">
        <v>3.03742262229098</v>
      </c>
      <c r="Z50" s="21" t="n">
        <v>2.14321126661106</v>
      </c>
      <c r="AA50" s="21" t="n">
        <v>1.77555524743624</v>
      </c>
      <c r="AB50" s="21" t="n">
        <v>1.87231120276274</v>
      </c>
      <c r="AC50" s="21" t="n">
        <v>2.28912021969774</v>
      </c>
      <c r="AD50" s="21" t="n">
        <v>2.12203247239783</v>
      </c>
      <c r="AE50" s="21" t="n">
        <v>2.54258015751607</v>
      </c>
      <c r="AF50" s="21" t="n">
        <v>2.29607798799414</v>
      </c>
      <c r="AG50" s="21" t="n">
        <v>2.0329613858435</v>
      </c>
      <c r="AH50" s="21" t="n">
        <v>2.39780743959108</v>
      </c>
      <c r="AI50" s="21" t="n">
        <v>2.08200886231142</v>
      </c>
      <c r="AJ50" s="21" t="n">
        <v>2.29744820484667</v>
      </c>
      <c r="AK50" s="21" t="n">
        <v>1.81708564954837</v>
      </c>
      <c r="AL50" s="21" t="n">
        <v>2.294161786621</v>
      </c>
      <c r="AM50" s="21" t="n">
        <v>2.62106221073252</v>
      </c>
      <c r="AN50" s="21" t="n">
        <v>1.80738045700288</v>
      </c>
      <c r="AO50" s="21" t="n">
        <v>1.82766572494848</v>
      </c>
      <c r="AP50" s="21" t="n">
        <v>3.18342248826239</v>
      </c>
      <c r="AQ50" s="21" t="n">
        <v>1.73887852997776</v>
      </c>
      <c r="AR50" s="21" t="n">
        <v>2.12074580472664</v>
      </c>
      <c r="AS50" s="21" t="n">
        <v>1.80894773846845</v>
      </c>
      <c r="AT50" s="21" t="n">
        <v>9.2155834018404</v>
      </c>
      <c r="AU50" s="21" t="n">
        <v>2.83780443853274</v>
      </c>
      <c r="AV50" s="21" t="n">
        <v>1.89821431992848</v>
      </c>
      <c r="AW50" s="21" t="n">
        <v>1.71167876974495</v>
      </c>
      <c r="AX50" s="21" t="n">
        <v>1.95156693368994</v>
      </c>
      <c r="AY50" s="21" t="n">
        <v>1.70010766365128</v>
      </c>
      <c r="AZ50" s="21" t="n">
        <v>1.70806677540105</v>
      </c>
      <c r="BA50" s="21" t="n">
        <v>1.73964920855158</v>
      </c>
      <c r="BB50" s="21" t="n">
        <v>2.56197746994473</v>
      </c>
      <c r="BC50" s="21" t="n">
        <v>2.44006000585747</v>
      </c>
      <c r="BD50" s="21" t="n">
        <v>1.90636293871322</v>
      </c>
      <c r="BE50" s="21" t="n">
        <v>2.53235741629354</v>
      </c>
      <c r="BF50" s="21" t="n">
        <v>1.7503338286061</v>
      </c>
      <c r="BG50" s="21" t="n">
        <v>2.2230023298246</v>
      </c>
      <c r="BH50" s="21" t="n">
        <v>1.89356794628675</v>
      </c>
      <c r="BI50" s="21" t="n">
        <v>1.91163696985593</v>
      </c>
      <c r="BJ50" s="21" t="n">
        <v>1.77465974321209</v>
      </c>
      <c r="BK50" s="21" t="n">
        <v>1.92274422894551</v>
      </c>
      <c r="BL50" s="21" t="n">
        <v>1.70762597908447</v>
      </c>
      <c r="BM50" s="21" t="n">
        <v>1.70794251914011</v>
      </c>
      <c r="BN50" s="21" t="n">
        <v>1.69483623028779</v>
      </c>
      <c r="BO50" s="21" t="n">
        <v>1.69909590098684</v>
      </c>
      <c r="BP50" s="21" t="n">
        <v>1.69405336441675</v>
      </c>
      <c r="BQ50" s="21" t="n">
        <v>2.09283608179382</v>
      </c>
      <c r="BR50" s="21" t="n">
        <v>1.77032687411052</v>
      </c>
      <c r="BS50" s="21" t="n">
        <v>1.7111427831062</v>
      </c>
      <c r="BT50" s="21" t="n">
        <v>1.69400401299817</v>
      </c>
      <c r="BU50" s="58" t="n">
        <f aca="false">AVERAGE(E50:BT50)</f>
        <v>2.1976216330278</v>
      </c>
    </row>
    <row r="51" customFormat="false" ht="11.25" hidden="false" customHeight="true" outlineLevel="0" collapsed="false">
      <c r="B51" s="24" t="s">
        <v>91</v>
      </c>
      <c r="C51" s="25" t="s">
        <v>92</v>
      </c>
      <c r="D51" s="24" t="n">
        <v>14</v>
      </c>
      <c r="E51" s="26" t="n">
        <v>2.1255151855079</v>
      </c>
      <c r="F51" s="26" t="n">
        <v>1.5454900197462</v>
      </c>
      <c r="G51" s="26" t="n">
        <v>1.47193114136482</v>
      </c>
      <c r="H51" s="26" t="n">
        <v>1.29162756462765</v>
      </c>
      <c r="I51" s="26" t="n">
        <v>1.67625716755179</v>
      </c>
      <c r="J51" s="26" t="n">
        <v>1.30065389695078</v>
      </c>
      <c r="K51" s="26" t="n">
        <v>1.42938227602178</v>
      </c>
      <c r="L51" s="26" t="n">
        <v>1.48481604632435</v>
      </c>
      <c r="M51" s="26" t="n">
        <v>1.34501622016477</v>
      </c>
      <c r="N51" s="26" t="n">
        <v>1.57236965913095</v>
      </c>
      <c r="O51" s="26" t="n">
        <v>1.51914429724593</v>
      </c>
      <c r="P51" s="26" t="n">
        <v>1.42490108654449</v>
      </c>
      <c r="Q51" s="26" t="n">
        <v>1.94156580034946</v>
      </c>
      <c r="R51" s="26" t="n">
        <v>1.32176812492887</v>
      </c>
      <c r="S51" s="26" t="n">
        <v>1.57723740139294</v>
      </c>
      <c r="T51" s="26" t="n">
        <v>1.6279757358049</v>
      </c>
      <c r="U51" s="26" t="n">
        <v>1.87170499372329</v>
      </c>
      <c r="V51" s="26" t="n">
        <v>1.43679479938224</v>
      </c>
      <c r="W51" s="26" t="n">
        <v>2.80369041497657</v>
      </c>
      <c r="X51" s="26" t="n">
        <v>1.26528671144975</v>
      </c>
      <c r="Y51" s="26" t="n">
        <v>2.21706847197809</v>
      </c>
      <c r="Z51" s="26" t="n">
        <v>1.56463731098564</v>
      </c>
      <c r="AA51" s="26" t="n">
        <v>1.29627487448492</v>
      </c>
      <c r="AB51" s="26" t="n">
        <v>1.36691444646743</v>
      </c>
      <c r="AC51" s="26" t="n">
        <v>1.67120091309222</v>
      </c>
      <c r="AD51" s="26" t="n">
        <v>1.54922340462863</v>
      </c>
      <c r="AE51" s="26" t="n">
        <v>1.85625270265174</v>
      </c>
      <c r="AF51" s="26" t="n">
        <v>1.67629133255513</v>
      </c>
      <c r="AG51" s="26" t="n">
        <v>1.48419576277329</v>
      </c>
      <c r="AH51" s="26" t="n">
        <v>1.75056338549125</v>
      </c>
      <c r="AI51" s="26" t="n">
        <v>1.52000285848907</v>
      </c>
      <c r="AJ51" s="26" t="n">
        <v>1.67729222799993</v>
      </c>
      <c r="AK51" s="26" t="n">
        <v>1.32659665019386</v>
      </c>
      <c r="AL51" s="26" t="n">
        <v>1.6748896396486</v>
      </c>
      <c r="AM51" s="26" t="n">
        <v>1.91355496124501</v>
      </c>
      <c r="AN51" s="26" t="n">
        <v>1.31954818899864</v>
      </c>
      <c r="AO51" s="26" t="n">
        <v>1.33432003133519</v>
      </c>
      <c r="AP51" s="26" t="n">
        <v>2.32390182462755</v>
      </c>
      <c r="AQ51" s="26" t="n">
        <v>1.26949505226455</v>
      </c>
      <c r="AR51" s="26" t="n">
        <v>1.5482849265915</v>
      </c>
      <c r="AS51" s="26" t="n">
        <v>1.32064854128614</v>
      </c>
      <c r="AT51" s="26" t="n">
        <v>6.72701293117783</v>
      </c>
      <c r="AU51" s="26" t="n">
        <v>2.07166317074173</v>
      </c>
      <c r="AV51" s="26" t="n">
        <v>1.38582406036184</v>
      </c>
      <c r="AW51" s="26" t="n">
        <v>1.24964048577849</v>
      </c>
      <c r="AX51" s="26" t="n">
        <v>1.42476098226094</v>
      </c>
      <c r="AY51" s="26" t="n">
        <v>1.2411938161773</v>
      </c>
      <c r="AZ51" s="26" t="n">
        <v>1.24700445483205</v>
      </c>
      <c r="BA51" s="26" t="n">
        <v>1.27006257405804</v>
      </c>
      <c r="BB51" s="26" t="n">
        <v>1.87042053596487</v>
      </c>
      <c r="BC51" s="26" t="n">
        <v>1.78142185650913</v>
      </c>
      <c r="BD51" s="26" t="n">
        <v>1.39177089125641</v>
      </c>
      <c r="BE51" s="26" t="n">
        <v>1.84874095877128</v>
      </c>
      <c r="BF51" s="26" t="n">
        <v>1.27785614613588</v>
      </c>
      <c r="BG51" s="26" t="n">
        <v>1.62290278797597</v>
      </c>
      <c r="BH51" s="26" t="n">
        <v>1.38242446971519</v>
      </c>
      <c r="BI51" s="26" t="n">
        <v>1.39562794587533</v>
      </c>
      <c r="BJ51" s="26" t="n">
        <v>1.29562003883616</v>
      </c>
      <c r="BK51" s="26" t="n">
        <v>1.40371856975472</v>
      </c>
      <c r="BL51" s="26" t="n">
        <v>1.24668079175457</v>
      </c>
      <c r="BM51" s="26" t="n">
        <v>1.24691231642522</v>
      </c>
      <c r="BN51" s="26" t="n">
        <v>1.23734655854677</v>
      </c>
      <c r="BO51" s="26" t="n">
        <v>1.24045556130718</v>
      </c>
      <c r="BP51" s="26" t="n">
        <v>1.23677527807401</v>
      </c>
      <c r="BQ51" s="26" t="n">
        <v>1.52791394896591</v>
      </c>
      <c r="BR51" s="26" t="n">
        <v>1.2924602254381</v>
      </c>
      <c r="BS51" s="26" t="n">
        <v>1.2492505077962</v>
      </c>
      <c r="BT51" s="26" t="n">
        <v>1.23673926550325</v>
      </c>
      <c r="BU51" s="58" t="n">
        <f aca="false">AVERAGE(E51:BT51)</f>
        <v>1.60436010560253</v>
      </c>
    </row>
    <row r="52" customFormat="false" ht="11.25" hidden="false" customHeight="true" outlineLevel="0" collapsed="false">
      <c r="B52" s="19" t="s">
        <v>93</v>
      </c>
      <c r="C52" s="20" t="s">
        <v>94</v>
      </c>
      <c r="D52" s="19" t="n">
        <v>15</v>
      </c>
      <c r="E52" s="21" t="n">
        <v>2.81476489743789</v>
      </c>
      <c r="F52" s="21" t="n">
        <v>2.04679169897876</v>
      </c>
      <c r="G52" s="21" t="n">
        <v>1.94928774896875</v>
      </c>
      <c r="H52" s="21" t="n">
        <v>1.71050954008049</v>
      </c>
      <c r="I52" s="21" t="n">
        <v>2.21990937229311</v>
      </c>
      <c r="J52" s="21" t="n">
        <v>1.72245970450589</v>
      </c>
      <c r="K52" s="21" t="n">
        <v>1.89293468992517</v>
      </c>
      <c r="L52" s="21" t="n">
        <v>1.96661438335307</v>
      </c>
      <c r="M52" s="21" t="n">
        <v>1.78121210066742</v>
      </c>
      <c r="N52" s="21" t="n">
        <v>2.08233740202784</v>
      </c>
      <c r="O52" s="21" t="n">
        <v>2.01180821882403</v>
      </c>
      <c r="P52" s="21" t="n">
        <v>1.88699981687298</v>
      </c>
      <c r="Q52" s="21" t="n">
        <v>2.57030599494606</v>
      </c>
      <c r="R52" s="21" t="n">
        <v>1.74681882999911</v>
      </c>
      <c r="S52" s="21" t="n">
        <v>2.09346206379173</v>
      </c>
      <c r="T52" s="21" t="n">
        <v>2.15593197812884</v>
      </c>
      <c r="U52" s="21" t="n">
        <v>2.47876089950583</v>
      </c>
      <c r="V52" s="21" t="n">
        <v>1.90276258355626</v>
      </c>
      <c r="W52" s="21" t="n">
        <v>3.71313077234875</v>
      </c>
      <c r="X52" s="21" t="n">
        <v>1.6756252508929</v>
      </c>
      <c r="Y52" s="21" t="n">
        <v>2.93625418773522</v>
      </c>
      <c r="Z52" s="21" t="n">
        <v>2.07209086056584</v>
      </c>
      <c r="AA52" s="21" t="n">
        <v>1.71666296518134</v>
      </c>
      <c r="AB52" s="21" t="n">
        <v>1.8102092617192</v>
      </c>
      <c r="AC52" s="21" t="n">
        <v>2.2132706356511</v>
      </c>
      <c r="AD52" s="21" t="n">
        <v>2.05164392238614</v>
      </c>
      <c r="AE52" s="21" t="n">
        <v>2.45824993016625</v>
      </c>
      <c r="AF52" s="21" t="n">
        <v>2.21991993615249</v>
      </c>
      <c r="AG52" s="21" t="n">
        <v>1.96553220392107</v>
      </c>
      <c r="AH52" s="21" t="n">
        <v>2.31827899919083</v>
      </c>
      <c r="AI52" s="21" t="n">
        <v>2.01294680755365</v>
      </c>
      <c r="AJ52" s="21" t="n">
        <v>2.2212462726107</v>
      </c>
      <c r="AK52" s="21" t="n">
        <v>1.75681557781593</v>
      </c>
      <c r="AL52" s="21" t="n">
        <v>2.21807176038958</v>
      </c>
      <c r="AM52" s="21" t="n">
        <v>2.53412617818262</v>
      </c>
      <c r="AN52" s="21" t="n">
        <v>1.74744942165562</v>
      </c>
      <c r="AO52" s="21" t="n">
        <v>1.76704040584896</v>
      </c>
      <c r="AP52" s="21" t="n">
        <v>3.07760883550219</v>
      </c>
      <c r="AQ52" s="21" t="n">
        <v>1.68120156888756</v>
      </c>
      <c r="AR52" s="21" t="n">
        <v>2.05040265843073</v>
      </c>
      <c r="AS52" s="21" t="n">
        <v>1.74895468758315</v>
      </c>
      <c r="AT52" s="21" t="n">
        <v>8.91328566685167</v>
      </c>
      <c r="AU52" s="21" t="n">
        <v>2.74374259544682</v>
      </c>
      <c r="AV52" s="21" t="n">
        <v>1.83525322412675</v>
      </c>
      <c r="AW52" s="21" t="n">
        <v>1.65490883006228</v>
      </c>
      <c r="AX52" s="21" t="n">
        <v>1.88684612848204</v>
      </c>
      <c r="AY52" s="21" t="n">
        <v>1.64371969344495</v>
      </c>
      <c r="AZ52" s="21" t="n">
        <v>1.65141429149892</v>
      </c>
      <c r="BA52" s="21" t="n">
        <v>1.68195087194389</v>
      </c>
      <c r="BB52" s="21" t="n">
        <v>2.47704269508108</v>
      </c>
      <c r="BC52" s="21" t="n">
        <v>2.35913344517766</v>
      </c>
      <c r="BD52" s="21" t="n">
        <v>1.84313757220875</v>
      </c>
      <c r="BE52" s="21" t="n">
        <v>2.44838475432838</v>
      </c>
      <c r="BF52" s="21" t="n">
        <v>1.69228657346246</v>
      </c>
      <c r="BG52" s="21" t="n">
        <v>2.14927132542264</v>
      </c>
      <c r="BH52" s="21" t="n">
        <v>1.83075736474859</v>
      </c>
      <c r="BI52" s="21" t="n">
        <v>1.84830978903323</v>
      </c>
      <c r="BJ52" s="21" t="n">
        <v>1.71580002516988</v>
      </c>
      <c r="BK52" s="21" t="n">
        <v>1.85899336108397</v>
      </c>
      <c r="BL52" s="21" t="n">
        <v>1.65099095102273</v>
      </c>
      <c r="BM52" s="21" t="n">
        <v>1.65129936334958</v>
      </c>
      <c r="BN52" s="21" t="n">
        <v>1.63862107787725</v>
      </c>
      <c r="BO52" s="21" t="n">
        <v>1.64274046063208</v>
      </c>
      <c r="BP52" s="21" t="n">
        <v>1.63786421553622</v>
      </c>
      <c r="BQ52" s="21" t="n">
        <v>2.02342006704428</v>
      </c>
      <c r="BR52" s="21" t="n">
        <v>1.71161109280858</v>
      </c>
      <c r="BS52" s="21" t="n">
        <v>1.65438958956238</v>
      </c>
      <c r="BT52" s="21" t="n">
        <v>1.63781651375347</v>
      </c>
      <c r="BU52" s="58" t="n">
        <f aca="false">AVERAGE(E52:BT52)</f>
        <v>2.12475583181464</v>
      </c>
    </row>
    <row r="53" customFormat="false" ht="11.25" hidden="false" customHeight="true" outlineLevel="0" collapsed="false">
      <c r="B53" s="24" t="s">
        <v>95</v>
      </c>
      <c r="C53" s="25" t="s">
        <v>96</v>
      </c>
      <c r="D53" s="24" t="n">
        <v>16</v>
      </c>
      <c r="E53" s="26" t="n">
        <v>2.38094195704047</v>
      </c>
      <c r="F53" s="26" t="n">
        <v>1.7313092407063</v>
      </c>
      <c r="G53" s="26" t="n">
        <v>1.64931856019707</v>
      </c>
      <c r="H53" s="26" t="n">
        <v>1.44690718491425</v>
      </c>
      <c r="I53" s="26" t="n">
        <v>1.87779753806767</v>
      </c>
      <c r="J53" s="26" t="n">
        <v>1.4570197878422</v>
      </c>
      <c r="K53" s="26" t="n">
        <v>1.60122293111245</v>
      </c>
      <c r="L53" s="26" t="n">
        <v>1.66332194969201</v>
      </c>
      <c r="M53" s="26" t="n">
        <v>1.50671600265471</v>
      </c>
      <c r="N53" s="26" t="n">
        <v>1.76140676863856</v>
      </c>
      <c r="O53" s="26" t="n">
        <v>1.70177557721501</v>
      </c>
      <c r="P53" s="26" t="n">
        <v>1.59620267042671</v>
      </c>
      <c r="Q53" s="26" t="n">
        <v>2.17385793368576</v>
      </c>
      <c r="R53" s="26" t="n">
        <v>1.47761613446068</v>
      </c>
      <c r="S53" s="26" t="n">
        <v>1.76685181872655</v>
      </c>
      <c r="T53" s="26" t="n">
        <v>1.82785185490651</v>
      </c>
      <c r="U53" s="26" t="n">
        <v>2.09676269681249</v>
      </c>
      <c r="V53" s="26" t="n">
        <v>1.60952313101633</v>
      </c>
      <c r="W53" s="26" t="n">
        <v>3.14083603159523</v>
      </c>
      <c r="X53" s="26" t="n">
        <v>1.41740083727701</v>
      </c>
      <c r="Y53" s="26" t="n">
        <v>2.48357934270122</v>
      </c>
      <c r="Z53" s="26" t="n">
        <v>1.75280342850682</v>
      </c>
      <c r="AA53" s="26" t="n">
        <v>1.45211211944492</v>
      </c>
      <c r="AB53" s="26" t="n">
        <v>1.53124254170323</v>
      </c>
      <c r="AC53" s="26" t="n">
        <v>1.87211820758544</v>
      </c>
      <c r="AD53" s="26" t="n">
        <v>1.73547199743806</v>
      </c>
      <c r="AE53" s="26" t="n">
        <v>2.07942629446263</v>
      </c>
      <c r="AF53" s="26" t="n">
        <v>1.87781627281891</v>
      </c>
      <c r="AG53" s="26" t="n">
        <v>1.66266596991722</v>
      </c>
      <c r="AH53" s="26" t="n">
        <v>1.96101462883494</v>
      </c>
      <c r="AI53" s="26" t="n">
        <v>1.70274084008523</v>
      </c>
      <c r="AJ53" s="26" t="n">
        <v>1.87895022295</v>
      </c>
      <c r="AK53" s="26" t="n">
        <v>1.48608033247748</v>
      </c>
      <c r="AL53" s="26" t="n">
        <v>1.87624987479719</v>
      </c>
      <c r="AM53" s="26" t="n">
        <v>2.14360355102361</v>
      </c>
      <c r="AN53" s="26" t="n">
        <v>1.47814225966629</v>
      </c>
      <c r="AO53" s="26" t="n">
        <v>1.49475380240741</v>
      </c>
      <c r="AP53" s="26" t="n">
        <v>2.60338171555398</v>
      </c>
      <c r="AQ53" s="26" t="n">
        <v>1.42212592689717</v>
      </c>
      <c r="AR53" s="26" t="n">
        <v>1.73441933027555</v>
      </c>
      <c r="AS53" s="26" t="n">
        <v>1.47942007124097</v>
      </c>
      <c r="AT53" s="26" t="n">
        <v>7.53440148054073</v>
      </c>
      <c r="AU53" s="26" t="n">
        <v>2.3208286081871</v>
      </c>
      <c r="AV53" s="26" t="n">
        <v>1.55243793762125</v>
      </c>
      <c r="AW53" s="26" t="n">
        <v>1.39987348852055</v>
      </c>
      <c r="AX53" s="26" t="n">
        <v>1.59606248525312</v>
      </c>
      <c r="AY53" s="26" t="n">
        <v>1.39040926889925</v>
      </c>
      <c r="AZ53" s="26" t="n">
        <v>1.39691858712786</v>
      </c>
      <c r="BA53" s="26" t="n">
        <v>1.42274862083216</v>
      </c>
      <c r="BB53" s="26" t="n">
        <v>2.0952715611909</v>
      </c>
      <c r="BC53" s="26" t="n">
        <v>1.99554367437121</v>
      </c>
      <c r="BD53" s="26" t="n">
        <v>1.55908552539207</v>
      </c>
      <c r="BE53" s="26" t="n">
        <v>2.07099788855844</v>
      </c>
      <c r="BF53" s="26" t="n">
        <v>1.43145938247673</v>
      </c>
      <c r="BG53" s="26" t="n">
        <v>1.81801281832941</v>
      </c>
      <c r="BH53" s="26" t="n">
        <v>1.54861563855005</v>
      </c>
      <c r="BI53" s="26" t="n">
        <v>1.56339202222589</v>
      </c>
      <c r="BJ53" s="26" t="n">
        <v>1.45138455089844</v>
      </c>
      <c r="BK53" s="26" t="n">
        <v>1.57246160843059</v>
      </c>
      <c r="BL53" s="26" t="n">
        <v>1.39655894686005</v>
      </c>
      <c r="BM53" s="26" t="n">
        <v>1.39681684867718</v>
      </c>
      <c r="BN53" s="26" t="n">
        <v>1.38610020986731</v>
      </c>
      <c r="BO53" s="26" t="n">
        <v>1.38958314955467</v>
      </c>
      <c r="BP53" s="26" t="n">
        <v>1.38546040520084</v>
      </c>
      <c r="BQ53" s="26" t="n">
        <v>1.71159947414028</v>
      </c>
      <c r="BR53" s="26" t="n">
        <v>1.44783893966467</v>
      </c>
      <c r="BS53" s="26" t="n">
        <v>1.39943449528501</v>
      </c>
      <c r="BT53" s="26" t="n">
        <v>1.38542007487065</v>
      </c>
      <c r="BU53" s="58" t="n">
        <f aca="false">AVERAGE(E53:BT53)</f>
        <v>1.7972276033721</v>
      </c>
    </row>
    <row r="54" customFormat="false" ht="11.25" hidden="false" customHeight="true" outlineLevel="0" collapsed="false">
      <c r="B54" s="19" t="s">
        <v>97</v>
      </c>
      <c r="C54" s="20" t="s">
        <v>98</v>
      </c>
      <c r="D54" s="19" t="n">
        <v>17</v>
      </c>
      <c r="E54" s="21" t="n">
        <v>3.13741790058582</v>
      </c>
      <c r="F54" s="21" t="n">
        <v>2.28134399842571</v>
      </c>
      <c r="G54" s="21" t="n">
        <v>2.17295687510878</v>
      </c>
      <c r="H54" s="21" t="n">
        <v>1.90661249174721</v>
      </c>
      <c r="I54" s="21" t="n">
        <v>2.47449347624833</v>
      </c>
      <c r="J54" s="21" t="n">
        <v>1.91993030501456</v>
      </c>
      <c r="K54" s="21" t="n">
        <v>2.10995092874615</v>
      </c>
      <c r="L54" s="21" t="n">
        <v>2.19177664525064</v>
      </c>
      <c r="M54" s="21" t="n">
        <v>1.98541930239082</v>
      </c>
      <c r="N54" s="21" t="n">
        <v>2.32107374844112</v>
      </c>
      <c r="O54" s="21" t="n">
        <v>2.24244805152517</v>
      </c>
      <c r="P54" s="21" t="n">
        <v>2.10333159438002</v>
      </c>
      <c r="Q54" s="21" t="n">
        <v>2.86452577348569</v>
      </c>
      <c r="R54" s="21" t="n">
        <v>1.94707040633935</v>
      </c>
      <c r="S54" s="21" t="n">
        <v>2.32820328414253</v>
      </c>
      <c r="T54" s="21" t="n">
        <v>2.40313004455538</v>
      </c>
      <c r="U54" s="21" t="n">
        <v>2.76949120586125</v>
      </c>
      <c r="V54" s="21" t="n">
        <v>2.12090997912925</v>
      </c>
      <c r="W54" s="21" t="n">
        <v>4.13904583992623</v>
      </c>
      <c r="X54" s="21" t="n">
        <v>1.86772737496428</v>
      </c>
      <c r="Y54" s="21" t="n">
        <v>3.27292418187483</v>
      </c>
      <c r="Z54" s="21" t="n">
        <v>2.3097324935423</v>
      </c>
      <c r="AA54" s="21" t="n">
        <v>1.9134688755617</v>
      </c>
      <c r="AB54" s="21" t="n">
        <v>2.01773502392891</v>
      </c>
      <c r="AC54" s="21" t="n">
        <v>2.46695410885249</v>
      </c>
      <c r="AD54" s="21" t="n">
        <v>2.28686654307143</v>
      </c>
      <c r="AE54" s="21" t="n">
        <v>2.74009831361998</v>
      </c>
      <c r="AF54" s="21" t="n">
        <v>2.47444795449747</v>
      </c>
      <c r="AG54" s="21" t="n">
        <v>2.1908768477117</v>
      </c>
      <c r="AH54" s="21" t="n">
        <v>2.58405793425362</v>
      </c>
      <c r="AI54" s="21" t="n">
        <v>2.24372906374783</v>
      </c>
      <c r="AJ54" s="21" t="n">
        <v>2.47592354590319</v>
      </c>
      <c r="AK54" s="21" t="n">
        <v>1.95822294547654</v>
      </c>
      <c r="AL54" s="21" t="n">
        <v>2.47236338952502</v>
      </c>
      <c r="AM54" s="21" t="n">
        <v>2.82465073170857</v>
      </c>
      <c r="AN54" s="21" t="n">
        <v>1.94776250931638</v>
      </c>
      <c r="AO54" s="21" t="n">
        <v>1.96973306781841</v>
      </c>
      <c r="AP54" s="21" t="n">
        <v>3.43064778302661</v>
      </c>
      <c r="AQ54" s="21" t="n">
        <v>1.87395620812255</v>
      </c>
      <c r="AR54" s="21" t="n">
        <v>2.28547510110798</v>
      </c>
      <c r="AS54" s="21" t="n">
        <v>1.94946623216614</v>
      </c>
      <c r="AT54" s="21" t="n">
        <v>9.93467652682229</v>
      </c>
      <c r="AU54" s="21" t="n">
        <v>3.05840159068185</v>
      </c>
      <c r="AV54" s="21" t="n">
        <v>2.04570053386125</v>
      </c>
      <c r="AW54" s="21" t="n">
        <v>1.84463394542422</v>
      </c>
      <c r="AX54" s="21" t="n">
        <v>2.10322204588121</v>
      </c>
      <c r="AY54" s="21" t="n">
        <v>1.83216193939787</v>
      </c>
      <c r="AZ54" s="21" t="n">
        <v>1.84073900237028</v>
      </c>
      <c r="BA54" s="21" t="n">
        <v>1.87477446509417</v>
      </c>
      <c r="BB54" s="21" t="n">
        <v>2.76099357150749</v>
      </c>
      <c r="BC54" s="21" t="n">
        <v>2.62959775862043</v>
      </c>
      <c r="BD54" s="21" t="n">
        <v>2.05444880977819</v>
      </c>
      <c r="BE54" s="21" t="n">
        <v>2.72915209428509</v>
      </c>
      <c r="BF54" s="21" t="n">
        <v>1.88629432541315</v>
      </c>
      <c r="BG54" s="21" t="n">
        <v>2.39576490139722</v>
      </c>
      <c r="BH54" s="21" t="n">
        <v>2.04066576490797</v>
      </c>
      <c r="BI54" s="21" t="n">
        <v>2.06015783092537</v>
      </c>
      <c r="BJ54" s="21" t="n">
        <v>1.91252726503514</v>
      </c>
      <c r="BK54" s="21" t="n">
        <v>2.07213435979452</v>
      </c>
      <c r="BL54" s="21" t="n">
        <v>1.84028096975618</v>
      </c>
      <c r="BM54" s="21" t="n">
        <v>1.84061223186401</v>
      </c>
      <c r="BN54" s="21" t="n">
        <v>1.82647816115778</v>
      </c>
      <c r="BO54" s="21" t="n">
        <v>1.83107274835281</v>
      </c>
      <c r="BP54" s="21" t="n">
        <v>1.82563418451886</v>
      </c>
      <c r="BQ54" s="21" t="n">
        <v>2.25539134027664</v>
      </c>
      <c r="BR54" s="21" t="n">
        <v>1.90783376926405</v>
      </c>
      <c r="BS54" s="21" t="n">
        <v>1.84405569372653</v>
      </c>
      <c r="BT54" s="21" t="n">
        <v>1.82558099192962</v>
      </c>
      <c r="BU54" s="58" t="n">
        <f aca="false">AVERAGE(E54:BT54)</f>
        <v>2.36836674857568</v>
      </c>
    </row>
    <row r="55" customFormat="false" ht="11.25" hidden="false" customHeight="true" outlineLevel="0" collapsed="false">
      <c r="B55" s="24" t="s">
        <v>99</v>
      </c>
      <c r="C55" s="25" t="s">
        <v>100</v>
      </c>
      <c r="D55" s="24" t="n">
        <v>18</v>
      </c>
      <c r="E55" s="26" t="n">
        <v>2.08359717950748</v>
      </c>
      <c r="F55" s="26" t="n">
        <v>1.51508846690751</v>
      </c>
      <c r="G55" s="26" t="n">
        <v>1.44298687532671</v>
      </c>
      <c r="H55" s="26" t="n">
        <v>1.26622454817484</v>
      </c>
      <c r="I55" s="26" t="n">
        <v>1.64328795788091</v>
      </c>
      <c r="J55" s="26" t="n">
        <v>1.27507375913356</v>
      </c>
      <c r="K55" s="26" t="n">
        <v>1.40127623358972</v>
      </c>
      <c r="L55" s="26" t="n">
        <v>1.45561211615897</v>
      </c>
      <c r="M55" s="26" t="n">
        <v>1.31856404158915</v>
      </c>
      <c r="N55" s="26" t="n">
        <v>1.54144363142731</v>
      </c>
      <c r="O55" s="26" t="n">
        <v>1.48926559534084</v>
      </c>
      <c r="P55" s="26" t="n">
        <v>1.3968760136978</v>
      </c>
      <c r="Q55" s="26" t="n">
        <v>1.90239757943003</v>
      </c>
      <c r="R55" s="26" t="n">
        <v>1.29309786442039</v>
      </c>
      <c r="S55" s="26" t="n">
        <v>1.54621534090042</v>
      </c>
      <c r="T55" s="26" t="n">
        <v>1.59595210956417</v>
      </c>
      <c r="U55" s="26" t="n">
        <v>1.83512892131633</v>
      </c>
      <c r="V55" s="26" t="n">
        <v>1.41154480084594</v>
      </c>
      <c r="W55" s="26" t="n">
        <v>2.74854803601473</v>
      </c>
      <c r="X55" s="26" t="n">
        <v>1.24040146264467</v>
      </c>
      <c r="Y55" s="26" t="n">
        <v>2.17344435543667</v>
      </c>
      <c r="Z55" s="26" t="n">
        <v>1.53404605641604</v>
      </c>
      <c r="AA55" s="26" t="n">
        <v>1.2707785859611</v>
      </c>
      <c r="AB55" s="26" t="n">
        <v>1.34002760124837</v>
      </c>
      <c r="AC55" s="26" t="n">
        <v>1.63847709869548</v>
      </c>
      <c r="AD55" s="26" t="n">
        <v>1.51875839221816</v>
      </c>
      <c r="AE55" s="26" t="n">
        <v>1.81975722195145</v>
      </c>
      <c r="AF55" s="26" t="n">
        <v>1.64337456993867</v>
      </c>
      <c r="AG55" s="26" t="n">
        <v>1.45501483789124</v>
      </c>
      <c r="AH55" s="26" t="n">
        <v>1.71616887587208</v>
      </c>
      <c r="AI55" s="26" t="n">
        <v>1.49011584214088</v>
      </c>
      <c r="AJ55" s="26" t="n">
        <v>1.64433028947831</v>
      </c>
      <c r="AK55" s="26" t="n">
        <v>1.30050521538519</v>
      </c>
      <c r="AL55" s="26" t="n">
        <v>1.64195313044098</v>
      </c>
      <c r="AM55" s="26" t="n">
        <v>1.87592344590057</v>
      </c>
      <c r="AN55" s="26" t="n">
        <v>1.29355857735824</v>
      </c>
      <c r="AO55" s="26" t="n">
        <v>1.30820040044717</v>
      </c>
      <c r="AP55" s="26" t="n">
        <v>2.27818013774708</v>
      </c>
      <c r="AQ55" s="26" t="n">
        <v>1.24452820377301</v>
      </c>
      <c r="AR55" s="26" t="n">
        <v>1.51783788747404</v>
      </c>
      <c r="AS55" s="26" t="n">
        <v>1.29467443885018</v>
      </c>
      <c r="AT55" s="26" t="n">
        <v>6.59320936879804</v>
      </c>
      <c r="AU55" s="26" t="n">
        <v>2.03091771078524</v>
      </c>
      <c r="AV55" s="26" t="n">
        <v>1.35857087562122</v>
      </c>
      <c r="AW55" s="26" t="n">
        <v>1.22506416385092</v>
      </c>
      <c r="AX55" s="26" t="n">
        <v>1.39675996164023</v>
      </c>
      <c r="AY55" s="26" t="n">
        <v>1.21678199667571</v>
      </c>
      <c r="AZ55" s="26" t="n">
        <v>1.22247906367947</v>
      </c>
      <c r="BA55" s="26" t="n">
        <v>1.24509584992104</v>
      </c>
      <c r="BB55" s="26" t="n">
        <v>1.83363010257652</v>
      </c>
      <c r="BC55" s="26" t="n">
        <v>1.74642524560311</v>
      </c>
      <c r="BD55" s="26" t="n">
        <v>1.36439552644987</v>
      </c>
      <c r="BE55" s="26" t="n">
        <v>1.81238126630944</v>
      </c>
      <c r="BF55" s="26" t="n">
        <v>1.25270787479283</v>
      </c>
      <c r="BG55" s="26" t="n">
        <v>1.59099667968734</v>
      </c>
      <c r="BH55" s="26" t="n">
        <v>1.35523617093309</v>
      </c>
      <c r="BI55" s="26" t="n">
        <v>1.36817142876397</v>
      </c>
      <c r="BJ55" s="26" t="n">
        <v>1.27015058616533</v>
      </c>
      <c r="BK55" s="26" t="n">
        <v>1.3761072588273</v>
      </c>
      <c r="BL55" s="26" t="n">
        <v>1.222162463548</v>
      </c>
      <c r="BM55" s="26" t="n">
        <v>1.22238802578428</v>
      </c>
      <c r="BN55" s="26" t="n">
        <v>1.21301030769754</v>
      </c>
      <c r="BO55" s="26" t="n">
        <v>1.21605831641448</v>
      </c>
      <c r="BP55" s="26" t="n">
        <v>1.21245027747953</v>
      </c>
      <c r="BQ55" s="26" t="n">
        <v>1.497862580953</v>
      </c>
      <c r="BR55" s="26" t="n">
        <v>1.26703976628451</v>
      </c>
      <c r="BS55" s="26" t="n">
        <v>1.22468224769825</v>
      </c>
      <c r="BT55" s="26" t="n">
        <v>1.21241497361487</v>
      </c>
      <c r="BU55" s="58" t="n">
        <f aca="false">AVERAGE(E55:BT55)</f>
        <v>1.57278511454487</v>
      </c>
    </row>
    <row r="56" customFormat="false" ht="11.25" hidden="false" customHeight="true" outlineLevel="0" collapsed="false">
      <c r="B56" s="19" t="s">
        <v>101</v>
      </c>
      <c r="C56" s="20" t="s">
        <v>102</v>
      </c>
      <c r="D56" s="19" t="n">
        <v>19</v>
      </c>
      <c r="E56" s="21" t="n">
        <v>3.59340701330665</v>
      </c>
      <c r="F56" s="21" t="n">
        <v>2.61281823501134</v>
      </c>
      <c r="G56" s="21" t="n">
        <v>2.48845717761859</v>
      </c>
      <c r="H56" s="21" t="n">
        <v>2.18364650440193</v>
      </c>
      <c r="I56" s="21" t="n">
        <v>2.83623591804592</v>
      </c>
      <c r="J56" s="21" t="n">
        <v>2.19890680368605</v>
      </c>
      <c r="K56" s="21" t="n">
        <v>2.4165334417571</v>
      </c>
      <c r="L56" s="21" t="n">
        <v>2.51025037216874</v>
      </c>
      <c r="M56" s="21" t="n">
        <v>2.27401693300599</v>
      </c>
      <c r="N56" s="21" t="n">
        <v>2.65826944701169</v>
      </c>
      <c r="O56" s="21" t="n">
        <v>2.56828560292501</v>
      </c>
      <c r="P56" s="21" t="n">
        <v>2.40895679582027</v>
      </c>
      <c r="Q56" s="21" t="n">
        <v>3.28074048707005</v>
      </c>
      <c r="R56" s="21" t="n">
        <v>2.22998837575688</v>
      </c>
      <c r="S56" s="21" t="n">
        <v>2.66649619725003</v>
      </c>
      <c r="T56" s="21" t="n">
        <v>2.75226424774176</v>
      </c>
      <c r="U56" s="21" t="n">
        <v>3.16422720215977</v>
      </c>
      <c r="V56" s="21" t="n">
        <v>2.42905161578206</v>
      </c>
      <c r="W56" s="21" t="n">
        <v>4.75271638057526</v>
      </c>
      <c r="X56" s="21" t="n">
        <v>2.13925697511378</v>
      </c>
      <c r="Y56" s="21" t="n">
        <v>3.74806367697016</v>
      </c>
      <c r="Z56" s="21" t="n">
        <v>2.64517739643047</v>
      </c>
      <c r="AA56" s="21" t="n">
        <v>2.19149486044051</v>
      </c>
      <c r="AB56" s="21" t="n">
        <v>2.31091956949244</v>
      </c>
      <c r="AC56" s="21" t="n">
        <v>2.82531415773257</v>
      </c>
      <c r="AD56" s="21" t="n">
        <v>2.61913868644947</v>
      </c>
      <c r="AE56" s="21" t="n">
        <v>3.13825013579367</v>
      </c>
      <c r="AF56" s="21" t="n">
        <v>2.83395708047706</v>
      </c>
      <c r="AG56" s="21" t="n">
        <v>2.50921129289355</v>
      </c>
      <c r="AH56" s="21" t="n">
        <v>2.95952356492674</v>
      </c>
      <c r="AI56" s="21" t="n">
        <v>2.56973405005984</v>
      </c>
      <c r="AJ56" s="21" t="n">
        <v>2.83570099833041</v>
      </c>
      <c r="AK56" s="21" t="n">
        <v>2.2427619937158</v>
      </c>
      <c r="AL56" s="21" t="n">
        <v>2.83159017423701</v>
      </c>
      <c r="AM56" s="21" t="n">
        <v>3.23508115696909</v>
      </c>
      <c r="AN56" s="21" t="n">
        <v>2.23077785967519</v>
      </c>
      <c r="AO56" s="21" t="n">
        <v>2.25581555307046</v>
      </c>
      <c r="AP56" s="21" t="n">
        <v>3.92866438147792</v>
      </c>
      <c r="AQ56" s="21" t="n">
        <v>2.14622256896935</v>
      </c>
      <c r="AR56" s="21" t="n">
        <v>2.61758444485989</v>
      </c>
      <c r="AS56" s="21" t="n">
        <v>2.23270294345407</v>
      </c>
      <c r="AT56" s="21" t="n">
        <v>11.3681101559211</v>
      </c>
      <c r="AU56" s="21" t="n">
        <v>3.50234395024072</v>
      </c>
      <c r="AV56" s="21" t="n">
        <v>2.34293135953344</v>
      </c>
      <c r="AW56" s="21" t="n">
        <v>2.11266600256909</v>
      </c>
      <c r="AX56" s="21" t="n">
        <v>2.40875156502491</v>
      </c>
      <c r="AY56" s="21" t="n">
        <v>2.09837670248849</v>
      </c>
      <c r="AZ56" s="21" t="n">
        <v>2.10820146578165</v>
      </c>
      <c r="BA56" s="21" t="n">
        <v>2.14718250604583</v>
      </c>
      <c r="BB56" s="21" t="n">
        <v>3.16213567480902</v>
      </c>
      <c r="BC56" s="21" t="n">
        <v>3.01161732380291</v>
      </c>
      <c r="BD56" s="21" t="n">
        <v>2.3529340145039</v>
      </c>
      <c r="BE56" s="21" t="n">
        <v>3.12544837347846</v>
      </c>
      <c r="BF56" s="21" t="n">
        <v>2.1603167176025</v>
      </c>
      <c r="BG56" s="21" t="n">
        <v>2.7438289755281</v>
      </c>
      <c r="BH56" s="21" t="n">
        <v>2.33716083668114</v>
      </c>
      <c r="BI56" s="21" t="n">
        <v>2.35943002175424</v>
      </c>
      <c r="BJ56" s="21" t="n">
        <v>2.19042779312584</v>
      </c>
      <c r="BK56" s="21" t="n">
        <v>2.37311090010953</v>
      </c>
      <c r="BL56" s="21" t="n">
        <v>2.1076510759253</v>
      </c>
      <c r="BM56" s="21" t="n">
        <v>2.10804609853138</v>
      </c>
      <c r="BN56" s="21" t="n">
        <v>2.09187469337145</v>
      </c>
      <c r="BO56" s="21" t="n">
        <v>2.09713145880093</v>
      </c>
      <c r="BP56" s="21" t="n">
        <v>2.09090897275712</v>
      </c>
      <c r="BQ56" s="21" t="n">
        <v>2.58311129650479</v>
      </c>
      <c r="BR56" s="21" t="n">
        <v>2.18504881227131</v>
      </c>
      <c r="BS56" s="21" t="n">
        <v>2.11199363347948</v>
      </c>
      <c r="BT56" s="21" t="n">
        <v>2.09084810334846</v>
      </c>
      <c r="BU56" s="58" t="n">
        <f aca="false">AVERAGE(E56:BT56)</f>
        <v>2.71240883465626</v>
      </c>
    </row>
    <row r="57" customFormat="false" ht="11.25" hidden="false" customHeight="true" outlineLevel="0" collapsed="false">
      <c r="B57" s="24" t="s">
        <v>103</v>
      </c>
      <c r="C57" s="25" t="s">
        <v>104</v>
      </c>
      <c r="D57" s="24" t="n">
        <v>20</v>
      </c>
      <c r="E57" s="26" t="n">
        <v>2.30955137066633</v>
      </c>
      <c r="F57" s="26" t="n">
        <v>1.67790894405908</v>
      </c>
      <c r="G57" s="26" t="n">
        <v>1.59802230971988</v>
      </c>
      <c r="H57" s="26" t="n">
        <v>1.4022899118902</v>
      </c>
      <c r="I57" s="26" t="n">
        <v>1.81991104289789</v>
      </c>
      <c r="J57" s="26" t="n">
        <v>1.4120703416056</v>
      </c>
      <c r="K57" s="26" t="n">
        <v>1.55182567653966</v>
      </c>
      <c r="L57" s="26" t="n">
        <v>1.61205397063843</v>
      </c>
      <c r="M57" s="26" t="n">
        <v>1.46030957271456</v>
      </c>
      <c r="N57" s="26" t="n">
        <v>1.7072592411507</v>
      </c>
      <c r="O57" s="26" t="n">
        <v>1.64927665126902</v>
      </c>
      <c r="P57" s="26" t="n">
        <v>1.54696016584241</v>
      </c>
      <c r="Q57" s="26" t="n">
        <v>2.10679901904117</v>
      </c>
      <c r="R57" s="26" t="n">
        <v>1.43203221276738</v>
      </c>
      <c r="S57" s="26" t="n">
        <v>1.71234479318511</v>
      </c>
      <c r="T57" s="26" t="n">
        <v>1.76742760633439</v>
      </c>
      <c r="U57" s="26" t="n">
        <v>2.03199211448152</v>
      </c>
      <c r="V57" s="26" t="n">
        <v>1.55987113966392</v>
      </c>
      <c r="W57" s="26" t="n">
        <v>3.04420035619356</v>
      </c>
      <c r="X57" s="26" t="n">
        <v>1.37645007984504</v>
      </c>
      <c r="Y57" s="26" t="n">
        <v>2.40717598759397</v>
      </c>
      <c r="Z57" s="26" t="n">
        <v>1.69874016515787</v>
      </c>
      <c r="AA57" s="26" t="n">
        <v>1.40731652602101</v>
      </c>
      <c r="AB57" s="26" t="n">
        <v>1.48400667893541</v>
      </c>
      <c r="AC57" s="26" t="n">
        <v>1.81435420356896</v>
      </c>
      <c r="AD57" s="26" t="n">
        <v>1.68195011567313</v>
      </c>
      <c r="AE57" s="26" t="n">
        <v>2.01526787911618</v>
      </c>
      <c r="AF57" s="26" t="n">
        <v>1.81988698804773</v>
      </c>
      <c r="AG57" s="26" t="n">
        <v>1.61134035048542</v>
      </c>
      <c r="AH57" s="26" t="n">
        <v>1.9005193337923</v>
      </c>
      <c r="AI57" s="26" t="n">
        <v>1.65020985717709</v>
      </c>
      <c r="AJ57" s="26" t="n">
        <v>1.8209777822106</v>
      </c>
      <c r="AK57" s="26" t="n">
        <v>1.44023526360157</v>
      </c>
      <c r="AL57" s="26" t="n">
        <v>1.81836916841752</v>
      </c>
      <c r="AM57" s="26" t="n">
        <v>2.07747402896533</v>
      </c>
      <c r="AN57" s="26" t="n">
        <v>1.43253962389041</v>
      </c>
      <c r="AO57" s="26" t="n">
        <v>1.44864299559718</v>
      </c>
      <c r="AP57" s="26" t="n">
        <v>2.52301006834317</v>
      </c>
      <c r="AQ57" s="26" t="n">
        <v>1.37824342208641</v>
      </c>
      <c r="AR57" s="26" t="n">
        <v>1.68091853128184</v>
      </c>
      <c r="AS57" s="26" t="n">
        <v>1.43378530646757</v>
      </c>
      <c r="AT57" s="26" t="n">
        <v>7.30284814093503</v>
      </c>
      <c r="AU57" s="26" t="n">
        <v>2.24927116291774</v>
      </c>
      <c r="AV57" s="26" t="n">
        <v>1.50453766542796</v>
      </c>
      <c r="AW57" s="26" t="n">
        <v>1.35668664650892</v>
      </c>
      <c r="AX57" s="26" t="n">
        <v>1.54686094604242</v>
      </c>
      <c r="AY57" s="26" t="n">
        <v>1.34751643386503</v>
      </c>
      <c r="AZ57" s="26" t="n">
        <v>1.35382522670577</v>
      </c>
      <c r="BA57" s="26" t="n">
        <v>1.37885821511213</v>
      </c>
      <c r="BB57" s="26" t="n">
        <v>2.03063909192082</v>
      </c>
      <c r="BC57" s="26" t="n">
        <v>1.93399222161628</v>
      </c>
      <c r="BD57" s="26" t="n">
        <v>1.51099213491623</v>
      </c>
      <c r="BE57" s="26" t="n">
        <v>2.00719096581523</v>
      </c>
      <c r="BF57" s="26" t="n">
        <v>1.38731330969048</v>
      </c>
      <c r="BG57" s="26" t="n">
        <v>1.76197886358834</v>
      </c>
      <c r="BH57" s="26" t="n">
        <v>1.50086464190257</v>
      </c>
      <c r="BI57" s="26" t="n">
        <v>1.51517274823388</v>
      </c>
      <c r="BJ57" s="26" t="n">
        <v>1.40660918060203</v>
      </c>
      <c r="BK57" s="26" t="n">
        <v>1.52398748197334</v>
      </c>
      <c r="BL57" s="26" t="n">
        <v>1.35347422731705</v>
      </c>
      <c r="BM57" s="26" t="n">
        <v>1.35372855381975</v>
      </c>
      <c r="BN57" s="26" t="n">
        <v>1.34333959321408</v>
      </c>
      <c r="BO57" s="26" t="n">
        <v>1.34671593146231</v>
      </c>
      <c r="BP57" s="26" t="n">
        <v>1.34271926078139</v>
      </c>
      <c r="BQ57" s="26" t="n">
        <v>1.6587972061363</v>
      </c>
      <c r="BR57" s="26" t="n">
        <v>1.40317391236009</v>
      </c>
      <c r="BS57" s="26" t="n">
        <v>1.35626243989748</v>
      </c>
      <c r="BT57" s="26" t="n">
        <v>1.34268016018</v>
      </c>
      <c r="BU57" s="58" t="n">
        <f aca="false">AVERAGE(E57:BT57)</f>
        <v>1.74181701705705</v>
      </c>
    </row>
    <row r="58" customFormat="false" ht="11.25" hidden="false" customHeight="true" outlineLevel="0" collapsed="false">
      <c r="B58" s="19" t="s">
        <v>105</v>
      </c>
      <c r="C58" s="20" t="s">
        <v>106</v>
      </c>
      <c r="D58" s="19" t="n">
        <v>21</v>
      </c>
      <c r="E58" s="21" t="n">
        <v>2.88897490413485</v>
      </c>
      <c r="F58" s="21" t="n">
        <v>2.10070361244828</v>
      </c>
      <c r="G58" s="21" t="n">
        <v>2.00072306071811</v>
      </c>
      <c r="H58" s="21" t="n">
        <v>1.75576160575965</v>
      </c>
      <c r="I58" s="21" t="n">
        <v>2.27869964290947</v>
      </c>
      <c r="J58" s="21" t="n">
        <v>1.76791558183604</v>
      </c>
      <c r="K58" s="21" t="n">
        <v>1.94289302694957</v>
      </c>
      <c r="L58" s="21" t="n">
        <v>2.0182370737176</v>
      </c>
      <c r="M58" s="21" t="n">
        <v>1.82822785164693</v>
      </c>
      <c r="N58" s="21" t="n">
        <v>2.13725436239395</v>
      </c>
      <c r="O58" s="21" t="n">
        <v>2.06489762146612</v>
      </c>
      <c r="P58" s="21" t="n">
        <v>1.93679719415008</v>
      </c>
      <c r="Q58" s="21" t="n">
        <v>2.63771341254451</v>
      </c>
      <c r="R58" s="21" t="n">
        <v>1.7929071187102</v>
      </c>
      <c r="S58" s="21" t="n">
        <v>2.14385916253527</v>
      </c>
      <c r="T58" s="21" t="n">
        <v>2.21281889823162</v>
      </c>
      <c r="U58" s="21" t="n">
        <v>2.54404708807179</v>
      </c>
      <c r="V58" s="21" t="n">
        <v>1.95295913400121</v>
      </c>
      <c r="W58" s="21" t="n">
        <v>3.81192932931845</v>
      </c>
      <c r="X58" s="21" t="n">
        <v>1.71985786939101</v>
      </c>
      <c r="Y58" s="21" t="n">
        <v>3.02091319482678</v>
      </c>
      <c r="Z58" s="21" t="n">
        <v>2.126806010506</v>
      </c>
      <c r="AA58" s="21" t="n">
        <v>1.7619640261451</v>
      </c>
      <c r="AB58" s="21" t="n">
        <v>1.85797871674583</v>
      </c>
      <c r="AC58" s="21" t="n">
        <v>2.27160973191492</v>
      </c>
      <c r="AD58" s="21" t="n">
        <v>2.1058038693937</v>
      </c>
      <c r="AE58" s="21" t="n">
        <v>2.52312676927745</v>
      </c>
      <c r="AF58" s="21" t="n">
        <v>2.27853075058577</v>
      </c>
      <c r="AG58" s="21" t="n">
        <v>2.01740739270963</v>
      </c>
      <c r="AH58" s="21" t="n">
        <v>2.37945360405605</v>
      </c>
      <c r="AI58" s="21" t="n">
        <v>2.06607093884814</v>
      </c>
      <c r="AJ58" s="21" t="n">
        <v>2.27987066010085</v>
      </c>
      <c r="AK58" s="21" t="n">
        <v>1.80317752259972</v>
      </c>
      <c r="AL58" s="21" t="n">
        <v>2.27660361919426</v>
      </c>
      <c r="AM58" s="21" t="n">
        <v>2.60100132732268</v>
      </c>
      <c r="AN58" s="21" t="n">
        <v>1.79354474786766</v>
      </c>
      <c r="AO58" s="21" t="n">
        <v>1.81369106000074</v>
      </c>
      <c r="AP58" s="21" t="n">
        <v>3.15900553225756</v>
      </c>
      <c r="AQ58" s="21" t="n">
        <v>1.72557494105679</v>
      </c>
      <c r="AR58" s="21" t="n">
        <v>2.10451575320832</v>
      </c>
      <c r="AS58" s="21" t="n">
        <v>1.79509965671723</v>
      </c>
      <c r="AT58" s="21" t="n">
        <v>9.14194140512523</v>
      </c>
      <c r="AU58" s="21" t="n">
        <v>2.81614162851313</v>
      </c>
      <c r="AV58" s="21" t="n">
        <v>1.88370551556844</v>
      </c>
      <c r="AW58" s="21" t="n">
        <v>1.6985804522856</v>
      </c>
      <c r="AX58" s="21" t="n">
        <v>1.93664201133028</v>
      </c>
      <c r="AY58" s="21" t="n">
        <v>1.68709426082313</v>
      </c>
      <c r="AZ58" s="21" t="n">
        <v>1.69499337694383</v>
      </c>
      <c r="BA58" s="21" t="n">
        <v>1.7263381053971</v>
      </c>
      <c r="BB58" s="21" t="n">
        <v>2.54235923712507</v>
      </c>
      <c r="BC58" s="21" t="n">
        <v>2.42135329966204</v>
      </c>
      <c r="BD58" s="21" t="n">
        <v>1.89177294414597</v>
      </c>
      <c r="BE58" s="21" t="n">
        <v>2.51297909981259</v>
      </c>
      <c r="BF58" s="21" t="n">
        <v>1.73690609548006</v>
      </c>
      <c r="BG58" s="21" t="n">
        <v>2.20608115120759</v>
      </c>
      <c r="BH58" s="21" t="n">
        <v>1.87908418115464</v>
      </c>
      <c r="BI58" s="21" t="n">
        <v>1.89699059169858</v>
      </c>
      <c r="BJ58" s="21" t="n">
        <v>1.76108215281871</v>
      </c>
      <c r="BK58" s="21" t="n">
        <v>1.90801015472112</v>
      </c>
      <c r="BL58" s="21" t="n">
        <v>1.69455711697535</v>
      </c>
      <c r="BM58" s="21" t="n">
        <v>1.69487913554948</v>
      </c>
      <c r="BN58" s="21" t="n">
        <v>1.68186433409805</v>
      </c>
      <c r="BO58" s="21" t="n">
        <v>1.68609183304557</v>
      </c>
      <c r="BP58" s="21" t="n">
        <v>1.6810872523705</v>
      </c>
      <c r="BQ58" s="21" t="n">
        <v>2.0768172491023</v>
      </c>
      <c r="BR58" s="21" t="n">
        <v>1.75677614507531</v>
      </c>
      <c r="BS58" s="21" t="n">
        <v>1.69804159440696</v>
      </c>
      <c r="BT58" s="21" t="n">
        <v>1.68103826225822</v>
      </c>
      <c r="BU58" s="58" t="n">
        <f aca="false">AVERAGE(E58:BT58)</f>
        <v>2.18076670533772</v>
      </c>
    </row>
    <row r="59" customFormat="false" ht="11.25" hidden="false" customHeight="true" outlineLevel="0" collapsed="false">
      <c r="B59" s="24" t="s">
        <v>107</v>
      </c>
      <c r="C59" s="25" t="s">
        <v>108</v>
      </c>
      <c r="D59" s="24" t="n">
        <v>22</v>
      </c>
      <c r="E59" s="26" t="n">
        <v>2.62046955983016</v>
      </c>
      <c r="F59" s="26" t="n">
        <v>1.9054201592585</v>
      </c>
      <c r="G59" s="26" t="n">
        <v>1.81473026204604</v>
      </c>
      <c r="H59" s="26" t="n">
        <v>1.59246574511648</v>
      </c>
      <c r="I59" s="26" t="n">
        <v>2.06673956349548</v>
      </c>
      <c r="J59" s="26" t="n">
        <v>1.60356881759794</v>
      </c>
      <c r="K59" s="26" t="n">
        <v>1.76227877663603</v>
      </c>
      <c r="L59" s="26" t="n">
        <v>1.8306216341282</v>
      </c>
      <c r="M59" s="26" t="n">
        <v>1.65830653355722</v>
      </c>
      <c r="N59" s="26" t="n">
        <v>1.93862161155281</v>
      </c>
      <c r="O59" s="26" t="n">
        <v>1.8729432356864</v>
      </c>
      <c r="P59" s="26" t="n">
        <v>1.75674931114007</v>
      </c>
      <c r="Q59" s="26" t="n">
        <v>2.39251141412834</v>
      </c>
      <c r="R59" s="26" t="n">
        <v>1.62623649946684</v>
      </c>
      <c r="S59" s="26" t="n">
        <v>1.94456357742235</v>
      </c>
      <c r="T59" s="26" t="n">
        <v>2.00711765020152</v>
      </c>
      <c r="U59" s="26" t="n">
        <v>2.30757721917612</v>
      </c>
      <c r="V59" s="26" t="n">
        <v>1.77141962322486</v>
      </c>
      <c r="W59" s="26" t="n">
        <v>3.45708072443403</v>
      </c>
      <c r="X59" s="26" t="n">
        <v>1.55998138577985</v>
      </c>
      <c r="Y59" s="26" t="n">
        <v>2.73446729860577</v>
      </c>
      <c r="Z59" s="26" t="n">
        <v>1.93326932684726</v>
      </c>
      <c r="AA59" s="26" t="n">
        <v>1.5981812768376</v>
      </c>
      <c r="AB59" s="26" t="n">
        <v>1.6852705137351</v>
      </c>
      <c r="AC59" s="26" t="n">
        <v>2.06045896789492</v>
      </c>
      <c r="AD59" s="26" t="n">
        <v>1.9100453618072</v>
      </c>
      <c r="AE59" s="26" t="n">
        <v>2.28859269836319</v>
      </c>
      <c r="AF59" s="26" t="n">
        <v>2.06671852262112</v>
      </c>
      <c r="AG59" s="26" t="n">
        <v>1.82991524979018</v>
      </c>
      <c r="AH59" s="26" t="n">
        <v>2.15826080770355</v>
      </c>
      <c r="AI59" s="26" t="n">
        <v>1.87400603793726</v>
      </c>
      <c r="AJ59" s="26" t="n">
        <v>2.06793320374629</v>
      </c>
      <c r="AK59" s="26" t="n">
        <v>1.63555266417332</v>
      </c>
      <c r="AL59" s="26" t="n">
        <v>2.06497230300246</v>
      </c>
      <c r="AM59" s="26" t="n">
        <v>2.35920876356543</v>
      </c>
      <c r="AN59" s="26" t="n">
        <v>1.6268156671319</v>
      </c>
      <c r="AO59" s="26" t="n">
        <v>1.64509585143636</v>
      </c>
      <c r="AP59" s="26" t="n">
        <v>2.86520865623816</v>
      </c>
      <c r="AQ59" s="26" t="n">
        <v>1.56516894024987</v>
      </c>
      <c r="AR59" s="26" t="n">
        <v>1.90887823881289</v>
      </c>
      <c r="AS59" s="26" t="n">
        <v>1.62823429897265</v>
      </c>
      <c r="AT59" s="26" t="n">
        <v>8.29608254184848</v>
      </c>
      <c r="AU59" s="26" t="n">
        <v>2.55441088577784</v>
      </c>
      <c r="AV59" s="26" t="n">
        <v>1.70857693800899</v>
      </c>
      <c r="AW59" s="26" t="n">
        <v>1.54068542019745</v>
      </c>
      <c r="AX59" s="26" t="n">
        <v>1.75663582886228</v>
      </c>
      <c r="AY59" s="26" t="n">
        <v>1.53026417005611</v>
      </c>
      <c r="AZ59" s="26" t="n">
        <v>1.53743022050348</v>
      </c>
      <c r="BA59" s="26" t="n">
        <v>1.56585349260166</v>
      </c>
      <c r="BB59" s="26" t="n">
        <v>2.30604187760407</v>
      </c>
      <c r="BC59" s="26" t="n">
        <v>2.19629406508493</v>
      </c>
      <c r="BD59" s="26" t="n">
        <v>1.715925400323</v>
      </c>
      <c r="BE59" s="26" t="n">
        <v>2.27940093002582</v>
      </c>
      <c r="BF59" s="26" t="n">
        <v>1.57546785304946</v>
      </c>
      <c r="BG59" s="26" t="n">
        <v>2.0011737604008</v>
      </c>
      <c r="BH59" s="26" t="n">
        <v>1.70442173310939</v>
      </c>
      <c r="BI59" s="26" t="n">
        <v>1.72068739725061</v>
      </c>
      <c r="BJ59" s="26" t="n">
        <v>1.59737918272071</v>
      </c>
      <c r="BK59" s="26" t="n">
        <v>1.73069804311314</v>
      </c>
      <c r="BL59" s="26" t="n">
        <v>1.53703678748867</v>
      </c>
      <c r="BM59" s="26" t="n">
        <v>1.53732656095056</v>
      </c>
      <c r="BN59" s="26" t="n">
        <v>1.52551670891025</v>
      </c>
      <c r="BO59" s="26" t="n">
        <v>1.52935366431845</v>
      </c>
      <c r="BP59" s="26" t="n">
        <v>1.52481055102326</v>
      </c>
      <c r="BQ59" s="26" t="n">
        <v>1.88375310936311</v>
      </c>
      <c r="BR59" s="26" t="n">
        <v>1.59346518102621</v>
      </c>
      <c r="BS59" s="26" t="n">
        <v>1.54019332959768</v>
      </c>
      <c r="BT59" s="26" t="n">
        <v>1.52476601193213</v>
      </c>
      <c r="BU59" s="58" t="n">
        <f aca="false">AVERAGE(E59:BT59)</f>
        <v>1.97807808233089</v>
      </c>
    </row>
    <row r="60" customFormat="false" ht="11.25" hidden="false" customHeight="true" outlineLevel="0" collapsed="false">
      <c r="B60" s="19" t="s">
        <v>109</v>
      </c>
      <c r="C60" s="20" t="s">
        <v>110</v>
      </c>
      <c r="D60" s="19" t="n">
        <v>23</v>
      </c>
      <c r="E60" s="21" t="n">
        <v>1.94967879661595</v>
      </c>
      <c r="F60" s="21" t="n">
        <v>1.41768670943382</v>
      </c>
      <c r="G60" s="21" t="n">
        <v>1.35019163564685</v>
      </c>
      <c r="H60" s="21" t="n">
        <v>1.18480762529737</v>
      </c>
      <c r="I60" s="21" t="n">
        <v>1.53765474659684</v>
      </c>
      <c r="J60" s="21" t="n">
        <v>1.19307933152903</v>
      </c>
      <c r="K60" s="21" t="n">
        <v>1.31115974582916</v>
      </c>
      <c r="L60" s="21" t="n">
        <v>1.36207934035518</v>
      </c>
      <c r="M60" s="21" t="n">
        <v>1.23379889031982</v>
      </c>
      <c r="N60" s="21" t="n">
        <v>1.44238509361827</v>
      </c>
      <c r="O60" s="21" t="n">
        <v>1.39349661318779</v>
      </c>
      <c r="P60" s="21" t="n">
        <v>1.30704782614057</v>
      </c>
      <c r="Q60" s="21" t="n">
        <v>1.78006242134537</v>
      </c>
      <c r="R60" s="21" t="n">
        <v>1.20994355136417</v>
      </c>
      <c r="S60" s="21" t="n">
        <v>1.44678407437516</v>
      </c>
      <c r="T60" s="21" t="n">
        <v>1.49332186092771</v>
      </c>
      <c r="U60" s="21" t="n">
        <v>1.71701117971373</v>
      </c>
      <c r="V60" s="21" t="n">
        <v>1.31795871862342</v>
      </c>
      <c r="W60" s="21" t="n">
        <v>2.57199171294976</v>
      </c>
      <c r="X60" s="21" t="n">
        <v>1.16066978851693</v>
      </c>
      <c r="Y60" s="21" t="n">
        <v>2.0341079830812</v>
      </c>
      <c r="Z60" s="21" t="n">
        <v>1.43534388232346</v>
      </c>
      <c r="AA60" s="21" t="n">
        <v>1.19149270079972</v>
      </c>
      <c r="AB60" s="21" t="n">
        <v>1.25385794869941</v>
      </c>
      <c r="AC60" s="21" t="n">
        <v>1.53309942508466</v>
      </c>
      <c r="AD60" s="21" t="n">
        <v>1.42111353808482</v>
      </c>
      <c r="AE60" s="21" t="n">
        <v>1.70274746503914</v>
      </c>
      <c r="AF60" s="21" t="n">
        <v>1.53765357606109</v>
      </c>
      <c r="AG60" s="21" t="n">
        <v>1.36150052413715</v>
      </c>
      <c r="AH60" s="21" t="n">
        <v>1.60577499998782</v>
      </c>
      <c r="AI60" s="21" t="n">
        <v>1.39428525340171</v>
      </c>
      <c r="AJ60" s="21" t="n">
        <v>1.5385681125925</v>
      </c>
      <c r="AK60" s="21" t="n">
        <v>1.21687487497628</v>
      </c>
      <c r="AL60" s="21" t="n">
        <v>1.53636862637083</v>
      </c>
      <c r="AM60" s="21" t="n">
        <v>1.75528590103121</v>
      </c>
      <c r="AN60" s="21" t="n">
        <v>1.21037434009039</v>
      </c>
      <c r="AO60" s="21" t="n">
        <v>1.22395851269211</v>
      </c>
      <c r="AP60" s="21" t="n">
        <v>2.131691051914</v>
      </c>
      <c r="AQ60" s="21" t="n">
        <v>1.16450375748629</v>
      </c>
      <c r="AR60" s="21" t="n">
        <v>1.42022897595255</v>
      </c>
      <c r="AS60" s="21" t="n">
        <v>1.21142243521471</v>
      </c>
      <c r="AT60" s="21" t="n">
        <v>6.16901999898803</v>
      </c>
      <c r="AU60" s="21" t="n">
        <v>1.90048487852724</v>
      </c>
      <c r="AV60" s="21" t="n">
        <v>1.2712074623939</v>
      </c>
      <c r="AW60" s="21" t="n">
        <v>1.14628355699627</v>
      </c>
      <c r="AX60" s="21" t="n">
        <v>1.30694398608468</v>
      </c>
      <c r="AY60" s="21" t="n">
        <v>1.13853581684858</v>
      </c>
      <c r="AZ60" s="21" t="n">
        <v>1.143865563344</v>
      </c>
      <c r="BA60" s="21" t="n">
        <v>1.16501863856192</v>
      </c>
      <c r="BB60" s="21" t="n">
        <v>1.71574966663218</v>
      </c>
      <c r="BC60" s="21" t="n">
        <v>1.63404842447051</v>
      </c>
      <c r="BD60" s="21" t="n">
        <v>1.27666016685557</v>
      </c>
      <c r="BE60" s="21" t="n">
        <v>1.69586092260872</v>
      </c>
      <c r="BF60" s="21" t="n">
        <v>1.17215525683425</v>
      </c>
      <c r="BG60" s="21" t="n">
        <v>1.48878614607073</v>
      </c>
      <c r="BH60" s="21" t="n">
        <v>1.26811514076595</v>
      </c>
      <c r="BI60" s="21" t="n">
        <v>1.28025732385264</v>
      </c>
      <c r="BJ60" s="21" t="n">
        <v>1.18846323252708</v>
      </c>
      <c r="BK60" s="21" t="n">
        <v>1.2876301858144</v>
      </c>
      <c r="BL60" s="21" t="n">
        <v>1.14357035803078</v>
      </c>
      <c r="BM60" s="21" t="n">
        <v>1.14379277957381</v>
      </c>
      <c r="BN60" s="21" t="n">
        <v>1.13500789220793</v>
      </c>
      <c r="BO60" s="21" t="n">
        <v>1.13785963429708</v>
      </c>
      <c r="BP60" s="21" t="n">
        <v>1.13448205908903</v>
      </c>
      <c r="BQ60" s="21" t="n">
        <v>1.40154040696384</v>
      </c>
      <c r="BR60" s="21" t="n">
        <v>1.18556337223647</v>
      </c>
      <c r="BS60" s="21" t="n">
        <v>1.14592408007005</v>
      </c>
      <c r="BT60" s="21" t="n">
        <v>1.1344488500291</v>
      </c>
      <c r="BU60" s="58" t="n">
        <f aca="false">AVERAGE(E60:BT60)</f>
        <v>1.47165204923651</v>
      </c>
    </row>
    <row r="61" customFormat="false" ht="11.25" hidden="false" customHeight="true" outlineLevel="0" collapsed="false">
      <c r="B61" s="24" t="s">
        <v>111</v>
      </c>
      <c r="C61" s="25" t="s">
        <v>112</v>
      </c>
      <c r="D61" s="24" t="n">
        <v>24</v>
      </c>
      <c r="E61" s="26" t="n">
        <v>2.32294708674464</v>
      </c>
      <c r="F61" s="26" t="n">
        <v>1.6891057751404</v>
      </c>
      <c r="G61" s="26" t="n">
        <v>1.60871310026434</v>
      </c>
      <c r="H61" s="26" t="n">
        <v>1.41165707623059</v>
      </c>
      <c r="I61" s="26" t="n">
        <v>1.83205112229783</v>
      </c>
      <c r="J61" s="26" t="n">
        <v>1.42152201074162</v>
      </c>
      <c r="K61" s="26" t="n">
        <v>1.56221257993277</v>
      </c>
      <c r="L61" s="26" t="n">
        <v>1.62279939202967</v>
      </c>
      <c r="M61" s="26" t="n">
        <v>1.47001992840417</v>
      </c>
      <c r="N61" s="26" t="n">
        <v>1.71850127964673</v>
      </c>
      <c r="O61" s="26" t="n">
        <v>1.66031834937359</v>
      </c>
      <c r="P61" s="26" t="n">
        <v>1.55731473554982</v>
      </c>
      <c r="Q61" s="26" t="n">
        <v>2.12090619479526</v>
      </c>
      <c r="R61" s="26" t="n">
        <v>1.44161815063199</v>
      </c>
      <c r="S61" s="26" t="n">
        <v>1.72380662359158</v>
      </c>
      <c r="T61" s="26" t="n">
        <v>1.77925709575824</v>
      </c>
      <c r="U61" s="26" t="n">
        <v>2.04566230632779</v>
      </c>
      <c r="V61" s="26" t="n">
        <v>1.57032285712572</v>
      </c>
      <c r="W61" s="26" t="n">
        <v>3.06435548757533</v>
      </c>
      <c r="X61" s="26" t="n">
        <v>1.38288426720846</v>
      </c>
      <c r="Y61" s="26" t="n">
        <v>2.42310621667206</v>
      </c>
      <c r="Z61" s="26" t="n">
        <v>1.71007932836117</v>
      </c>
      <c r="AA61" s="26" t="n">
        <v>1.41673938941038</v>
      </c>
      <c r="AB61" s="26" t="n">
        <v>1.49707742345038</v>
      </c>
      <c r="AC61" s="26" t="n">
        <v>1.82651994982069</v>
      </c>
      <c r="AD61" s="26" t="n">
        <v>1.6931930476724</v>
      </c>
      <c r="AE61" s="26" t="n">
        <v>2.02875761803125</v>
      </c>
      <c r="AF61" s="26" t="n">
        <v>1.83206804987691</v>
      </c>
      <c r="AG61" s="26" t="n">
        <v>1.62212476279232</v>
      </c>
      <c r="AH61" s="26" t="n">
        <v>1.9132451859788</v>
      </c>
      <c r="AI61" s="26" t="n">
        <v>1.6612565238391</v>
      </c>
      <c r="AJ61" s="26" t="n">
        <v>1.83316461660964</v>
      </c>
      <c r="AK61" s="26" t="n">
        <v>1.44987633537113</v>
      </c>
      <c r="AL61" s="26" t="n">
        <v>1.83054640536848</v>
      </c>
      <c r="AM61" s="26" t="n">
        <v>2.09137988226248</v>
      </c>
      <c r="AN61" s="26" t="n">
        <v>1.44213094332484</v>
      </c>
      <c r="AO61" s="26" t="n">
        <v>1.45832468582211</v>
      </c>
      <c r="AP61" s="26" t="n">
        <v>2.53984732518966</v>
      </c>
      <c r="AQ61" s="26" t="n">
        <v>1.38747255325569</v>
      </c>
      <c r="AR61" s="26" t="n">
        <v>1.69216993387925</v>
      </c>
      <c r="AS61" s="26" t="n">
        <v>1.44339260852062</v>
      </c>
      <c r="AT61" s="26" t="n">
        <v>7.35443258781816</v>
      </c>
      <c r="AU61" s="26" t="n">
        <v>2.26445624275604</v>
      </c>
      <c r="AV61" s="26" t="n">
        <v>1.51460723572497</v>
      </c>
      <c r="AW61" s="26" t="n">
        <v>1.36577432490057</v>
      </c>
      <c r="AX61" s="26" t="n">
        <v>1.5571957448747</v>
      </c>
      <c r="AY61" s="26" t="n">
        <v>1.35654266598007</v>
      </c>
      <c r="AZ61" s="26" t="n">
        <v>1.36289815332524</v>
      </c>
      <c r="BA61" s="26" t="n">
        <v>1.38809183167934</v>
      </c>
      <c r="BB61" s="26" t="n">
        <v>2.04428295177697</v>
      </c>
      <c r="BC61" s="26" t="n">
        <v>1.94695738694728</v>
      </c>
      <c r="BD61" s="26" t="n">
        <v>1.52113281386366</v>
      </c>
      <c r="BE61" s="26" t="n">
        <v>2.02057623257322</v>
      </c>
      <c r="BF61" s="26" t="n">
        <v>1.39661849900248</v>
      </c>
      <c r="BG61" s="26" t="n">
        <v>1.77399954215932</v>
      </c>
      <c r="BH61" s="26" t="n">
        <v>1.51094164839703</v>
      </c>
      <c r="BI61" s="26" t="n">
        <v>1.52541152445225</v>
      </c>
      <c r="BJ61" s="26" t="n">
        <v>1.41602729035401</v>
      </c>
      <c r="BK61" s="26" t="n">
        <v>1.53422603762189</v>
      </c>
      <c r="BL61" s="26" t="n">
        <v>1.36254523286325</v>
      </c>
      <c r="BM61" s="26" t="n">
        <v>1.36280559334405</v>
      </c>
      <c r="BN61" s="26" t="n">
        <v>1.3523348693963</v>
      </c>
      <c r="BO61" s="26" t="n">
        <v>1.35573348203347</v>
      </c>
      <c r="BP61" s="26" t="n">
        <v>1.3517069471669</v>
      </c>
      <c r="BQ61" s="26" t="n">
        <v>1.66990051086963</v>
      </c>
      <c r="BR61" s="26" t="n">
        <v>1.41256988642199</v>
      </c>
      <c r="BS61" s="26" t="n">
        <v>1.36534403922769</v>
      </c>
      <c r="BT61" s="26" t="n">
        <v>1.3516672628133</v>
      </c>
      <c r="BU61" s="58" t="n">
        <f aca="false">AVERAGE(E61:BT61)</f>
        <v>1.75348865798858</v>
      </c>
    </row>
    <row r="62" customFormat="false" ht="11.25" hidden="false" customHeight="true" outlineLevel="0" collapsed="false">
      <c r="B62" s="19" t="s">
        <v>113</v>
      </c>
      <c r="C62" s="20" t="s">
        <v>114</v>
      </c>
      <c r="D62" s="19" t="n">
        <v>25</v>
      </c>
      <c r="E62" s="21" t="n">
        <v>2.65311461391191</v>
      </c>
      <c r="F62" s="21" t="n">
        <v>1.92919770499863</v>
      </c>
      <c r="G62" s="21" t="n">
        <v>1.83743624991037</v>
      </c>
      <c r="H62" s="21" t="n">
        <v>1.61232593585728</v>
      </c>
      <c r="I62" s="21" t="n">
        <v>2.09251429251115</v>
      </c>
      <c r="J62" s="21" t="n">
        <v>1.62358163312165</v>
      </c>
      <c r="K62" s="21" t="n">
        <v>1.78426685735605</v>
      </c>
      <c r="L62" s="21" t="n">
        <v>1.85346244361902</v>
      </c>
      <c r="M62" s="21" t="n">
        <v>1.67895866895624</v>
      </c>
      <c r="N62" s="21" t="n">
        <v>1.96276556826083</v>
      </c>
      <c r="O62" s="21" t="n">
        <v>1.89631345927498</v>
      </c>
      <c r="P62" s="21" t="n">
        <v>1.77867085697519</v>
      </c>
      <c r="Q62" s="21" t="n">
        <v>2.42240056174812</v>
      </c>
      <c r="R62" s="21" t="n">
        <v>1.64652900612915</v>
      </c>
      <c r="S62" s="21" t="n">
        <v>1.9688289427723</v>
      </c>
      <c r="T62" s="21" t="n">
        <v>2.03216085786487</v>
      </c>
      <c r="U62" s="21" t="n">
        <v>2.33645639533944</v>
      </c>
      <c r="V62" s="21" t="n">
        <v>1.79352165565303</v>
      </c>
      <c r="W62" s="21" t="n">
        <v>3.50014757493491</v>
      </c>
      <c r="X62" s="21" t="n">
        <v>1.57943360964184</v>
      </c>
      <c r="Y62" s="21" t="n">
        <v>2.76840985978818</v>
      </c>
      <c r="Z62" s="21" t="n">
        <v>1.95327129522405</v>
      </c>
      <c r="AA62" s="21" t="n">
        <v>1.6181123230851</v>
      </c>
      <c r="AB62" s="21" t="n">
        <v>1.70629041741963</v>
      </c>
      <c r="AC62" s="21" t="n">
        <v>2.09086786185616</v>
      </c>
      <c r="AD62" s="21" t="n">
        <v>1.93388506887474</v>
      </c>
      <c r="AE62" s="21" t="n">
        <v>2.31718320289921</v>
      </c>
      <c r="AF62" s="21" t="n">
        <v>2.09248723719146</v>
      </c>
      <c r="AG62" s="21" t="n">
        <v>1.85269976641406</v>
      </c>
      <c r="AH62" s="21" t="n">
        <v>2.18519019353654</v>
      </c>
      <c r="AI62" s="21" t="n">
        <v>1.89739244597199</v>
      </c>
      <c r="AJ62" s="21" t="n">
        <v>2.09373862206128</v>
      </c>
      <c r="AK62" s="21" t="n">
        <v>1.65596061584026</v>
      </c>
      <c r="AL62" s="21" t="n">
        <v>2.09074347656032</v>
      </c>
      <c r="AM62" s="21" t="n">
        <v>2.38864738164975</v>
      </c>
      <c r="AN62" s="21" t="n">
        <v>1.64711916805374</v>
      </c>
      <c r="AO62" s="21" t="n">
        <v>1.66560570733098</v>
      </c>
      <c r="AP62" s="21" t="n">
        <v>2.90102667795922</v>
      </c>
      <c r="AQ62" s="21" t="n">
        <v>1.58470197872354</v>
      </c>
      <c r="AR62" s="21" t="n">
        <v>1.93269444048067</v>
      </c>
      <c r="AS62" s="21" t="n">
        <v>1.64856236294637</v>
      </c>
      <c r="AT62" s="21" t="n">
        <v>8.39869055102147</v>
      </c>
      <c r="AU62" s="21" t="n">
        <v>2.58621155339164</v>
      </c>
      <c r="AV62" s="21" t="n">
        <v>1.72989738049502</v>
      </c>
      <c r="AW62" s="21" t="n">
        <v>1.55990016854135</v>
      </c>
      <c r="AX62" s="21" t="n">
        <v>1.77851472583612</v>
      </c>
      <c r="AY62" s="21" t="n">
        <v>1.54935642606363</v>
      </c>
      <c r="AZ62" s="21" t="n">
        <v>1.55660903543849</v>
      </c>
      <c r="BA62" s="21" t="n">
        <v>1.58539135861937</v>
      </c>
      <c r="BB62" s="21" t="n">
        <v>2.33480729218441</v>
      </c>
      <c r="BC62" s="21" t="n">
        <v>2.2236849895856</v>
      </c>
      <c r="BD62" s="21" t="n">
        <v>1.73732445652843</v>
      </c>
      <c r="BE62" s="21" t="n">
        <v>2.30781088587568</v>
      </c>
      <c r="BF62" s="21" t="n">
        <v>1.5951228182325</v>
      </c>
      <c r="BG62" s="21" t="n">
        <v>2.02592789888799</v>
      </c>
      <c r="BH62" s="21" t="n">
        <v>1.72568418190519</v>
      </c>
      <c r="BI62" s="21" t="n">
        <v>1.7421400685053</v>
      </c>
      <c r="BJ62" s="21" t="n">
        <v>1.61730451682266</v>
      </c>
      <c r="BK62" s="21" t="n">
        <v>1.75226155511993</v>
      </c>
      <c r="BL62" s="21" t="n">
        <v>1.55621139785895</v>
      </c>
      <c r="BM62" s="21" t="n">
        <v>1.55649902853059</v>
      </c>
      <c r="BN62" s="21" t="n">
        <v>1.54455168486389</v>
      </c>
      <c r="BO62" s="21" t="n">
        <v>1.54843398553123</v>
      </c>
      <c r="BP62" s="21" t="n">
        <v>1.54383778992991</v>
      </c>
      <c r="BQ62" s="21" t="n">
        <v>1.90725941372079</v>
      </c>
      <c r="BR62" s="21" t="n">
        <v>1.61334838828293</v>
      </c>
      <c r="BS62" s="21" t="n">
        <v>1.55941273842285</v>
      </c>
      <c r="BT62" s="21" t="n">
        <v>1.54379277413421</v>
      </c>
      <c r="BU62" s="58" t="n">
        <f aca="false">AVERAGE(E62:BT62)</f>
        <v>2.00274505966227</v>
      </c>
    </row>
    <row r="63" customFormat="false" ht="11.25" hidden="false" customHeight="true" outlineLevel="0" collapsed="false">
      <c r="B63" s="24" t="s">
        <v>115</v>
      </c>
      <c r="C63" s="25" t="s">
        <v>116</v>
      </c>
      <c r="D63" s="24" t="n">
        <v>26</v>
      </c>
      <c r="E63" s="26" t="n">
        <v>2.37359172396105</v>
      </c>
      <c r="F63" s="26" t="n">
        <v>1.72595167283197</v>
      </c>
      <c r="G63" s="26" t="n">
        <v>1.64380740783064</v>
      </c>
      <c r="H63" s="26" t="n">
        <v>1.4426212790522</v>
      </c>
      <c r="I63" s="26" t="n">
        <v>1.8720897376183</v>
      </c>
      <c r="J63" s="26" t="n">
        <v>1.45253855252252</v>
      </c>
      <c r="K63" s="26" t="n">
        <v>1.59629181622651</v>
      </c>
      <c r="L63" s="26" t="n">
        <v>1.65819456335249</v>
      </c>
      <c r="M63" s="26" t="n">
        <v>1.50207606391496</v>
      </c>
      <c r="N63" s="26" t="n">
        <v>1.75597501813797</v>
      </c>
      <c r="O63" s="26" t="n">
        <v>1.6965314478149</v>
      </c>
      <c r="P63" s="26" t="n">
        <v>1.59128329870401</v>
      </c>
      <c r="Q63" s="26" t="n">
        <v>2.16716330353884</v>
      </c>
      <c r="R63" s="26" t="n">
        <v>1.47306315518188</v>
      </c>
      <c r="S63" s="26" t="n">
        <v>1.76140689876374</v>
      </c>
      <c r="T63" s="26" t="n">
        <v>1.81806784903162</v>
      </c>
      <c r="U63" s="26" t="n">
        <v>2.09030499874866</v>
      </c>
      <c r="V63" s="26" t="n">
        <v>1.60456630186648</v>
      </c>
      <c r="W63" s="26" t="n">
        <v>3.13150245344637</v>
      </c>
      <c r="X63" s="26" t="n">
        <v>1.41303675336399</v>
      </c>
      <c r="Y63" s="26" t="n">
        <v>2.47600861792842</v>
      </c>
      <c r="Z63" s="26" t="n">
        <v>1.74740627996375</v>
      </c>
      <c r="AA63" s="26" t="n">
        <v>1.44763869370361</v>
      </c>
      <c r="AB63" s="26" t="n">
        <v>1.52652423470183</v>
      </c>
      <c r="AC63" s="26" t="n">
        <v>1.86642286836487</v>
      </c>
      <c r="AD63" s="26" t="n">
        <v>1.73396883683643</v>
      </c>
      <c r="AE63" s="26" t="n">
        <v>2.0730601050402</v>
      </c>
      <c r="AF63" s="26" t="n">
        <v>1.87203991576223</v>
      </c>
      <c r="AG63" s="26" t="n">
        <v>1.65751500221598</v>
      </c>
      <c r="AH63" s="26" t="n">
        <v>1.95497519849615</v>
      </c>
      <c r="AI63" s="26" t="n">
        <v>1.69750186382157</v>
      </c>
      <c r="AJ63" s="26" t="n">
        <v>1.87316647763428</v>
      </c>
      <c r="AK63" s="26" t="n">
        <v>1.48150106802692</v>
      </c>
      <c r="AL63" s="26" t="n">
        <v>1.87047490873101</v>
      </c>
      <c r="AM63" s="26" t="n">
        <v>2.1369991233439</v>
      </c>
      <c r="AN63" s="26" t="n">
        <v>1.47358903038199</v>
      </c>
      <c r="AO63" s="26" t="n">
        <v>1.49019316651162</v>
      </c>
      <c r="AP63" s="26" t="n">
        <v>2.5955054434469</v>
      </c>
      <c r="AQ63" s="26" t="n">
        <v>1.41775545503084</v>
      </c>
      <c r="AR63" s="26" t="n">
        <v>1.72908165647402</v>
      </c>
      <c r="AS63" s="26" t="n">
        <v>1.47489097124471</v>
      </c>
      <c r="AT63" s="26" t="n">
        <v>7.51269298613401</v>
      </c>
      <c r="AU63" s="26" t="n">
        <v>2.31372942212851</v>
      </c>
      <c r="AV63" s="26" t="n">
        <v>1.54764850162569</v>
      </c>
      <c r="AW63" s="26" t="n">
        <v>1.39556160466545</v>
      </c>
      <c r="AX63" s="26" t="n">
        <v>1.59114123781981</v>
      </c>
      <c r="AY63" s="26" t="n">
        <v>1.38612669844206</v>
      </c>
      <c r="AZ63" s="26" t="n">
        <v>1.3926153486062</v>
      </c>
      <c r="BA63" s="26" t="n">
        <v>1.41836521009176</v>
      </c>
      <c r="BB63" s="26" t="n">
        <v>2.08882407272507</v>
      </c>
      <c r="BC63" s="26" t="n">
        <v>1.98941959945227</v>
      </c>
      <c r="BD63" s="26" t="n">
        <v>1.55428884294402</v>
      </c>
      <c r="BE63" s="26" t="n">
        <v>2.06467669556969</v>
      </c>
      <c r="BF63" s="26" t="n">
        <v>1.42706276951694</v>
      </c>
      <c r="BG63" s="26" t="n">
        <v>1.81250251871401</v>
      </c>
      <c r="BH63" s="26" t="n">
        <v>1.54386873948568</v>
      </c>
      <c r="BI63" s="26" t="n">
        <v>1.55859106654715</v>
      </c>
      <c r="BJ63" s="26" t="n">
        <v>1.44691760797398</v>
      </c>
      <c r="BK63" s="26" t="n">
        <v>1.56766127266924</v>
      </c>
      <c r="BL63" s="26" t="n">
        <v>1.39226633935775</v>
      </c>
      <c r="BM63" s="26" t="n">
        <v>1.39251660076482</v>
      </c>
      <c r="BN63" s="26" t="n">
        <v>1.38182884657291</v>
      </c>
      <c r="BO63" s="26" t="n">
        <v>1.38530230538985</v>
      </c>
      <c r="BP63" s="26" t="n">
        <v>1.38119050105025</v>
      </c>
      <c r="BQ63" s="26" t="n">
        <v>1.70632462313149</v>
      </c>
      <c r="BR63" s="26" t="n">
        <v>1.44337758417538</v>
      </c>
      <c r="BS63" s="26" t="n">
        <v>1.39512417503883</v>
      </c>
      <c r="BT63" s="26" t="n">
        <v>1.38115026859889</v>
      </c>
      <c r="BU63" s="58" t="n">
        <f aca="false">AVERAGE(E63:BT63)</f>
        <v>1.79172145077591</v>
      </c>
    </row>
    <row r="64" customFormat="false" ht="11.25" hidden="false" customHeight="true" outlineLevel="0" collapsed="false">
      <c r="B64" s="19" t="s">
        <v>117</v>
      </c>
      <c r="C64" s="20" t="s">
        <v>118</v>
      </c>
      <c r="D64" s="19" t="n">
        <v>27</v>
      </c>
      <c r="E64" s="21" t="n">
        <v>2.6604161618652</v>
      </c>
      <c r="F64" s="21" t="n">
        <v>1.93451344489636</v>
      </c>
      <c r="G64" s="21" t="n">
        <v>1.84245928630042</v>
      </c>
      <c r="H64" s="21" t="n">
        <v>1.61680063373063</v>
      </c>
      <c r="I64" s="21" t="n">
        <v>2.09829865366836</v>
      </c>
      <c r="J64" s="21" t="n">
        <v>1.62851209184579</v>
      </c>
      <c r="K64" s="21" t="n">
        <v>1.78924624864633</v>
      </c>
      <c r="L64" s="21" t="n">
        <v>1.85857159587871</v>
      </c>
      <c r="M64" s="21" t="n">
        <v>1.68358629370163</v>
      </c>
      <c r="N64" s="21" t="n">
        <v>1.968167100489</v>
      </c>
      <c r="O64" s="21" t="n">
        <v>1.90154160761934</v>
      </c>
      <c r="P64" s="21" t="n">
        <v>1.7835745792514</v>
      </c>
      <c r="Q64" s="21" t="n">
        <v>2.42903911516587</v>
      </c>
      <c r="R64" s="21" t="n">
        <v>1.65106867358226</v>
      </c>
      <c r="S64" s="21" t="n">
        <v>1.97425562571793</v>
      </c>
      <c r="T64" s="21" t="n">
        <v>2.03776269365572</v>
      </c>
      <c r="U64" s="21" t="n">
        <v>2.34279002322441</v>
      </c>
      <c r="V64" s="21" t="n">
        <v>1.79846293478403</v>
      </c>
      <c r="W64" s="21" t="n">
        <v>3.50983266707377</v>
      </c>
      <c r="X64" s="21" t="n">
        <v>1.58378750474797</v>
      </c>
      <c r="Y64" s="21" t="n">
        <v>2.77505757474643</v>
      </c>
      <c r="Z64" s="21" t="n">
        <v>1.95849809200796</v>
      </c>
      <c r="AA64" s="21" t="n">
        <v>1.62257105371134</v>
      </c>
      <c r="AB64" s="21" t="n">
        <v>1.71098852197266</v>
      </c>
      <c r="AC64" s="21" t="n">
        <v>2.09188943369044</v>
      </c>
      <c r="AD64" s="21" t="n">
        <v>1.93921008242654</v>
      </c>
      <c r="AE64" s="21" t="n">
        <v>2.32891129291843</v>
      </c>
      <c r="AF64" s="21" t="n">
        <v>2.09832138052647</v>
      </c>
      <c r="AG64" s="21" t="n">
        <v>1.85789886007186</v>
      </c>
      <c r="AH64" s="21" t="n">
        <v>2.19121952099653</v>
      </c>
      <c r="AI64" s="21" t="n">
        <v>1.90263355107135</v>
      </c>
      <c r="AJ64" s="21" t="n">
        <v>2.09957456311201</v>
      </c>
      <c r="AK64" s="21" t="n">
        <v>1.66052664616244</v>
      </c>
      <c r="AL64" s="21" t="n">
        <v>2.09651206975874</v>
      </c>
      <c r="AM64" s="21" t="n">
        <v>2.39524065142788</v>
      </c>
      <c r="AN64" s="21" t="n">
        <v>1.65165513073428</v>
      </c>
      <c r="AO64" s="21" t="n">
        <v>1.67039971415892</v>
      </c>
      <c r="AP64" s="21" t="n">
        <v>2.90912866115083</v>
      </c>
      <c r="AQ64" s="21" t="n">
        <v>1.58918167790024</v>
      </c>
      <c r="AR64" s="21" t="n">
        <v>1.93805397060407</v>
      </c>
      <c r="AS64" s="21" t="n">
        <v>1.6531106873534</v>
      </c>
      <c r="AT64" s="21" t="n">
        <v>8.42107242400593</v>
      </c>
      <c r="AU64" s="21" t="n">
        <v>2.59343958136658</v>
      </c>
      <c r="AV64" s="21" t="n">
        <v>1.73467122059374</v>
      </c>
      <c r="AW64" s="21" t="n">
        <v>1.56420174984506</v>
      </c>
      <c r="AX64" s="21" t="n">
        <v>1.78350093844269</v>
      </c>
      <c r="AY64" s="21" t="n">
        <v>1.55362914712764</v>
      </c>
      <c r="AZ64" s="21" t="n">
        <v>1.56090072002132</v>
      </c>
      <c r="BA64" s="21" t="n">
        <v>1.58976127950985</v>
      </c>
      <c r="BB64" s="21" t="n">
        <v>2.3412376282475</v>
      </c>
      <c r="BC64" s="21" t="n">
        <v>2.22980445265022</v>
      </c>
      <c r="BD64" s="21" t="n">
        <v>1.74211574978615</v>
      </c>
      <c r="BE64" s="21" t="n">
        <v>2.31423058104529</v>
      </c>
      <c r="BF64" s="21" t="n">
        <v>1.59951541198791</v>
      </c>
      <c r="BG64" s="21" t="n">
        <v>2.03149227536888</v>
      </c>
      <c r="BH64" s="21" t="n">
        <v>1.73042649114632</v>
      </c>
      <c r="BI64" s="21" t="n">
        <v>1.74693118010217</v>
      </c>
      <c r="BJ64" s="21" t="n">
        <v>1.6217743695784</v>
      </c>
      <c r="BK64" s="21" t="n">
        <v>1.75708902439477</v>
      </c>
      <c r="BL64" s="21" t="n">
        <v>1.56050008310106</v>
      </c>
      <c r="BM64" s="21" t="n">
        <v>1.56079410497021</v>
      </c>
      <c r="BN64" s="21" t="n">
        <v>1.54881012828137</v>
      </c>
      <c r="BO64" s="21" t="n">
        <v>1.55270874615058</v>
      </c>
      <c r="BP64" s="21" t="n">
        <v>1.54809414905015</v>
      </c>
      <c r="BQ64" s="21" t="n">
        <v>1.91251763929519</v>
      </c>
      <c r="BR64" s="21" t="n">
        <v>1.61779585567596</v>
      </c>
      <c r="BS64" s="21" t="n">
        <v>1.5637117207655</v>
      </c>
      <c r="BT64" s="21" t="n">
        <v>1.54804900050623</v>
      </c>
      <c r="BU64" s="58" t="n">
        <f aca="false">AVERAGE(E64:BT64)</f>
        <v>2.00826537831419</v>
      </c>
    </row>
    <row r="65" customFormat="false" ht="11.25" hidden="false" customHeight="true" outlineLevel="0" collapsed="false">
      <c r="B65" s="24" t="s">
        <v>119</v>
      </c>
      <c r="C65" s="25" t="s">
        <v>120</v>
      </c>
      <c r="D65" s="24" t="n">
        <v>28</v>
      </c>
      <c r="E65" s="26" t="n">
        <v>2.53440003673379</v>
      </c>
      <c r="F65" s="26" t="n">
        <v>1.84288425035146</v>
      </c>
      <c r="G65" s="26" t="n">
        <v>1.75516940459111</v>
      </c>
      <c r="H65" s="26" t="n">
        <v>1.54020394893157</v>
      </c>
      <c r="I65" s="26" t="n">
        <v>1.99894051134923</v>
      </c>
      <c r="J65" s="26" t="n">
        <v>1.55096264886646</v>
      </c>
      <c r="K65" s="26" t="n">
        <v>1.70503705813344</v>
      </c>
      <c r="L65" s="26" t="n">
        <v>1.77053833161514</v>
      </c>
      <c r="M65" s="26" t="n">
        <v>1.60384268267845</v>
      </c>
      <c r="N65" s="26" t="n">
        <v>1.87493844487322</v>
      </c>
      <c r="O65" s="26" t="n">
        <v>1.81147310797721</v>
      </c>
      <c r="P65" s="26" t="n">
        <v>1.69909396283061</v>
      </c>
      <c r="Q65" s="26" t="n">
        <v>2.31398483114403</v>
      </c>
      <c r="R65" s="26" t="n">
        <v>1.57286383688677</v>
      </c>
      <c r="S65" s="26" t="n">
        <v>1.88074307337488</v>
      </c>
      <c r="T65" s="26" t="n">
        <v>1.94124169775666</v>
      </c>
      <c r="U65" s="26" t="n">
        <v>2.23181618367035</v>
      </c>
      <c r="V65" s="26" t="n">
        <v>1.7132738936975</v>
      </c>
      <c r="W65" s="26" t="n">
        <v>3.34369030657502</v>
      </c>
      <c r="X65" s="26" t="n">
        <v>1.50877121038789</v>
      </c>
      <c r="Y65" s="26" t="n">
        <v>2.64366920907955</v>
      </c>
      <c r="Z65" s="26" t="n">
        <v>1.86572219598596</v>
      </c>
      <c r="AA65" s="26" t="n">
        <v>1.54571684136841</v>
      </c>
      <c r="AB65" s="26" t="n">
        <v>1.62994583280534</v>
      </c>
      <c r="AC65" s="26" t="n">
        <v>1.99278231875721</v>
      </c>
      <c r="AD65" s="26" t="n">
        <v>1.84735628133541</v>
      </c>
      <c r="AE65" s="26" t="n">
        <v>2.2136564644483</v>
      </c>
      <c r="AF65" s="26" t="n">
        <v>2.00346077037082</v>
      </c>
      <c r="AG65" s="26" t="n">
        <v>1.7698447454982</v>
      </c>
      <c r="AH65" s="26" t="n">
        <v>2.08742812828883</v>
      </c>
      <c r="AI65" s="26" t="n">
        <v>1.81252244998214</v>
      </c>
      <c r="AJ65" s="26" t="n">
        <v>2.0001254598773</v>
      </c>
      <c r="AK65" s="26" t="n">
        <v>1.58187386281753</v>
      </c>
      <c r="AL65" s="26" t="n">
        <v>1.99720350062269</v>
      </c>
      <c r="AM65" s="26" t="n">
        <v>2.28178418222828</v>
      </c>
      <c r="AN65" s="26" t="n">
        <v>1.57342199193323</v>
      </c>
      <c r="AO65" s="26" t="n">
        <v>1.59120325198649</v>
      </c>
      <c r="AP65" s="26" t="n">
        <v>2.77143176510288</v>
      </c>
      <c r="AQ65" s="26" t="n">
        <v>1.51390725763979</v>
      </c>
      <c r="AR65" s="26" t="n">
        <v>1.8463601494068</v>
      </c>
      <c r="AS65" s="26" t="n">
        <v>1.57480447469749</v>
      </c>
      <c r="AT65" s="26" t="n">
        <v>8.0209839189902</v>
      </c>
      <c r="AU65" s="26" t="n">
        <v>2.47036309979834</v>
      </c>
      <c r="AV65" s="26" t="n">
        <v>1.65249981998886</v>
      </c>
      <c r="AW65" s="26" t="n">
        <v>1.49010988170888</v>
      </c>
      <c r="AX65" s="26" t="n">
        <v>1.69895481468978</v>
      </c>
      <c r="AY65" s="26" t="n">
        <v>1.48003731903143</v>
      </c>
      <c r="AZ65" s="26" t="n">
        <v>1.4869682921176</v>
      </c>
      <c r="BA65" s="26" t="n">
        <v>1.51446002705738</v>
      </c>
      <c r="BB65" s="26" t="n">
        <v>2.23033647213618</v>
      </c>
      <c r="BC65" s="26" t="n">
        <v>2.12417924991921</v>
      </c>
      <c r="BD65" s="26" t="n">
        <v>1.65959097109987</v>
      </c>
      <c r="BE65" s="26" t="n">
        <v>2.2045751235389</v>
      </c>
      <c r="BF65" s="26" t="n">
        <v>1.5237391111733</v>
      </c>
      <c r="BG65" s="26" t="n">
        <v>1.93526393876345</v>
      </c>
      <c r="BH65" s="26" t="n">
        <v>1.64846854701152</v>
      </c>
      <c r="BI65" s="26" t="n">
        <v>1.66417485766298</v>
      </c>
      <c r="BJ65" s="26" t="n">
        <v>1.54495271796717</v>
      </c>
      <c r="BK65" s="26" t="n">
        <v>1.67386568355722</v>
      </c>
      <c r="BL65" s="26" t="n">
        <v>1.48658371037286</v>
      </c>
      <c r="BM65" s="26" t="n">
        <v>1.48686264966094</v>
      </c>
      <c r="BN65" s="26" t="n">
        <v>1.47544938838123</v>
      </c>
      <c r="BO65" s="26" t="n">
        <v>1.47916116691345</v>
      </c>
      <c r="BP65" s="26" t="n">
        <v>1.47476731687951</v>
      </c>
      <c r="BQ65" s="26" t="n">
        <v>1.82192936053482</v>
      </c>
      <c r="BR65" s="26" t="n">
        <v>1.54116701037116</v>
      </c>
      <c r="BS65" s="26" t="n">
        <v>1.48964352280368</v>
      </c>
      <c r="BT65" s="26" t="n">
        <v>1.4747243046939</v>
      </c>
      <c r="BU65" s="58" t="n">
        <f aca="false">AVERAGE(E65:BT65)</f>
        <v>1.91311621813943</v>
      </c>
    </row>
    <row r="66" customFormat="false" ht="11.25" hidden="false" customHeight="true" outlineLevel="0" collapsed="false">
      <c r="B66" s="19" t="s">
        <v>121</v>
      </c>
      <c r="C66" s="20" t="s">
        <v>122</v>
      </c>
      <c r="D66" s="19" t="n">
        <v>29</v>
      </c>
      <c r="E66" s="21" t="n">
        <v>2.38224129014305</v>
      </c>
      <c r="F66" s="21" t="n">
        <v>1.73224154491474</v>
      </c>
      <c r="G66" s="21" t="n">
        <v>1.64980077255017</v>
      </c>
      <c r="H66" s="21" t="n">
        <v>1.4477169738362</v>
      </c>
      <c r="I66" s="21" t="n">
        <v>1.87885263274724</v>
      </c>
      <c r="J66" s="21" t="n">
        <v>1.45791688280692</v>
      </c>
      <c r="K66" s="21" t="n">
        <v>1.60213047203018</v>
      </c>
      <c r="L66" s="21" t="n">
        <v>1.66424182827443</v>
      </c>
      <c r="M66" s="21" t="n">
        <v>1.50754937499849</v>
      </c>
      <c r="N66" s="21" t="n">
        <v>1.76237721385799</v>
      </c>
      <c r="O66" s="21" t="n">
        <v>1.70271800199733</v>
      </c>
      <c r="P66" s="21" t="n">
        <v>1.59708531320037</v>
      </c>
      <c r="Q66" s="21" t="n">
        <v>2.1750627313731</v>
      </c>
      <c r="R66" s="21" t="n">
        <v>1.4784349732801</v>
      </c>
      <c r="S66" s="21" t="n">
        <v>1.76782996817258</v>
      </c>
      <c r="T66" s="21" t="n">
        <v>1.8247045048005</v>
      </c>
      <c r="U66" s="21" t="n">
        <v>2.09787763364899</v>
      </c>
      <c r="V66" s="21" t="n">
        <v>1.61041718295077</v>
      </c>
      <c r="W66" s="21" t="n">
        <v>3.14261574436282</v>
      </c>
      <c r="X66" s="21" t="n">
        <v>1.41818542152139</v>
      </c>
      <c r="Y66" s="21" t="n">
        <v>2.48492497921428</v>
      </c>
      <c r="Z66" s="21" t="n">
        <v>1.75372738231261</v>
      </c>
      <c r="AA66" s="21" t="n">
        <v>1.45292289822213</v>
      </c>
      <c r="AB66" s="21" t="n">
        <v>1.5320889131288</v>
      </c>
      <c r="AC66" s="21" t="n">
        <v>1.87316496715185</v>
      </c>
      <c r="AD66" s="21" t="n">
        <v>1.73643887549209</v>
      </c>
      <c r="AE66" s="21" t="n">
        <v>2.08164838818013</v>
      </c>
      <c r="AF66" s="21" t="n">
        <v>1.87894289392507</v>
      </c>
      <c r="AG66" s="21" t="n">
        <v>1.66713085450085</v>
      </c>
      <c r="AH66" s="21" t="n">
        <v>1.96210279370327</v>
      </c>
      <c r="AI66" s="21" t="n">
        <v>1.70368780951314</v>
      </c>
      <c r="AJ66" s="21" t="n">
        <v>1.88000582955074</v>
      </c>
      <c r="AK66" s="21" t="n">
        <v>1.48690245870257</v>
      </c>
      <c r="AL66" s="21" t="n">
        <v>1.87729794320538</v>
      </c>
      <c r="AM66" s="21" t="n">
        <v>2.14479050445028</v>
      </c>
      <c r="AN66" s="21" t="n">
        <v>1.47895930414217</v>
      </c>
      <c r="AO66" s="21" t="n">
        <v>1.49560111496556</v>
      </c>
      <c r="AP66" s="21" t="n">
        <v>2.60479938883988</v>
      </c>
      <c r="AQ66" s="21" t="n">
        <v>1.42293174797527</v>
      </c>
      <c r="AR66" s="21" t="n">
        <v>1.73539139758571</v>
      </c>
      <c r="AS66" s="21" t="n">
        <v>1.48024619384469</v>
      </c>
      <c r="AT66" s="21" t="n">
        <v>7.5406220585747</v>
      </c>
      <c r="AU66" s="21" t="n">
        <v>2.32214510951113</v>
      </c>
      <c r="AV66" s="21" t="n">
        <v>1.55328897650451</v>
      </c>
      <c r="AW66" s="21" t="n">
        <v>1.40064789781432</v>
      </c>
      <c r="AX66" s="21" t="n">
        <v>1.59696968205547</v>
      </c>
      <c r="AY66" s="21" t="n">
        <v>1.39118238694769</v>
      </c>
      <c r="AZ66" s="21" t="n">
        <v>1.39769345537219</v>
      </c>
      <c r="BA66" s="21" t="n">
        <v>1.42353672096478</v>
      </c>
      <c r="BB66" s="21" t="n">
        <v>2.09644157976485</v>
      </c>
      <c r="BC66" s="21" t="n">
        <v>1.99666340110804</v>
      </c>
      <c r="BD66" s="21" t="n">
        <v>1.55995633843162</v>
      </c>
      <c r="BE66" s="21" t="n">
        <v>2.07219327760058</v>
      </c>
      <c r="BF66" s="21" t="n">
        <v>1.43226792034435</v>
      </c>
      <c r="BG66" s="21" t="n">
        <v>1.81905228337745</v>
      </c>
      <c r="BH66" s="21" t="n">
        <v>1.54948912590386</v>
      </c>
      <c r="BI66" s="21" t="n">
        <v>1.56427694372452</v>
      </c>
      <c r="BJ66" s="21" t="n">
        <v>1.45219493598451</v>
      </c>
      <c r="BK66" s="21" t="n">
        <v>1.57336515334511</v>
      </c>
      <c r="BL66" s="21" t="n">
        <v>1.39733536400565</v>
      </c>
      <c r="BM66" s="21" t="n">
        <v>1.39759329213196</v>
      </c>
      <c r="BN66" s="21" t="n">
        <v>1.38686722190415</v>
      </c>
      <c r="BO66" s="21" t="n">
        <v>1.3903552144138</v>
      </c>
      <c r="BP66" s="21" t="n">
        <v>1.38622649782376</v>
      </c>
      <c r="BQ66" s="21" t="n">
        <v>1.71254611140296</v>
      </c>
      <c r="BR66" s="21" t="n">
        <v>1.44864043699647</v>
      </c>
      <c r="BS66" s="21" t="n">
        <v>1.400212139415</v>
      </c>
      <c r="BT66" s="21" t="n">
        <v>1.38618610408293</v>
      </c>
      <c r="BU66" s="58" t="n">
        <f aca="false">AVERAGE(E66:BT66)</f>
        <v>1.79825965778794</v>
      </c>
    </row>
    <row r="67" customFormat="false" ht="11.25" hidden="false" customHeight="true" outlineLevel="0" collapsed="false">
      <c r="B67" s="24" t="s">
        <v>123</v>
      </c>
      <c r="C67" s="25" t="s">
        <v>124</v>
      </c>
      <c r="D67" s="24" t="n">
        <v>30</v>
      </c>
      <c r="E67" s="26" t="n">
        <v>2.56511758049472</v>
      </c>
      <c r="F67" s="26" t="n">
        <v>1.8652267113056</v>
      </c>
      <c r="G67" s="26" t="n">
        <v>1.77645348878811</v>
      </c>
      <c r="H67" s="26" t="n">
        <v>1.55884775721406</v>
      </c>
      <c r="I67" s="26" t="n">
        <v>2.02304577817636</v>
      </c>
      <c r="J67" s="26" t="n">
        <v>1.56974570549636</v>
      </c>
      <c r="K67" s="26" t="n">
        <v>1.72510712841762</v>
      </c>
      <c r="L67" s="26" t="n">
        <v>1.79200606750039</v>
      </c>
      <c r="M67" s="26" t="n">
        <v>1.6232833362132</v>
      </c>
      <c r="N67" s="26" t="n">
        <v>1.89766988833786</v>
      </c>
      <c r="O67" s="26" t="n">
        <v>1.83343709009746</v>
      </c>
      <c r="P67" s="26" t="n">
        <v>1.7196958098242</v>
      </c>
      <c r="Q67" s="26" t="n">
        <v>2.34204211534074</v>
      </c>
      <c r="R67" s="26" t="n">
        <v>1.59193477066085</v>
      </c>
      <c r="S67" s="26" t="n">
        <v>1.90354730940022</v>
      </c>
      <c r="T67" s="26" t="n">
        <v>1.96477744489161</v>
      </c>
      <c r="U67" s="26" t="n">
        <v>2.25897081315147</v>
      </c>
      <c r="V67" s="26" t="n">
        <v>1.7340569681529</v>
      </c>
      <c r="W67" s="26" t="n">
        <v>3.3837228019283</v>
      </c>
      <c r="X67" s="26" t="n">
        <v>1.527058838861</v>
      </c>
      <c r="Y67" s="26" t="n">
        <v>2.67562527120108</v>
      </c>
      <c r="Z67" s="26" t="n">
        <v>1.88835080625071</v>
      </c>
      <c r="AA67" s="26" t="n">
        <v>1.56445818210225</v>
      </c>
      <c r="AB67" s="26" t="n">
        <v>1.64970892877099</v>
      </c>
      <c r="AC67" s="26" t="n">
        <v>2.01701529471708</v>
      </c>
      <c r="AD67" s="26" t="n">
        <v>1.86973671715722</v>
      </c>
      <c r="AE67" s="26" t="n">
        <v>2.24031521368077</v>
      </c>
      <c r="AF67" s="26" t="n">
        <v>2.0231163566463</v>
      </c>
      <c r="AG67" s="26" t="n">
        <v>1.79130064046036</v>
      </c>
      <c r="AH67" s="26" t="n">
        <v>2.11775690638148</v>
      </c>
      <c r="AI67" s="26" t="n">
        <v>1.83456564570425</v>
      </c>
      <c r="AJ67" s="26" t="n">
        <v>2.02431443644351</v>
      </c>
      <c r="AK67" s="26" t="n">
        <v>1.60105535289758</v>
      </c>
      <c r="AL67" s="26" t="n">
        <v>2.02142111108381</v>
      </c>
      <c r="AM67" s="26" t="n">
        <v>2.3094457292087</v>
      </c>
      <c r="AN67" s="26" t="n">
        <v>1.59250031904089</v>
      </c>
      <c r="AO67" s="26" t="n">
        <v>1.61035530624016</v>
      </c>
      <c r="AP67" s="26" t="n">
        <v>2.80461884706816</v>
      </c>
      <c r="AQ67" s="26" t="n">
        <v>1.53213893802492</v>
      </c>
      <c r="AR67" s="26" t="n">
        <v>1.86861105547054</v>
      </c>
      <c r="AS67" s="26" t="n">
        <v>1.5938975097091</v>
      </c>
      <c r="AT67" s="26" t="n">
        <v>8.11796314028596</v>
      </c>
      <c r="AU67" s="26" t="n">
        <v>2.50028658639064</v>
      </c>
      <c r="AV67" s="26" t="n">
        <v>1.67253675238897</v>
      </c>
      <c r="AW67" s="26" t="n">
        <v>1.50818635370448</v>
      </c>
      <c r="AX67" s="26" t="n">
        <v>1.7195543005149</v>
      </c>
      <c r="AY67" s="26" t="n">
        <v>1.4979847531887</v>
      </c>
      <c r="AZ67" s="26" t="n">
        <v>1.50499588362341</v>
      </c>
      <c r="BA67" s="26" t="n">
        <v>1.53282511918238</v>
      </c>
      <c r="BB67" s="26" t="n">
        <v>2.25740937670935</v>
      </c>
      <c r="BC67" s="26" t="n">
        <v>2.1499740807938</v>
      </c>
      <c r="BD67" s="26" t="n">
        <v>1.67972034490723</v>
      </c>
      <c r="BE67" s="26" t="n">
        <v>2.231224423378</v>
      </c>
      <c r="BF67" s="26" t="n">
        <v>1.54221722429507</v>
      </c>
      <c r="BG67" s="26" t="n">
        <v>1.95877564535952</v>
      </c>
      <c r="BH67" s="26" t="n">
        <v>1.6684542015943</v>
      </c>
      <c r="BI67" s="26" t="n">
        <v>1.68440772662443</v>
      </c>
      <c r="BJ67" s="26" t="n">
        <v>1.56367695879328</v>
      </c>
      <c r="BK67" s="26" t="n">
        <v>1.69415397148914</v>
      </c>
      <c r="BL67" s="26" t="n">
        <v>1.50460883674931</v>
      </c>
      <c r="BM67" s="26" t="n">
        <v>1.50489134094488</v>
      </c>
      <c r="BN67" s="26" t="n">
        <v>1.49334038924606</v>
      </c>
      <c r="BO67" s="26" t="n">
        <v>1.49709240983248</v>
      </c>
      <c r="BP67" s="26" t="n">
        <v>1.49264922976239</v>
      </c>
      <c r="BQ67" s="26" t="n">
        <v>1.84402062861378</v>
      </c>
      <c r="BR67" s="26" t="n">
        <v>1.55985619955789</v>
      </c>
      <c r="BS67" s="26" t="n">
        <v>1.50771649005139</v>
      </c>
      <c r="BT67" s="26" t="n">
        <v>1.49260560720236</v>
      </c>
      <c r="BU67" s="58" t="n">
        <f aca="false">AVERAGE(E67:BT67)</f>
        <v>1.9362821168779</v>
      </c>
    </row>
    <row r="68" customFormat="false" ht="11.25" hidden="false" customHeight="true" outlineLevel="0" collapsed="false">
      <c r="B68" s="19" t="s">
        <v>125</v>
      </c>
      <c r="C68" s="20" t="s">
        <v>126</v>
      </c>
      <c r="D68" s="19" t="n">
        <v>31</v>
      </c>
      <c r="E68" s="21" t="n">
        <v>2.43142526042372</v>
      </c>
      <c r="F68" s="21" t="n">
        <v>1.76800400417542</v>
      </c>
      <c r="G68" s="21" t="n">
        <v>1.68385797524392</v>
      </c>
      <c r="H68" s="21" t="n">
        <v>1.47760591176533</v>
      </c>
      <c r="I68" s="21" t="n">
        <v>1.91764604576222</v>
      </c>
      <c r="J68" s="21" t="n">
        <v>1.48795011887686</v>
      </c>
      <c r="K68" s="21" t="n">
        <v>1.63524822692462</v>
      </c>
      <c r="L68" s="21" t="n">
        <v>1.69859960432557</v>
      </c>
      <c r="M68" s="21" t="n">
        <v>1.53867369114321</v>
      </c>
      <c r="N68" s="21" t="n">
        <v>1.79876245468134</v>
      </c>
      <c r="O68" s="21" t="n">
        <v>1.73787119864206</v>
      </c>
      <c r="P68" s="21" t="n">
        <v>1.6300577333165</v>
      </c>
      <c r="Q68" s="21" t="n">
        <v>2.21996941739052</v>
      </c>
      <c r="R68" s="21" t="n">
        <v>1.5089566965592</v>
      </c>
      <c r="S68" s="21" t="n">
        <v>1.80432659703405</v>
      </c>
      <c r="T68" s="21" t="n">
        <v>1.8623672705317</v>
      </c>
      <c r="U68" s="21" t="n">
        <v>2.14117235932866</v>
      </c>
      <c r="V68" s="21" t="n">
        <v>1.6436673408574</v>
      </c>
      <c r="W68" s="21" t="n">
        <v>3.2075628050651</v>
      </c>
      <c r="X68" s="21" t="n">
        <v>1.44746486396998</v>
      </c>
      <c r="Y68" s="21" t="n">
        <v>2.53639777465858</v>
      </c>
      <c r="Z68" s="21" t="n">
        <v>1.78992718278257</v>
      </c>
      <c r="AA68" s="21" t="n">
        <v>1.48291263622299</v>
      </c>
      <c r="AB68" s="21" t="n">
        <v>1.56372057800444</v>
      </c>
      <c r="AC68" s="21" t="n">
        <v>1.9119302864179</v>
      </c>
      <c r="AD68" s="21" t="n">
        <v>1.77229849906244</v>
      </c>
      <c r="AE68" s="21" t="n">
        <v>2.123842866652</v>
      </c>
      <c r="AF68" s="21" t="n">
        <v>1.91810040283999</v>
      </c>
      <c r="AG68" s="21" t="n">
        <v>1.69801092078917</v>
      </c>
      <c r="AH68" s="21" t="n">
        <v>2.00263426935931</v>
      </c>
      <c r="AI68" s="21" t="n">
        <v>1.74269296970449</v>
      </c>
      <c r="AJ68" s="21" t="n">
        <v>1.91884856402</v>
      </c>
      <c r="AK68" s="21" t="n">
        <v>1.51760425884542</v>
      </c>
      <c r="AL68" s="21" t="n">
        <v>1.91606587178273</v>
      </c>
      <c r="AM68" s="21" t="n">
        <v>2.18906982998388</v>
      </c>
      <c r="AN68" s="21" t="n">
        <v>1.50949382554763</v>
      </c>
      <c r="AO68" s="21" t="n">
        <v>1.52646191055689</v>
      </c>
      <c r="AP68" s="21" t="n">
        <v>2.65856337663988</v>
      </c>
      <c r="AQ68" s="21" t="n">
        <v>1.45229954780009</v>
      </c>
      <c r="AR68" s="21" t="n">
        <v>1.77122637215635</v>
      </c>
      <c r="AS68" s="21" t="n">
        <v>1.51080989535755</v>
      </c>
      <c r="AT68" s="21" t="n">
        <v>7.69662575419122</v>
      </c>
      <c r="AU68" s="21" t="n">
        <v>2.37005633797976</v>
      </c>
      <c r="AV68" s="21" t="n">
        <v>1.58535749966772</v>
      </c>
      <c r="AW68" s="21" t="n">
        <v>1.42957004351869</v>
      </c>
      <c r="AX68" s="21" t="n">
        <v>1.62994421806713</v>
      </c>
      <c r="AY68" s="21" t="n">
        <v>1.41990445057903</v>
      </c>
      <c r="AZ68" s="21" t="n">
        <v>1.4265501592867</v>
      </c>
      <c r="BA68" s="21" t="n">
        <v>1.45292753265893</v>
      </c>
      <c r="BB68" s="21" t="n">
        <v>2.13973651185148</v>
      </c>
      <c r="BC68" s="21" t="n">
        <v>2.03790718410784</v>
      </c>
      <c r="BD68" s="21" t="n">
        <v>1.59217661811148</v>
      </c>
      <c r="BE68" s="21" t="n">
        <v>2.11499705094158</v>
      </c>
      <c r="BF68" s="21" t="n">
        <v>1.46184055810585</v>
      </c>
      <c r="BG68" s="21" t="n">
        <v>1.8567399875036</v>
      </c>
      <c r="BH68" s="21" t="n">
        <v>1.58148587397641</v>
      </c>
      <c r="BI68" s="21" t="n">
        <v>1.59659574139797</v>
      </c>
      <c r="BJ68" s="21" t="n">
        <v>1.48217188667768</v>
      </c>
      <c r="BK68" s="21" t="n">
        <v>1.60586669049186</v>
      </c>
      <c r="BL68" s="21" t="n">
        <v>1.42618404710291</v>
      </c>
      <c r="BM68" s="21" t="n">
        <v>1.4264523027711</v>
      </c>
      <c r="BN68" s="21" t="n">
        <v>1.41550016219789</v>
      </c>
      <c r="BO68" s="21" t="n">
        <v>1.41905919207384</v>
      </c>
      <c r="BP68" s="21" t="n">
        <v>1.41484568703066</v>
      </c>
      <c r="BQ68" s="21" t="n">
        <v>1.74790229845059</v>
      </c>
      <c r="BR68" s="21" t="n">
        <v>1.4785491453266</v>
      </c>
      <c r="BS68" s="21" t="n">
        <v>1.42912149923107</v>
      </c>
      <c r="BT68" s="21" t="n">
        <v>1.41480442349149</v>
      </c>
      <c r="BU68" s="58" t="n">
        <f aca="false">AVERAGE(E68:BT68)</f>
        <v>1.83539668047048</v>
      </c>
    </row>
    <row r="69" customFormat="false" ht="11.25" hidden="false" customHeight="true" outlineLevel="0" collapsed="false">
      <c r="B69" s="24" t="s">
        <v>127</v>
      </c>
      <c r="C69" s="25" t="s">
        <v>128</v>
      </c>
      <c r="D69" s="24" t="n">
        <v>32</v>
      </c>
      <c r="E69" s="26" t="n">
        <v>2.73438465011113</v>
      </c>
      <c r="F69" s="26" t="n">
        <v>1.9882950983908</v>
      </c>
      <c r="G69" s="26" t="n">
        <v>1.89366576096207</v>
      </c>
      <c r="H69" s="26" t="n">
        <v>1.6617070250981</v>
      </c>
      <c r="I69" s="26" t="n">
        <v>2.15655830680122</v>
      </c>
      <c r="J69" s="26" t="n">
        <v>1.67336393051138</v>
      </c>
      <c r="K69" s="26" t="n">
        <v>1.83894673054108</v>
      </c>
      <c r="L69" s="26" t="n">
        <v>1.91024340422127</v>
      </c>
      <c r="M69" s="26" t="n">
        <v>1.73039173365365</v>
      </c>
      <c r="N69" s="26" t="n">
        <v>2.02289137113413</v>
      </c>
      <c r="O69" s="26" t="n">
        <v>1.95440947252121</v>
      </c>
      <c r="P69" s="26" t="n">
        <v>1.8331606249883</v>
      </c>
      <c r="Q69" s="26" t="n">
        <v>2.49657265801053</v>
      </c>
      <c r="R69" s="26" t="n">
        <v>1.69697143574605</v>
      </c>
      <c r="S69" s="26" t="n">
        <v>2.0291432350511</v>
      </c>
      <c r="T69" s="26" t="n">
        <v>2.09443351163111</v>
      </c>
      <c r="U69" s="26" t="n">
        <v>2.40793945959236</v>
      </c>
      <c r="V69" s="26" t="n">
        <v>1.84846783982516</v>
      </c>
      <c r="W69" s="26" t="n">
        <v>3.60711955265771</v>
      </c>
      <c r="X69" s="26" t="n">
        <v>1.62781591164579</v>
      </c>
      <c r="Y69" s="26" t="n">
        <v>2.85218357115561</v>
      </c>
      <c r="Z69" s="26" t="n">
        <v>2.01293650256616</v>
      </c>
      <c r="AA69" s="26" t="n">
        <v>1.66768326278539</v>
      </c>
      <c r="AB69" s="26" t="n">
        <v>1.75855771189936</v>
      </c>
      <c r="AC69" s="26" t="n">
        <v>2.1501095510901</v>
      </c>
      <c r="AD69" s="26" t="n">
        <v>1.99311739996756</v>
      </c>
      <c r="AE69" s="26" t="n">
        <v>2.38868204172143</v>
      </c>
      <c r="AF69" s="26" t="n">
        <v>2.15669528002321</v>
      </c>
      <c r="AG69" s="26" t="n">
        <v>1.90965147399933</v>
      </c>
      <c r="AH69" s="26" t="n">
        <v>2.25215668512365</v>
      </c>
      <c r="AI69" s="26" t="n">
        <v>1.95561375282302</v>
      </c>
      <c r="AJ69" s="26" t="n">
        <v>2.16282001188096</v>
      </c>
      <c r="AK69" s="26" t="n">
        <v>1.70669649890221</v>
      </c>
      <c r="AL69" s="26" t="n">
        <v>2.15483382279398</v>
      </c>
      <c r="AM69" s="26" t="n">
        <v>2.46182893970443</v>
      </c>
      <c r="AN69" s="26" t="n">
        <v>1.69758594527287</v>
      </c>
      <c r="AO69" s="26" t="n">
        <v>1.71667279655526</v>
      </c>
      <c r="AP69" s="26" t="n">
        <v>2.98977478258087</v>
      </c>
      <c r="AQ69" s="26" t="n">
        <v>1.6332495523344</v>
      </c>
      <c r="AR69" s="26" t="n">
        <v>1.99191138290438</v>
      </c>
      <c r="AS69" s="26" t="n">
        <v>1.69920535595192</v>
      </c>
      <c r="AT69" s="26" t="n">
        <v>8.65738074637667</v>
      </c>
      <c r="AU69" s="26" t="n">
        <v>2.66536110777693</v>
      </c>
      <c r="AV69" s="26" t="n">
        <v>1.78289397293102</v>
      </c>
      <c r="AW69" s="26" t="n">
        <v>1.60769132993791</v>
      </c>
      <c r="AX69" s="26" t="n">
        <v>1.83300935227031</v>
      </c>
      <c r="AY69" s="26" t="n">
        <v>1.59682541341455</v>
      </c>
      <c r="AZ69" s="26" t="n">
        <v>1.60429791033664</v>
      </c>
      <c r="BA69" s="26" t="n">
        <v>1.63395956902807</v>
      </c>
      <c r="BB69" s="26" t="n">
        <v>2.4063361455132</v>
      </c>
      <c r="BC69" s="26" t="n">
        <v>2.29181692878232</v>
      </c>
      <c r="BD69" s="26" t="n">
        <v>1.79054963401065</v>
      </c>
      <c r="BE69" s="26" t="n">
        <v>2.37851782654443</v>
      </c>
      <c r="BF69" s="26" t="n">
        <v>1.64399441100069</v>
      </c>
      <c r="BG69" s="26" t="n">
        <v>2.08797103906999</v>
      </c>
      <c r="BH69" s="26" t="n">
        <v>1.77856482862011</v>
      </c>
      <c r="BI69" s="26" t="n">
        <v>1.79551332276688</v>
      </c>
      <c r="BJ69" s="26" t="n">
        <v>1.66685287312217</v>
      </c>
      <c r="BK69" s="26" t="n">
        <v>1.80597203691784</v>
      </c>
      <c r="BL69" s="26" t="n">
        <v>1.6038874811122</v>
      </c>
      <c r="BM69" s="26" t="n">
        <v>1.60418254693763</v>
      </c>
      <c r="BN69" s="26" t="n">
        <v>1.59186927751577</v>
      </c>
      <c r="BO69" s="26" t="n">
        <v>1.59587171240168</v>
      </c>
      <c r="BP69" s="26" t="n">
        <v>1.59113339808138</v>
      </c>
      <c r="BQ69" s="26" t="n">
        <v>1.9656885486622</v>
      </c>
      <c r="BR69" s="26" t="n">
        <v>1.66277366159127</v>
      </c>
      <c r="BS69" s="26" t="n">
        <v>1.60718739139034</v>
      </c>
      <c r="BT69" s="26" t="n">
        <v>1.59108700366162</v>
      </c>
      <c r="BU69" s="58" t="n">
        <f aca="false">AVERAGE(E69:BT69)</f>
        <v>2.0641123162486</v>
      </c>
    </row>
    <row r="70" customFormat="false" ht="11.25" hidden="false" customHeight="true" outlineLevel="0" collapsed="false">
      <c r="B70" s="19" t="s">
        <v>129</v>
      </c>
      <c r="C70" s="20" t="s">
        <v>130</v>
      </c>
      <c r="D70" s="19" t="n">
        <v>33</v>
      </c>
      <c r="E70" s="21" t="n">
        <v>2.03237492090705</v>
      </c>
      <c r="F70" s="21" t="n">
        <v>1.47784487789662</v>
      </c>
      <c r="G70" s="21" t="n">
        <v>1.40751012214249</v>
      </c>
      <c r="H70" s="21" t="n">
        <v>1.23510234892172</v>
      </c>
      <c r="I70" s="21" t="n">
        <v>1.60290597057772</v>
      </c>
      <c r="J70" s="21" t="n">
        <v>1.24375650040616</v>
      </c>
      <c r="K70" s="21" t="n">
        <v>1.3668363148458</v>
      </c>
      <c r="L70" s="21" t="n">
        <v>1.41983094910901</v>
      </c>
      <c r="M70" s="21" t="n">
        <v>1.28615080954892</v>
      </c>
      <c r="N70" s="21" t="n">
        <v>1.50354520455345</v>
      </c>
      <c r="O70" s="21" t="n">
        <v>1.45265784598816</v>
      </c>
      <c r="P70" s="21" t="n">
        <v>1.36253877985202</v>
      </c>
      <c r="Q70" s="21" t="n">
        <v>1.85565158906939</v>
      </c>
      <c r="R70" s="21" t="n">
        <v>1.26131219944403</v>
      </c>
      <c r="S70" s="21" t="n">
        <v>1.50820712278081</v>
      </c>
      <c r="T70" s="21" t="n">
        <v>1.55672592968732</v>
      </c>
      <c r="U70" s="21" t="n">
        <v>1.78975446175722</v>
      </c>
      <c r="V70" s="21" t="n">
        <v>1.37391002685988</v>
      </c>
      <c r="W70" s="21" t="n">
        <v>2.68104211541868</v>
      </c>
      <c r="X70" s="21" t="n">
        <v>1.20991084401062</v>
      </c>
      <c r="Y70" s="21" t="n">
        <v>2.11997091088338</v>
      </c>
      <c r="Z70" s="21" t="n">
        <v>1.49616593785964</v>
      </c>
      <c r="AA70" s="21" t="n">
        <v>1.23953976879667</v>
      </c>
      <c r="AB70" s="21" t="n">
        <v>1.30708736022039</v>
      </c>
      <c r="AC70" s="21" t="n">
        <v>1.59822759817574</v>
      </c>
      <c r="AD70" s="21" t="n">
        <v>1.4814543634117</v>
      </c>
      <c r="AE70" s="21" t="n">
        <v>1.77532689509282</v>
      </c>
      <c r="AF70" s="21" t="n">
        <v>1.60299648813655</v>
      </c>
      <c r="AG70" s="21" t="n">
        <v>1.41932892615436</v>
      </c>
      <c r="AH70" s="21" t="n">
        <v>1.67395578288462</v>
      </c>
      <c r="AI70" s="21" t="n">
        <v>1.45350496273112</v>
      </c>
      <c r="AJ70" s="21" t="n">
        <v>1.60393039845382</v>
      </c>
      <c r="AK70" s="21" t="n">
        <v>1.271167582701</v>
      </c>
      <c r="AL70" s="21" t="n">
        <v>1.60238654222566</v>
      </c>
      <c r="AM70" s="21" t="n">
        <v>1.82980837140819</v>
      </c>
      <c r="AN70" s="21" t="n">
        <v>1.26176609362781</v>
      </c>
      <c r="AO70" s="21" t="n">
        <v>1.27592378973437</v>
      </c>
      <c r="AP70" s="21" t="n">
        <v>2.22217810663944</v>
      </c>
      <c r="AQ70" s="21" t="n">
        <v>1.21394467855576</v>
      </c>
      <c r="AR70" s="21" t="n">
        <v>1.48053280168039</v>
      </c>
      <c r="AS70" s="21" t="n">
        <v>1.26286633179108</v>
      </c>
      <c r="AT70" s="21" t="n">
        <v>6.43022841596722</v>
      </c>
      <c r="AU70" s="21" t="n">
        <v>1.98107919025124</v>
      </c>
      <c r="AV70" s="21" t="n">
        <v>1.32517439503406</v>
      </c>
      <c r="AW70" s="21" t="n">
        <v>1.19495076766973</v>
      </c>
      <c r="AX70" s="21" t="n">
        <v>1.36245173887926</v>
      </c>
      <c r="AY70" s="21" t="n">
        <v>1.18687222013411</v>
      </c>
      <c r="AZ70" s="21" t="n">
        <v>1.19243132816893</v>
      </c>
      <c r="BA70" s="21" t="n">
        <v>1.21447838365496</v>
      </c>
      <c r="BB70" s="21" t="n">
        <v>1.7885817856552</v>
      </c>
      <c r="BC70" s="21" t="n">
        <v>1.70346567940096</v>
      </c>
      <c r="BD70" s="21" t="n">
        <v>1.33086919396935</v>
      </c>
      <c r="BE70" s="21" t="n">
        <v>1.76784502272804</v>
      </c>
      <c r="BF70" s="21" t="n">
        <v>1.22190970170633</v>
      </c>
      <c r="BG70" s="21" t="n">
        <v>1.55191177990248</v>
      </c>
      <c r="BH70" s="21" t="n">
        <v>1.32195440302248</v>
      </c>
      <c r="BI70" s="21" t="n">
        <v>1.33458897073982</v>
      </c>
      <c r="BJ70" s="21" t="n">
        <v>1.23892536298278</v>
      </c>
      <c r="BK70" s="21" t="n">
        <v>1.34229347607829</v>
      </c>
      <c r="BL70" s="21" t="n">
        <v>1.19212564739349</v>
      </c>
      <c r="BM70" s="21" t="n">
        <v>1.19234768323482</v>
      </c>
      <c r="BN70" s="21" t="n">
        <v>1.18319464121053</v>
      </c>
      <c r="BO70" s="21" t="n">
        <v>1.18616820105186</v>
      </c>
      <c r="BP70" s="21" t="n">
        <v>1.18264674305076</v>
      </c>
      <c r="BQ70" s="21" t="n">
        <v>1.46104298617987</v>
      </c>
      <c r="BR70" s="21" t="n">
        <v>1.23589596342654</v>
      </c>
      <c r="BS70" s="21" t="n">
        <v>1.19457587189706</v>
      </c>
      <c r="BT70" s="21" t="n">
        <v>1.18261214049887</v>
      </c>
      <c r="BU70" s="58" t="n">
        <f aca="false">AVERAGE(E70:BT70)</f>
        <v>1.53412138704163</v>
      </c>
    </row>
    <row r="71" customFormat="false" ht="11.25" hidden="false" customHeight="true" outlineLevel="0" collapsed="false">
      <c r="B71" s="24" t="s">
        <v>131</v>
      </c>
      <c r="C71" s="25" t="s">
        <v>132</v>
      </c>
      <c r="D71" s="24" t="n">
        <v>34</v>
      </c>
      <c r="E71" s="26" t="n">
        <v>2.30162989564951</v>
      </c>
      <c r="F71" s="26" t="n">
        <v>1.67362966121424</v>
      </c>
      <c r="G71" s="26" t="n">
        <v>1.59397762008427</v>
      </c>
      <c r="H71" s="26" t="n">
        <v>1.39873144516672</v>
      </c>
      <c r="I71" s="26" t="n">
        <v>1.81526829029658</v>
      </c>
      <c r="J71" s="26" t="n">
        <v>1.40854646096192</v>
      </c>
      <c r="K71" s="26" t="n">
        <v>1.54794143655248</v>
      </c>
      <c r="L71" s="26" t="n">
        <v>1.60792965657517</v>
      </c>
      <c r="M71" s="26" t="n">
        <v>1.45653993367466</v>
      </c>
      <c r="N71" s="26" t="n">
        <v>1.7027352627632</v>
      </c>
      <c r="O71" s="26" t="n">
        <v>1.64510501667172</v>
      </c>
      <c r="P71" s="26" t="n">
        <v>1.54304766488838</v>
      </c>
      <c r="Q71" s="26" t="n">
        <v>2.10154532015118</v>
      </c>
      <c r="R71" s="26" t="n">
        <v>1.42841149971935</v>
      </c>
      <c r="S71" s="26" t="n">
        <v>1.7080142377968</v>
      </c>
      <c r="T71" s="26" t="n">
        <v>1.76295894119525</v>
      </c>
      <c r="U71" s="26" t="n">
        <v>2.02688007620462</v>
      </c>
      <c r="V71" s="26" t="n">
        <v>1.55592236814452</v>
      </c>
      <c r="W71" s="26" t="n">
        <v>3.03623226364581</v>
      </c>
      <c r="X71" s="26" t="n">
        <v>1.37019968089825</v>
      </c>
      <c r="Y71" s="26" t="n">
        <v>2.40088730957618</v>
      </c>
      <c r="Z71" s="26" t="n">
        <v>1.69437759274075</v>
      </c>
      <c r="AA71" s="26" t="n">
        <v>1.40375404874087</v>
      </c>
      <c r="AB71" s="26" t="n">
        <v>1.48025024018313</v>
      </c>
      <c r="AC71" s="26" t="n">
        <v>1.8099194942909</v>
      </c>
      <c r="AD71" s="26" t="n">
        <v>1.6776845115612</v>
      </c>
      <c r="AE71" s="26" t="n">
        <v>2.01072279360995</v>
      </c>
      <c r="AF71" s="26" t="n">
        <v>1.81554861040016</v>
      </c>
      <c r="AG71" s="26" t="n">
        <v>1.60737192917443</v>
      </c>
      <c r="AH71" s="26" t="n">
        <v>1.89571778134497</v>
      </c>
      <c r="AI71" s="26" t="n">
        <v>1.64607951679764</v>
      </c>
      <c r="AJ71" s="26" t="n">
        <v>1.81639399837393</v>
      </c>
      <c r="AK71" s="26" t="n">
        <v>1.43659770326489</v>
      </c>
      <c r="AL71" s="26" t="n">
        <v>1.81785494637643</v>
      </c>
      <c r="AM71" s="26" t="n">
        <v>2.07222093844401</v>
      </c>
      <c r="AN71" s="26" t="n">
        <v>1.42893217381622</v>
      </c>
      <c r="AO71" s="26" t="n">
        <v>1.4449836001315</v>
      </c>
      <c r="AP71" s="26" t="n">
        <v>2.51665832021563</v>
      </c>
      <c r="AQ71" s="26" t="n">
        <v>1.37478166254096</v>
      </c>
      <c r="AR71" s="26" t="n">
        <v>1.67667529720076</v>
      </c>
      <c r="AS71" s="26" t="n">
        <v>1.4301546715033</v>
      </c>
      <c r="AT71" s="26" t="n">
        <v>7.28231588860061</v>
      </c>
      <c r="AU71" s="26" t="n">
        <v>2.24347576287914</v>
      </c>
      <c r="AV71" s="26" t="n">
        <v>1.50073310320354</v>
      </c>
      <c r="AW71" s="26" t="n">
        <v>1.35325650597354</v>
      </c>
      <c r="AX71" s="26" t="n">
        <v>1.54291870408746</v>
      </c>
      <c r="AY71" s="26" t="n">
        <v>1.3441089567957</v>
      </c>
      <c r="AZ71" s="26" t="n">
        <v>1.35040021958932</v>
      </c>
      <c r="BA71" s="26" t="n">
        <v>1.37536994160023</v>
      </c>
      <c r="BB71" s="26" t="n">
        <v>2.02549942143518</v>
      </c>
      <c r="BC71" s="26" t="n">
        <v>1.92915582048908</v>
      </c>
      <c r="BD71" s="26" t="n">
        <v>1.50717001116242</v>
      </c>
      <c r="BE71" s="26" t="n">
        <v>2.0020335153605</v>
      </c>
      <c r="BF71" s="26" t="n">
        <v>1.38378985604415</v>
      </c>
      <c r="BG71" s="26" t="n">
        <v>1.75749690918512</v>
      </c>
      <c r="BH71" s="26" t="n">
        <v>1.4970746159709</v>
      </c>
      <c r="BI71" s="26" t="n">
        <v>1.51133077507381</v>
      </c>
      <c r="BJ71" s="26" t="n">
        <v>1.40305609093095</v>
      </c>
      <c r="BK71" s="26" t="n">
        <v>1.52010887015747</v>
      </c>
      <c r="BL71" s="26" t="n">
        <v>1.35005575118469</v>
      </c>
      <c r="BM71" s="26" t="n">
        <v>1.35030279051249</v>
      </c>
      <c r="BN71" s="26" t="n">
        <v>1.33994307394718</v>
      </c>
      <c r="BO71" s="26" t="n">
        <v>1.34330996199487</v>
      </c>
      <c r="BP71" s="26" t="n">
        <v>1.33932346699056</v>
      </c>
      <c r="BQ71" s="26" t="n">
        <v>1.65460170341538</v>
      </c>
      <c r="BR71" s="26" t="n">
        <v>1.39962477849781</v>
      </c>
      <c r="BS71" s="26" t="n">
        <v>1.35283288205903</v>
      </c>
      <c r="BT71" s="26" t="n">
        <v>1.33928437022726</v>
      </c>
      <c r="BU71" s="58" t="n">
        <f aca="false">AVERAGE(E71:BT71)</f>
        <v>1.73737334735163</v>
      </c>
    </row>
    <row r="72" customFormat="false" ht="11.25" hidden="false" customHeight="true" outlineLevel="0" collapsed="false">
      <c r="B72" s="19" t="s">
        <v>133</v>
      </c>
      <c r="C72" s="20" t="s">
        <v>134</v>
      </c>
      <c r="D72" s="19" t="n">
        <v>35</v>
      </c>
      <c r="E72" s="21" t="n">
        <v>2.74472304030369</v>
      </c>
      <c r="F72" s="21" t="n">
        <v>1.99582935518633</v>
      </c>
      <c r="G72" s="21" t="n">
        <v>1.90084143474234</v>
      </c>
      <c r="H72" s="21" t="n">
        <v>1.66800328582811</v>
      </c>
      <c r="I72" s="21" t="n">
        <v>2.1647092958557</v>
      </c>
      <c r="J72" s="21" t="n">
        <v>1.67967951259533</v>
      </c>
      <c r="K72" s="21" t="n">
        <v>1.84591504152552</v>
      </c>
      <c r="L72" s="21" t="n">
        <v>1.91748140264643</v>
      </c>
      <c r="M72" s="21" t="n">
        <v>1.73694599164534</v>
      </c>
      <c r="N72" s="21" t="n">
        <v>2.03054008735819</v>
      </c>
      <c r="O72" s="21" t="n">
        <v>1.9618139661753</v>
      </c>
      <c r="P72" s="21" t="n">
        <v>1.84010850759152</v>
      </c>
      <c r="Q72" s="21" t="n">
        <v>2.50604456925123</v>
      </c>
      <c r="R72" s="21" t="n">
        <v>1.70340172048685</v>
      </c>
      <c r="S72" s="21" t="n">
        <v>2.03683342494423</v>
      </c>
      <c r="T72" s="21" t="n">
        <v>2.10237700474798</v>
      </c>
      <c r="U72" s="21" t="n">
        <v>2.41704934033625</v>
      </c>
      <c r="V72" s="21" t="n">
        <v>1.85546279887118</v>
      </c>
      <c r="W72" s="21" t="n">
        <v>3.62068660575843</v>
      </c>
      <c r="X72" s="21" t="n">
        <v>1.6339836697433</v>
      </c>
      <c r="Y72" s="21" t="n">
        <v>2.86303047758157</v>
      </c>
      <c r="Z72" s="21" t="n">
        <v>2.02056875433127</v>
      </c>
      <c r="AA72" s="21" t="n">
        <v>1.67399853928752</v>
      </c>
      <c r="AB72" s="21" t="n">
        <v>1.76522108194846</v>
      </c>
      <c r="AC72" s="21" t="n">
        <v>2.15826250615038</v>
      </c>
      <c r="AD72" s="21" t="n">
        <v>2.00067512962176</v>
      </c>
      <c r="AE72" s="21" t="n">
        <v>2.39742043777397</v>
      </c>
      <c r="AF72" s="21" t="n">
        <v>2.16487858166268</v>
      </c>
      <c r="AG72" s="21" t="n">
        <v>1.91691409330292</v>
      </c>
      <c r="AH72" s="21" t="n">
        <v>2.2606743793653</v>
      </c>
      <c r="AI72" s="21" t="n">
        <v>1.96296009423178</v>
      </c>
      <c r="AJ72" s="21" t="n">
        <v>2.16612144220383</v>
      </c>
      <c r="AK72" s="21" t="n">
        <v>1.71316487457868</v>
      </c>
      <c r="AL72" s="21" t="n">
        <v>2.16296442120145</v>
      </c>
      <c r="AM72" s="21" t="n">
        <v>2.47730779122966</v>
      </c>
      <c r="AN72" s="21" t="n">
        <v>1.70401241936963</v>
      </c>
      <c r="AO72" s="21" t="n">
        <v>1.72315231386073</v>
      </c>
      <c r="AP72" s="21" t="n">
        <v>3.00105076645883</v>
      </c>
      <c r="AQ72" s="21" t="n">
        <v>1.63943537616465</v>
      </c>
      <c r="AR72" s="21" t="n">
        <v>1.99948626592993</v>
      </c>
      <c r="AS72" s="21" t="n">
        <v>1.70548070347608</v>
      </c>
      <c r="AT72" s="21" t="n">
        <v>8.68490354929588</v>
      </c>
      <c r="AU72" s="21" t="n">
        <v>2.67536196637025</v>
      </c>
      <c r="AV72" s="21" t="n">
        <v>1.78965594662489</v>
      </c>
      <c r="AW72" s="21" t="n">
        <v>1.61377833112289</v>
      </c>
      <c r="AX72" s="21" t="n">
        <v>1.83995634084704</v>
      </c>
      <c r="AY72" s="21" t="n">
        <v>1.60287171616981</v>
      </c>
      <c r="AZ72" s="21" t="n">
        <v>1.61037324964633</v>
      </c>
      <c r="BA72" s="21" t="n">
        <v>1.64015074120543</v>
      </c>
      <c r="BB72" s="21" t="n">
        <v>2.41544885920091</v>
      </c>
      <c r="BC72" s="21" t="n">
        <v>2.30049055282448</v>
      </c>
      <c r="BD72" s="21" t="n">
        <v>1.79732566062043</v>
      </c>
      <c r="BE72" s="21" t="n">
        <v>2.38748282335483</v>
      </c>
      <c r="BF72" s="21" t="n">
        <v>1.6501909853924</v>
      </c>
      <c r="BG72" s="21" t="n">
        <v>2.09581265983215</v>
      </c>
      <c r="BH72" s="21" t="n">
        <v>1.78526436101256</v>
      </c>
      <c r="BI72" s="21" t="n">
        <v>1.80230582474471</v>
      </c>
      <c r="BJ72" s="21" t="n">
        <v>1.67317763503567</v>
      </c>
      <c r="BK72" s="21" t="n">
        <v>1.81275071994067</v>
      </c>
      <c r="BL72" s="21" t="n">
        <v>1.60996115806189</v>
      </c>
      <c r="BM72" s="21" t="n">
        <v>1.61025681729325</v>
      </c>
      <c r="BN72" s="21" t="n">
        <v>1.59790235106874</v>
      </c>
      <c r="BO72" s="21" t="n">
        <v>1.60191727778701</v>
      </c>
      <c r="BP72" s="21" t="n">
        <v>1.59716413669755</v>
      </c>
      <c r="BQ72" s="21" t="n">
        <v>1.97313843009829</v>
      </c>
      <c r="BR72" s="21" t="n">
        <v>1.66907512253829</v>
      </c>
      <c r="BS72" s="21" t="n">
        <v>1.61327247371702</v>
      </c>
      <c r="BT72" s="21" t="n">
        <v>1.59711757772518</v>
      </c>
      <c r="BU72" s="58" t="n">
        <f aca="false">AVERAGE(E72:BT72)</f>
        <v>2.07185761431695</v>
      </c>
    </row>
    <row r="73" customFormat="false" ht="11.25" hidden="false" customHeight="true" outlineLevel="0" collapsed="false">
      <c r="B73" s="24" t="s">
        <v>135</v>
      </c>
      <c r="C73" s="25" t="s">
        <v>136</v>
      </c>
      <c r="D73" s="24" t="n">
        <v>36</v>
      </c>
      <c r="E73" s="26" t="n">
        <v>1.98433503006621</v>
      </c>
      <c r="F73" s="26" t="n">
        <v>1.44290472166243</v>
      </c>
      <c r="G73" s="26" t="n">
        <v>1.37426302342096</v>
      </c>
      <c r="H73" s="26" t="n">
        <v>1.2058989837658</v>
      </c>
      <c r="I73" s="26" t="n">
        <v>1.56500179302017</v>
      </c>
      <c r="J73" s="26" t="n">
        <v>1.21433168768674</v>
      </c>
      <c r="K73" s="26" t="n">
        <v>1.33452028929579</v>
      </c>
      <c r="L73" s="26" t="n">
        <v>1.38626033499713</v>
      </c>
      <c r="M73" s="26" t="n">
        <v>1.25574056245706</v>
      </c>
      <c r="N73" s="26" t="n">
        <v>1.46800162236894</v>
      </c>
      <c r="O73" s="26" t="n">
        <v>1.41831015870203</v>
      </c>
      <c r="P73" s="26" t="n">
        <v>1.33032237363183</v>
      </c>
      <c r="Q73" s="26" t="n">
        <v>1.81183204271675</v>
      </c>
      <c r="R73" s="26" t="n">
        <v>1.23148995279741</v>
      </c>
      <c r="S73" s="26" t="n">
        <v>1.4725476376758</v>
      </c>
      <c r="T73" s="26" t="n">
        <v>1.52023179413221</v>
      </c>
      <c r="U73" s="26" t="n">
        <v>1.74747725678258</v>
      </c>
      <c r="V73" s="26" t="n">
        <v>1.34142544596675</v>
      </c>
      <c r="W73" s="26" t="n">
        <v>2.617635696814</v>
      </c>
      <c r="X73" s="26" t="n">
        <v>1.18130314057029</v>
      </c>
      <c r="Y73" s="26" t="n">
        <v>2.06993436843446</v>
      </c>
      <c r="Z73" s="26" t="n">
        <v>1.46080920553896</v>
      </c>
      <c r="AA73" s="26" t="n">
        <v>1.21023265896599</v>
      </c>
      <c r="AB73" s="26" t="n">
        <v>1.27618284323566</v>
      </c>
      <c r="AC73" s="26" t="n">
        <v>1.56036008823755</v>
      </c>
      <c r="AD73" s="26" t="n">
        <v>1.44641130507869</v>
      </c>
      <c r="AE73" s="26" t="n">
        <v>1.73315215993628</v>
      </c>
      <c r="AF73" s="26" t="n">
        <v>1.56512403230306</v>
      </c>
      <c r="AG73" s="26" t="n">
        <v>1.38573191136475</v>
      </c>
      <c r="AH73" s="26" t="n">
        <v>1.63437104656241</v>
      </c>
      <c r="AI73" s="26" t="n">
        <v>1.41912200553823</v>
      </c>
      <c r="AJ73" s="26" t="n">
        <v>1.56596900000867</v>
      </c>
      <c r="AK73" s="26" t="n">
        <v>1.23854323310482</v>
      </c>
      <c r="AL73" s="26" t="n">
        <v>1.56372281930405</v>
      </c>
      <c r="AM73" s="26" t="n">
        <v>1.7865429831164</v>
      </c>
      <c r="AN73" s="26" t="n">
        <v>1.23446890922324</v>
      </c>
      <c r="AO73" s="26" t="n">
        <v>1.24576432560913</v>
      </c>
      <c r="AP73" s="26" t="n">
        <v>2.16964693463008</v>
      </c>
      <c r="AQ73" s="26" t="n">
        <v>1.18523810177604</v>
      </c>
      <c r="AR73" s="26" t="n">
        <v>1.44552004504371</v>
      </c>
      <c r="AS73" s="26" t="n">
        <v>1.23299398973042</v>
      </c>
      <c r="AT73" s="26" t="n">
        <v>6.27978878672904</v>
      </c>
      <c r="AU73" s="26" t="n">
        <v>1.934199640637</v>
      </c>
      <c r="AV73" s="26" t="n">
        <v>1.29383989306942</v>
      </c>
      <c r="AW73" s="26" t="n">
        <v>1.16669473107048</v>
      </c>
      <c r="AX73" s="26" t="n">
        <v>1.33019894175821</v>
      </c>
      <c r="AY73" s="26" t="n">
        <v>1.15881008048715</v>
      </c>
      <c r="AZ73" s="26" t="n">
        <v>1.16423339871294</v>
      </c>
      <c r="BA73" s="26" t="n">
        <v>1.18576117237601</v>
      </c>
      <c r="BB73" s="26" t="n">
        <v>1.74626779847782</v>
      </c>
      <c r="BC73" s="26" t="n">
        <v>1.66316294388155</v>
      </c>
      <c r="BD73" s="26" t="n">
        <v>1.29939162338087</v>
      </c>
      <c r="BE73" s="26" t="n">
        <v>1.72601958405155</v>
      </c>
      <c r="BF73" s="26" t="n">
        <v>1.19302698877721</v>
      </c>
      <c r="BG73" s="26" t="n">
        <v>1.51519160411607</v>
      </c>
      <c r="BH73" s="26" t="n">
        <v>1.29066868496394</v>
      </c>
      <c r="BI73" s="26" t="n">
        <v>1.30298870368238</v>
      </c>
      <c r="BJ73" s="26" t="n">
        <v>1.20962567479788</v>
      </c>
      <c r="BK73" s="26" t="n">
        <v>1.31054501367001</v>
      </c>
      <c r="BL73" s="26" t="n">
        <v>1.16393222830956</v>
      </c>
      <c r="BM73" s="26" t="n">
        <v>1.16414821742128</v>
      </c>
      <c r="BN73" s="26" t="n">
        <v>1.15521693260321</v>
      </c>
      <c r="BO73" s="26" t="n">
        <v>1.15811983230408</v>
      </c>
      <c r="BP73" s="26" t="n">
        <v>1.15468355945059</v>
      </c>
      <c r="BQ73" s="26" t="n">
        <v>1.42649756177034</v>
      </c>
      <c r="BR73" s="26" t="n">
        <v>1.20667217211221</v>
      </c>
      <c r="BS73" s="26" t="n">
        <v>1.16633016931111</v>
      </c>
      <c r="BT73" s="26" t="n">
        <v>1.15464993600901</v>
      </c>
      <c r="BU73" s="58" t="n">
        <f aca="false">AVERAGE(E73:BT73)</f>
        <v>1.49785796160595</v>
      </c>
    </row>
    <row r="74" customFormat="false" ht="11.25" hidden="false" customHeight="true" outlineLevel="0" collapsed="false">
      <c r="B74" s="19" t="s">
        <v>137</v>
      </c>
      <c r="C74" s="20" t="s">
        <v>138</v>
      </c>
      <c r="D74" s="19" t="n">
        <v>37</v>
      </c>
      <c r="E74" s="21" t="n">
        <v>1.88447523986117</v>
      </c>
      <c r="F74" s="21" t="n">
        <v>1.37029983756754</v>
      </c>
      <c r="G74" s="21" t="n">
        <v>1.30508087281714</v>
      </c>
      <c r="H74" s="21" t="n">
        <v>1.14522005993364</v>
      </c>
      <c r="I74" s="21" t="n">
        <v>1.48624296109061</v>
      </c>
      <c r="J74" s="21" t="n">
        <v>1.15323554389129</v>
      </c>
      <c r="K74" s="21" t="n">
        <v>1.26737451666834</v>
      </c>
      <c r="L74" s="21" t="n">
        <v>1.31650782888966</v>
      </c>
      <c r="M74" s="21" t="n">
        <v>1.19255697135075</v>
      </c>
      <c r="N74" s="21" t="n">
        <v>1.39413110702166</v>
      </c>
      <c r="O74" s="21" t="n">
        <v>1.34694654241877</v>
      </c>
      <c r="P74" s="21" t="n">
        <v>1.26338505905769</v>
      </c>
      <c r="Q74" s="21" t="n">
        <v>1.72059595646601</v>
      </c>
      <c r="R74" s="21" t="n">
        <v>1.16952469188782</v>
      </c>
      <c r="S74" s="21" t="n">
        <v>1.39845277620075</v>
      </c>
      <c r="T74" s="21" t="n">
        <v>1.44343701676873</v>
      </c>
      <c r="U74" s="21" t="n">
        <v>1.65949522462524</v>
      </c>
      <c r="V74" s="21" t="n">
        <v>1.2739247468407</v>
      </c>
      <c r="W74" s="21" t="n">
        <v>2.48586389849114</v>
      </c>
      <c r="X74" s="21" t="n">
        <v>1.1218632842298</v>
      </c>
      <c r="Y74" s="21" t="n">
        <v>1.96567859470275</v>
      </c>
      <c r="Z74" s="21" t="n">
        <v>1.38730546553802</v>
      </c>
      <c r="AA74" s="21" t="n">
        <v>1.14933680937275</v>
      </c>
      <c r="AB74" s="21" t="n">
        <v>1.21196892886802</v>
      </c>
      <c r="AC74" s="21" t="n">
        <v>1.48181126454388</v>
      </c>
      <c r="AD74" s="21" t="n">
        <v>1.37362382250381</v>
      </c>
      <c r="AE74" s="21" t="n">
        <v>1.64600271243931</v>
      </c>
      <c r="AF74" s="21" t="n">
        <v>1.48639073932857</v>
      </c>
      <c r="AG74" s="21" t="n">
        <v>1.31610058049469</v>
      </c>
      <c r="AH74" s="21" t="n">
        <v>1.55215747187832</v>
      </c>
      <c r="AI74" s="21" t="n">
        <v>1.34780462624617</v>
      </c>
      <c r="AJ74" s="21" t="n">
        <v>1.48759301056747</v>
      </c>
      <c r="AK74" s="21" t="n">
        <v>1.17622665616479</v>
      </c>
      <c r="AL74" s="21" t="n">
        <v>1.48506178776595</v>
      </c>
      <c r="AM74" s="21" t="n">
        <v>1.69672745196851</v>
      </c>
      <c r="AN74" s="21" t="n">
        <v>1.16994454982001</v>
      </c>
      <c r="AO74" s="21" t="n">
        <v>1.18545920219285</v>
      </c>
      <c r="AP74" s="21" t="n">
        <v>2.06043967282524</v>
      </c>
      <c r="AQ74" s="21" t="n">
        <v>1.12559914515423</v>
      </c>
      <c r="AR74" s="21" t="n">
        <v>1.37278502278973</v>
      </c>
      <c r="AS74" s="21" t="n">
        <v>1.17096286728119</v>
      </c>
      <c r="AT74" s="21" t="n">
        <v>5.96243443778171</v>
      </c>
      <c r="AU74" s="21" t="n">
        <v>1.83675160966995</v>
      </c>
      <c r="AV74" s="21" t="n">
        <v>1.22873729752168</v>
      </c>
      <c r="AW74" s="21" t="n">
        <v>1.10798998100318</v>
      </c>
      <c r="AX74" s="21" t="n">
        <v>1.26325789980987</v>
      </c>
      <c r="AY74" s="21" t="n">
        <v>1.10050152046064</v>
      </c>
      <c r="AZ74" s="21" t="n">
        <v>1.10565363781828</v>
      </c>
      <c r="BA74" s="21" t="n">
        <v>1.12609716713861</v>
      </c>
      <c r="BB74" s="21" t="n">
        <v>1.65839360327752</v>
      </c>
      <c r="BC74" s="21" t="n">
        <v>1.57945446360431</v>
      </c>
      <c r="BD74" s="21" t="n">
        <v>1.23400642367939</v>
      </c>
      <c r="BE74" s="21" t="n">
        <v>1.63913894748753</v>
      </c>
      <c r="BF74" s="21" t="n">
        <v>1.13298579017562</v>
      </c>
      <c r="BG74" s="21" t="n">
        <v>1.43893943241659</v>
      </c>
      <c r="BH74" s="21" t="n">
        <v>1.22572677001248</v>
      </c>
      <c r="BI74" s="21" t="n">
        <v>1.23741317577841</v>
      </c>
      <c r="BJ74" s="21" t="n">
        <v>1.14876198429157</v>
      </c>
      <c r="BK74" s="21" t="n">
        <v>1.24459692590517</v>
      </c>
      <c r="BL74" s="21" t="n">
        <v>1.10536804076359</v>
      </c>
      <c r="BM74" s="21" t="n">
        <v>1.10557060664234</v>
      </c>
      <c r="BN74" s="21" t="n">
        <v>1.09709036304535</v>
      </c>
      <c r="BO74" s="21" t="n">
        <v>1.09984689872181</v>
      </c>
      <c r="BP74" s="21" t="n">
        <v>1.0965838532804</v>
      </c>
      <c r="BQ74" s="21" t="n">
        <v>1.35472092728679</v>
      </c>
      <c r="BR74" s="21" t="n">
        <v>1.14595590223997</v>
      </c>
      <c r="BS74" s="21" t="n">
        <v>1.10764002935584</v>
      </c>
      <c r="BT74" s="21" t="n">
        <v>1.09655192120269</v>
      </c>
      <c r="BU74" s="58" t="n">
        <f aca="false">AVERAGE(E74:BT74)</f>
        <v>1.42246711954259</v>
      </c>
    </row>
    <row r="75" customFormat="false" ht="11.25" hidden="false" customHeight="true" outlineLevel="0" collapsed="false">
      <c r="B75" s="24" t="s">
        <v>139</v>
      </c>
      <c r="C75" s="25" t="s">
        <v>140</v>
      </c>
      <c r="D75" s="24" t="n">
        <v>38</v>
      </c>
      <c r="E75" s="26" t="n">
        <v>3.07516098702618</v>
      </c>
      <c r="F75" s="26" t="n">
        <v>2.2361111009669</v>
      </c>
      <c r="G75" s="26" t="n">
        <v>2.12968249912358</v>
      </c>
      <c r="H75" s="26" t="n">
        <v>1.86881671793468</v>
      </c>
      <c r="I75" s="26" t="n">
        <v>2.42558774148307</v>
      </c>
      <c r="J75" s="26" t="n">
        <v>1.88187697949738</v>
      </c>
      <c r="K75" s="26" t="n">
        <v>2.06812926810988</v>
      </c>
      <c r="L75" s="26" t="n">
        <v>2.14833119700001</v>
      </c>
      <c r="M75" s="26" t="n">
        <v>1.94606765515246</v>
      </c>
      <c r="N75" s="26" t="n">
        <v>2.27499198771261</v>
      </c>
      <c r="O75" s="26" t="n">
        <v>2.19800072870458</v>
      </c>
      <c r="P75" s="26" t="n">
        <v>2.06164385905261</v>
      </c>
      <c r="Q75" s="26" t="n">
        <v>2.807736890497</v>
      </c>
      <c r="R75" s="26" t="n">
        <v>1.90847952631296</v>
      </c>
      <c r="S75" s="26" t="n">
        <v>2.28205491877754</v>
      </c>
      <c r="T75" s="26" t="n">
        <v>2.35546607679757</v>
      </c>
      <c r="U75" s="26" t="n">
        <v>2.70801996436369</v>
      </c>
      <c r="V75" s="26" t="n">
        <v>2.07884263543321</v>
      </c>
      <c r="W75" s="26" t="n">
        <v>4.05670073566362</v>
      </c>
      <c r="X75" s="26" t="n">
        <v>1.83070578862309</v>
      </c>
      <c r="Y75" s="26" t="n">
        <v>3.20759719185405</v>
      </c>
      <c r="Z75" s="26" t="n">
        <v>2.26379183293301</v>
      </c>
      <c r="AA75" s="26" t="n">
        <v>1.87553242705555</v>
      </c>
      <c r="AB75" s="26" t="n">
        <v>1.97773932407651</v>
      </c>
      <c r="AC75" s="26" t="n">
        <v>2.41797097283999</v>
      </c>
      <c r="AD75" s="26" t="n">
        <v>2.24155126378561</v>
      </c>
      <c r="AE75" s="26" t="n">
        <v>2.68577824440127</v>
      </c>
      <c r="AF75" s="26" t="n">
        <v>2.42538160930528</v>
      </c>
      <c r="AG75" s="26" t="n">
        <v>2.1474722619361</v>
      </c>
      <c r="AH75" s="26" t="n">
        <v>2.53283689859877</v>
      </c>
      <c r="AI75" s="26" t="n">
        <v>2.19935203209775</v>
      </c>
      <c r="AJ75" s="26" t="n">
        <v>2.42682640039461</v>
      </c>
      <c r="AK75" s="26" t="n">
        <v>1.91941178967822</v>
      </c>
      <c r="AL75" s="26" t="n">
        <v>2.42334333127618</v>
      </c>
      <c r="AM75" s="26" t="n">
        <v>2.76866066541019</v>
      </c>
      <c r="AN75" s="26" t="n">
        <v>1.90915403124352</v>
      </c>
      <c r="AO75" s="26" t="n">
        <v>1.9305757259391</v>
      </c>
      <c r="AP75" s="26" t="n">
        <v>3.37115868255994</v>
      </c>
      <c r="AQ75" s="26" t="n">
        <v>1.83678695615875</v>
      </c>
      <c r="AR75" s="26" t="n">
        <v>2.24016420976989</v>
      </c>
      <c r="AS75" s="26" t="n">
        <v>1.91080595939731</v>
      </c>
      <c r="AT75" s="26" t="n">
        <v>9.72796540427193</v>
      </c>
      <c r="AU75" s="26" t="n">
        <v>2.99730762739528</v>
      </c>
      <c r="AV75" s="26" t="n">
        <v>2.0051064870318</v>
      </c>
      <c r="AW75" s="26" t="n">
        <v>1.80806805104911</v>
      </c>
      <c r="AX75" s="26" t="n">
        <v>2.06143054061182</v>
      </c>
      <c r="AY75" s="26" t="n">
        <v>1.79584258709439</v>
      </c>
      <c r="AZ75" s="26" t="n">
        <v>1.80425155074007</v>
      </c>
      <c r="BA75" s="26" t="n">
        <v>1.83761433794974</v>
      </c>
      <c r="BB75" s="26" t="n">
        <v>2.70625277055405</v>
      </c>
      <c r="BC75" s="26" t="n">
        <v>2.57741415417796</v>
      </c>
      <c r="BD75" s="26" t="n">
        <v>2.01371478589327</v>
      </c>
      <c r="BE75" s="26" t="n">
        <v>2.67489879573918</v>
      </c>
      <c r="BF75" s="26" t="n">
        <v>1.84885455457934</v>
      </c>
      <c r="BG75" s="26" t="n">
        <v>2.34809826238275</v>
      </c>
      <c r="BH75" s="26" t="n">
        <v>2.00023772223702</v>
      </c>
      <c r="BI75" s="26" t="n">
        <v>2.01929606340587</v>
      </c>
      <c r="BJ75" s="26" t="n">
        <v>1.87459482885999</v>
      </c>
      <c r="BK75" s="26" t="n">
        <v>2.03100374381027</v>
      </c>
      <c r="BL75" s="26" t="n">
        <v>1.8037803019287</v>
      </c>
      <c r="BM75" s="26" t="n">
        <v>1.80411960405795</v>
      </c>
      <c r="BN75" s="26" t="n">
        <v>1.79027776830346</v>
      </c>
      <c r="BO75" s="26" t="n">
        <v>1.79477640852348</v>
      </c>
      <c r="BP75" s="26" t="n">
        <v>1.78945086167977</v>
      </c>
      <c r="BQ75" s="26" t="n">
        <v>2.21068959440057</v>
      </c>
      <c r="BR75" s="26" t="n">
        <v>1.87001945938877</v>
      </c>
      <c r="BS75" s="26" t="n">
        <v>1.80749884642453</v>
      </c>
      <c r="BT75" s="26" t="n">
        <v>1.78939872127187</v>
      </c>
      <c r="BU75" s="58" t="n">
        <f aca="false">AVERAGE(E75:BT75)</f>
        <v>2.32126857209863</v>
      </c>
    </row>
    <row r="76" customFormat="false" ht="11.25" hidden="false" customHeight="true" outlineLevel="0" collapsed="false">
      <c r="B76" s="19" t="s">
        <v>141</v>
      </c>
      <c r="C76" s="20" t="s">
        <v>142</v>
      </c>
      <c r="D76" s="19" t="n">
        <v>39</v>
      </c>
      <c r="E76" s="21" t="n">
        <v>1.79815601449398</v>
      </c>
      <c r="F76" s="21" t="n">
        <v>1.30753473514763</v>
      </c>
      <c r="G76" s="21" t="n">
        <v>1.24530203871653</v>
      </c>
      <c r="H76" s="21" t="n">
        <v>1.09277886229275</v>
      </c>
      <c r="I76" s="21" t="n">
        <v>1.41819491167449</v>
      </c>
      <c r="J76" s="21" t="n">
        <v>1.10040203892473</v>
      </c>
      <c r="K76" s="21" t="n">
        <v>1.20931024856249</v>
      </c>
      <c r="L76" s="21" t="n">
        <v>1.25620600547596</v>
      </c>
      <c r="M76" s="21" t="n">
        <v>1.13793229053952</v>
      </c>
      <c r="N76" s="21" t="n">
        <v>1.33027061952929</v>
      </c>
      <c r="O76" s="21" t="n">
        <v>1.28524945345011</v>
      </c>
      <c r="P76" s="21" t="n">
        <v>1.20551690958974</v>
      </c>
      <c r="Q76" s="21" t="n">
        <v>1.64178611519349</v>
      </c>
      <c r="R76" s="21" t="n">
        <v>1.11595887915119</v>
      </c>
      <c r="S76" s="21" t="n">
        <v>1.33439782493978</v>
      </c>
      <c r="T76" s="21" t="n">
        <v>1.37732210056563</v>
      </c>
      <c r="U76" s="21" t="n">
        <v>1.58348298363173</v>
      </c>
      <c r="V76" s="21" t="n">
        <v>1.21557302719504</v>
      </c>
      <c r="W76" s="21" t="n">
        <v>2.37205075691468</v>
      </c>
      <c r="X76" s="21" t="n">
        <v>1.07047799092613</v>
      </c>
      <c r="Y76" s="21" t="n">
        <v>1.87565643616273</v>
      </c>
      <c r="Z76" s="21" t="n">
        <v>1.32374056387651</v>
      </c>
      <c r="AA76" s="21" t="n">
        <v>1.09669236276939</v>
      </c>
      <c r="AB76" s="21" t="n">
        <v>1.15645514083067</v>
      </c>
      <c r="AC76" s="21" t="n">
        <v>1.41389494060123</v>
      </c>
      <c r="AD76" s="21" t="n">
        <v>1.31075523105605</v>
      </c>
      <c r="AE76" s="21" t="n">
        <v>1.57048462512758</v>
      </c>
      <c r="AF76" s="21" t="n">
        <v>1.41821425168122</v>
      </c>
      <c r="AG76" s="21" t="n">
        <v>1.25571846769917</v>
      </c>
      <c r="AH76" s="21" t="n">
        <v>1.4810384429552</v>
      </c>
      <c r="AI76" s="21" t="n">
        <v>1.28599067391101</v>
      </c>
      <c r="AJ76" s="21" t="n">
        <v>1.41905752301293</v>
      </c>
      <c r="AK76" s="21" t="n">
        <v>1.12234882627459</v>
      </c>
      <c r="AL76" s="21" t="n">
        <v>1.41702131644091</v>
      </c>
      <c r="AM76" s="21" t="n">
        <v>1.61893564072758</v>
      </c>
      <c r="AN76" s="21" t="n">
        <v>1.11635198762906</v>
      </c>
      <c r="AO76" s="21" t="n">
        <v>1.12889558899301</v>
      </c>
      <c r="AP76" s="21" t="n">
        <v>1.96632364269127</v>
      </c>
      <c r="AQ76" s="21" t="n">
        <v>1.07620193479664</v>
      </c>
      <c r="AR76" s="21" t="n">
        <v>1.31014189519326</v>
      </c>
      <c r="AS76" s="21" t="n">
        <v>1.11736612632507</v>
      </c>
      <c r="AT76" s="21" t="n">
        <v>5.68842799261532</v>
      </c>
      <c r="AU76" s="21" t="n">
        <v>1.75260274062234</v>
      </c>
      <c r="AV76" s="21" t="n">
        <v>1.17245541568686</v>
      </c>
      <c r="AW76" s="21" t="n">
        <v>1.05723917802367</v>
      </c>
      <c r="AX76" s="21" t="n">
        <v>1.20538447874978</v>
      </c>
      <c r="AY76" s="21" t="n">
        <v>1.05009269052894</v>
      </c>
      <c r="AZ76" s="21" t="n">
        <v>1.05500885004101</v>
      </c>
      <c r="BA76" s="21" t="n">
        <v>1.07451730600551</v>
      </c>
      <c r="BB76" s="21" t="n">
        <v>1.58243361916657</v>
      </c>
      <c r="BC76" s="21" t="n">
        <v>1.50711136934014</v>
      </c>
      <c r="BD76" s="21" t="n">
        <v>1.17748949162062</v>
      </c>
      <c r="BE76" s="21" t="n">
        <v>1.56406829434568</v>
      </c>
      <c r="BF76" s="21" t="n">
        <v>1.08109373625448</v>
      </c>
      <c r="BG76" s="21" t="n">
        <v>1.37305555471525</v>
      </c>
      <c r="BH76" s="21" t="n">
        <v>1.16959726943754</v>
      </c>
      <c r="BI76" s="21" t="n">
        <v>1.18073688058318</v>
      </c>
      <c r="BJ76" s="21" t="n">
        <v>1.0961636496274</v>
      </c>
      <c r="BK76" s="21" t="n">
        <v>1.18758653871921</v>
      </c>
      <c r="BL76" s="21" t="n">
        <v>1.05474736381053</v>
      </c>
      <c r="BM76" s="21" t="n">
        <v>1.05493202266717</v>
      </c>
      <c r="BN76" s="21" t="n">
        <v>1.04683924432715</v>
      </c>
      <c r="BO76" s="21" t="n">
        <v>1.04946924016097</v>
      </c>
      <c r="BP76" s="21" t="n">
        <v>1.04635590557945</v>
      </c>
      <c r="BQ76" s="21" t="n">
        <v>1.29266931040642</v>
      </c>
      <c r="BR76" s="21" t="n">
        <v>1.09346655785746</v>
      </c>
      <c r="BS76" s="21" t="n">
        <v>1.05690432819166</v>
      </c>
      <c r="BT76" s="21" t="n">
        <v>1.04632543420883</v>
      </c>
      <c r="BU76" s="58" t="n">
        <f aca="false">AVERAGE(E76:BT76)</f>
        <v>1.3572935866024</v>
      </c>
    </row>
    <row r="77" customFormat="false" ht="11.25" hidden="false" customHeight="true" outlineLevel="0" collapsed="false">
      <c r="B77" s="24" t="s">
        <v>143</v>
      </c>
      <c r="C77" s="25" t="s">
        <v>144</v>
      </c>
      <c r="D77" s="24" t="n">
        <v>40</v>
      </c>
      <c r="E77" s="26" t="n">
        <v>2.18138206087712</v>
      </c>
      <c r="F77" s="26" t="n">
        <v>1.58619885060385</v>
      </c>
      <c r="G77" s="26" t="n">
        <v>1.5107074795037</v>
      </c>
      <c r="H77" s="26" t="n">
        <v>1.32569682584754</v>
      </c>
      <c r="I77" s="26" t="n">
        <v>1.72042879949004</v>
      </c>
      <c r="J77" s="26" t="n">
        <v>1.3349323920244</v>
      </c>
      <c r="K77" s="26" t="n">
        <v>1.46704137844554</v>
      </c>
      <c r="L77" s="26" t="n">
        <v>1.52392729126959</v>
      </c>
      <c r="M77" s="26" t="n">
        <v>1.38044725103229</v>
      </c>
      <c r="N77" s="26" t="n">
        <v>1.6137792625991</v>
      </c>
      <c r="O77" s="26" t="n">
        <v>1.55916048770244</v>
      </c>
      <c r="P77" s="26" t="n">
        <v>1.46243500031444</v>
      </c>
      <c r="Q77" s="26" t="n">
        <v>1.99168470178477</v>
      </c>
      <c r="R77" s="26" t="n">
        <v>1.35378638488642</v>
      </c>
      <c r="S77" s="26" t="n">
        <v>1.61878306575671</v>
      </c>
      <c r="T77" s="26" t="n">
        <v>1.67089309420107</v>
      </c>
      <c r="U77" s="26" t="n">
        <v>1.92096115753209</v>
      </c>
      <c r="V77" s="26" t="n">
        <v>1.47463499366349</v>
      </c>
      <c r="W77" s="26" t="n">
        <v>2.8776257587789</v>
      </c>
      <c r="X77" s="26" t="n">
        <v>1.29861777806254</v>
      </c>
      <c r="Y77" s="26" t="n">
        <v>2.27537281648743</v>
      </c>
      <c r="Z77" s="26" t="n">
        <v>1.60588901996981</v>
      </c>
      <c r="AA77" s="26" t="n">
        <v>1.33041771968858</v>
      </c>
      <c r="AB77" s="26" t="n">
        <v>1.40291830763643</v>
      </c>
      <c r="AC77" s="26" t="n">
        <v>1.71527813814813</v>
      </c>
      <c r="AD77" s="26" t="n">
        <v>1.59035652684179</v>
      </c>
      <c r="AE77" s="26" t="n">
        <v>1.90534631473684</v>
      </c>
      <c r="AF77" s="26" t="n">
        <v>1.72048336082975</v>
      </c>
      <c r="AG77" s="26" t="n">
        <v>1.52341883361434</v>
      </c>
      <c r="AH77" s="26" t="n">
        <v>1.79667764421029</v>
      </c>
      <c r="AI77" s="26" t="n">
        <v>1.56009517374325</v>
      </c>
      <c r="AJ77" s="26" t="n">
        <v>1.72150505009567</v>
      </c>
      <c r="AK77" s="26" t="n">
        <v>1.36154186514477</v>
      </c>
      <c r="AL77" s="26" t="n">
        <v>1.71901282054249</v>
      </c>
      <c r="AM77" s="26" t="n">
        <v>1.9639607525152</v>
      </c>
      <c r="AN77" s="26" t="n">
        <v>1.3542700885404</v>
      </c>
      <c r="AO77" s="26" t="n">
        <v>1.36946920241589</v>
      </c>
      <c r="AP77" s="26" t="n">
        <v>2.38506773978936</v>
      </c>
      <c r="AQ77" s="26" t="n">
        <v>1.30294012599071</v>
      </c>
      <c r="AR77" s="26" t="n">
        <v>1.59259491625258</v>
      </c>
      <c r="AS77" s="26" t="n">
        <v>1.3554403935631</v>
      </c>
      <c r="AT77" s="26" t="n">
        <v>6.90138375117922</v>
      </c>
      <c r="AU77" s="26" t="n">
        <v>2.12615189555737</v>
      </c>
      <c r="AV77" s="26" t="n">
        <v>1.4223281033125</v>
      </c>
      <c r="AW77" s="26" t="n">
        <v>1.28256049208796</v>
      </c>
      <c r="AX77" s="26" t="n">
        <v>1.46228326580704</v>
      </c>
      <c r="AY77" s="26" t="n">
        <v>1.27389067799106</v>
      </c>
      <c r="AZ77" s="26" t="n">
        <v>1.27985074819694</v>
      </c>
      <c r="BA77" s="26" t="n">
        <v>1.30351662369065</v>
      </c>
      <c r="BB77" s="26" t="n">
        <v>1.91968005141866</v>
      </c>
      <c r="BC77" s="26" t="n">
        <v>1.82830409320907</v>
      </c>
      <c r="BD77" s="26" t="n">
        <v>1.42842658344591</v>
      </c>
      <c r="BE77" s="26" t="n">
        <v>1.89741132774816</v>
      </c>
      <c r="BF77" s="26" t="n">
        <v>1.31149231381487</v>
      </c>
      <c r="BG77" s="26" t="n">
        <v>1.66565909820185</v>
      </c>
      <c r="BH77" s="26" t="n">
        <v>1.41885850739868</v>
      </c>
      <c r="BI77" s="26" t="n">
        <v>1.43237453290908</v>
      </c>
      <c r="BJ77" s="26" t="n">
        <v>1.3297563871497</v>
      </c>
      <c r="BK77" s="26" t="n">
        <v>1.44068369282482</v>
      </c>
      <c r="BL77" s="26" t="n">
        <v>1.279520258377</v>
      </c>
      <c r="BM77" s="26" t="n">
        <v>1.27975637669551</v>
      </c>
      <c r="BN77" s="26" t="n">
        <v>1.26994012934069</v>
      </c>
      <c r="BO77" s="26" t="n">
        <v>1.27313070789029</v>
      </c>
      <c r="BP77" s="26" t="n">
        <v>1.2693537999702</v>
      </c>
      <c r="BQ77" s="26" t="n">
        <v>1.56816113311589</v>
      </c>
      <c r="BR77" s="26" t="n">
        <v>1.32650467132766</v>
      </c>
      <c r="BS77" s="26" t="n">
        <v>1.28215169112733</v>
      </c>
      <c r="BT77" s="26" t="n">
        <v>1.26931683612668</v>
      </c>
      <c r="BU77" s="58" t="n">
        <f aca="false">AVERAGE(E77:BT77)</f>
        <v>1.64658277316246</v>
      </c>
    </row>
    <row r="78" customFormat="false" ht="11.25" hidden="false" customHeight="true" outlineLevel="0" collapsed="false">
      <c r="B78" s="19" t="s">
        <v>145</v>
      </c>
      <c r="C78" s="20" t="s">
        <v>146</v>
      </c>
      <c r="D78" s="19" t="n">
        <v>41</v>
      </c>
      <c r="E78" s="21" t="n">
        <v>1.84506538023549</v>
      </c>
      <c r="F78" s="21" t="n">
        <v>1.34164595587817</v>
      </c>
      <c r="G78" s="21" t="n">
        <v>1.2777901543388</v>
      </c>
      <c r="H78" s="21" t="n">
        <v>1.12127032991139</v>
      </c>
      <c r="I78" s="21" t="n">
        <v>1.45515892302923</v>
      </c>
      <c r="J78" s="21" t="n">
        <v>1.12911069030376</v>
      </c>
      <c r="K78" s="21" t="n">
        <v>1.24086142753653</v>
      </c>
      <c r="L78" s="21" t="n">
        <v>1.28897872560142</v>
      </c>
      <c r="M78" s="21" t="n">
        <v>1.16761827850882</v>
      </c>
      <c r="N78" s="21" t="n">
        <v>1.36497613300874</v>
      </c>
      <c r="O78" s="21" t="n">
        <v>1.31878004640592</v>
      </c>
      <c r="P78" s="21" t="n">
        <v>1.23696708013933</v>
      </c>
      <c r="Q78" s="21" t="n">
        <v>1.68462247456344</v>
      </c>
      <c r="R78" s="21" t="n">
        <v>1.14506893604119</v>
      </c>
      <c r="S78" s="21" t="n">
        <v>1.36921016689985</v>
      </c>
      <c r="T78" s="21" t="n">
        <v>1.41325124442864</v>
      </c>
      <c r="U78" s="21" t="n">
        <v>1.62480656520894</v>
      </c>
      <c r="V78" s="21" t="n">
        <v>1.24728871977357</v>
      </c>
      <c r="W78" s="21" t="n">
        <v>2.43385692212163</v>
      </c>
      <c r="X78" s="21" t="n">
        <v>1.09840465689999</v>
      </c>
      <c r="Y78" s="21" t="n">
        <v>1.92454322384181</v>
      </c>
      <c r="Z78" s="21" t="n">
        <v>1.35827895100495</v>
      </c>
      <c r="AA78" s="21" t="n">
        <v>1.12530392565168</v>
      </c>
      <c r="AB78" s="21" t="n">
        <v>1.18662528299617</v>
      </c>
      <c r="AC78" s="21" t="n">
        <v>1.4507973875338</v>
      </c>
      <c r="AD78" s="21" t="n">
        <v>1.34489442387876</v>
      </c>
      <c r="AE78" s="21" t="n">
        <v>1.61146603784554</v>
      </c>
      <c r="AF78" s="21" t="n">
        <v>1.45522893598458</v>
      </c>
      <c r="AG78" s="21" t="n">
        <v>1.28844874486069</v>
      </c>
      <c r="AH78" s="21" t="n">
        <v>1.51967530817067</v>
      </c>
      <c r="AI78" s="21" t="n">
        <v>1.31953267313097</v>
      </c>
      <c r="AJ78" s="21" t="n">
        <v>1.4560764540828</v>
      </c>
      <c r="AK78" s="21" t="n">
        <v>1.15163596034837</v>
      </c>
      <c r="AL78" s="21" t="n">
        <v>1.45428131090956</v>
      </c>
      <c r="AM78" s="21" t="n">
        <v>1.66117357437748</v>
      </c>
      <c r="AN78" s="21" t="n">
        <v>1.14547586988533</v>
      </c>
      <c r="AO78" s="21" t="n">
        <v>1.15832168591243</v>
      </c>
      <c r="AP78" s="21" t="n">
        <v>2.01735908587222</v>
      </c>
      <c r="AQ78" s="21" t="n">
        <v>1.10206162175396</v>
      </c>
      <c r="AR78" s="21" t="n">
        <v>1.34408927333517</v>
      </c>
      <c r="AS78" s="21" t="n">
        <v>1.14880649912423</v>
      </c>
      <c r="AT78" s="21" t="n">
        <v>5.83679194020304</v>
      </c>
      <c r="AU78" s="21" t="n">
        <v>1.79834451645533</v>
      </c>
      <c r="AV78" s="21" t="n">
        <v>1.20304269190231</v>
      </c>
      <c r="AW78" s="21" t="n">
        <v>1.08482190500801</v>
      </c>
      <c r="AX78" s="21" t="n">
        <v>1.23684356233551</v>
      </c>
      <c r="AY78" s="21" t="n">
        <v>1.07749085100307</v>
      </c>
      <c r="AZ78" s="21" t="n">
        <v>1.08253424243647</v>
      </c>
      <c r="BA78" s="21" t="n">
        <v>1.10255091300226</v>
      </c>
      <c r="BB78" s="21" t="n">
        <v>1.62373398454037</v>
      </c>
      <c r="BC78" s="21" t="n">
        <v>1.54645415341937</v>
      </c>
      <c r="BD78" s="21" t="n">
        <v>1.20820688450448</v>
      </c>
      <c r="BE78" s="21" t="n">
        <v>1.60487382892003</v>
      </c>
      <c r="BF78" s="21" t="n">
        <v>1.10932959994181</v>
      </c>
      <c r="BG78" s="21" t="n">
        <v>1.40892307228446</v>
      </c>
      <c r="BH78" s="21" t="n">
        <v>1.20008566932328</v>
      </c>
      <c r="BI78" s="21" t="n">
        <v>1.21157157496341</v>
      </c>
      <c r="BJ78" s="21" t="n">
        <v>1.12473870757766</v>
      </c>
      <c r="BK78" s="21" t="n">
        <v>1.21858158972628</v>
      </c>
      <c r="BL78" s="21" t="n">
        <v>1.08225814529056</v>
      </c>
      <c r="BM78" s="21" t="n">
        <v>1.0824563639678</v>
      </c>
      <c r="BN78" s="21" t="n">
        <v>1.07414973642282</v>
      </c>
      <c r="BO78" s="21" t="n">
        <v>1.0768491950362</v>
      </c>
      <c r="BP78" s="21" t="n">
        <v>1.07365378747784</v>
      </c>
      <c r="BQ78" s="21" t="n">
        <v>1.32639362938373</v>
      </c>
      <c r="BR78" s="21" t="n">
        <v>1.12199477324382</v>
      </c>
      <c r="BS78" s="21" t="n">
        <v>1.08447880282839</v>
      </c>
      <c r="BT78" s="21" t="n">
        <v>1.07362252993225</v>
      </c>
      <c r="BU78" s="58" t="n">
        <f aca="false">AVERAGE(E78:BT78)</f>
        <v>1.3926997895951</v>
      </c>
    </row>
    <row r="79" customFormat="false" ht="11.25" hidden="false" customHeight="true" outlineLevel="0" collapsed="false">
      <c r="B79" s="24" t="s">
        <v>147</v>
      </c>
      <c r="C79" s="25" t="s">
        <v>148</v>
      </c>
      <c r="D79" s="24" t="n">
        <v>42</v>
      </c>
      <c r="E79" s="26" t="n">
        <v>2.28146646800677</v>
      </c>
      <c r="F79" s="26" t="n">
        <v>1.65894228910145</v>
      </c>
      <c r="G79" s="26" t="n">
        <v>1.57998480075784</v>
      </c>
      <c r="H79" s="26" t="n">
        <v>1.38644556608159</v>
      </c>
      <c r="I79" s="26" t="n">
        <v>1.79932598525973</v>
      </c>
      <c r="J79" s="26" t="n">
        <v>1.39613701258386</v>
      </c>
      <c r="K79" s="26" t="n">
        <v>1.5343150703966</v>
      </c>
      <c r="L79" s="26" t="n">
        <v>1.593818786269</v>
      </c>
      <c r="M79" s="26" t="n">
        <v>1.44375663524033</v>
      </c>
      <c r="N79" s="26" t="n">
        <v>1.68780104847762</v>
      </c>
      <c r="O79" s="26" t="n">
        <v>1.63066678247675</v>
      </c>
      <c r="P79" s="26" t="n">
        <v>1.52950495508518</v>
      </c>
      <c r="Q79" s="26" t="n">
        <v>2.08302218193975</v>
      </c>
      <c r="R79" s="26" t="n">
        <v>1.41587446385932</v>
      </c>
      <c r="S79" s="26" t="n">
        <v>1.69302310217042</v>
      </c>
      <c r="T79" s="26" t="n">
        <v>1.74748980679977</v>
      </c>
      <c r="U79" s="26" t="n">
        <v>2.00907556671122</v>
      </c>
      <c r="V79" s="26" t="n">
        <v>1.54229090669457</v>
      </c>
      <c r="W79" s="26" t="n">
        <v>3.00959822162214</v>
      </c>
      <c r="X79" s="26" t="n">
        <v>1.35817427573542</v>
      </c>
      <c r="Y79" s="26" t="n">
        <v>2.37968250753913</v>
      </c>
      <c r="Z79" s="26" t="n">
        <v>1.67948676031854</v>
      </c>
      <c r="AA79" s="26" t="n">
        <v>1.39143671885181</v>
      </c>
      <c r="AB79" s="26" t="n">
        <v>1.46725844169123</v>
      </c>
      <c r="AC79" s="26" t="n">
        <v>1.79388208579447</v>
      </c>
      <c r="AD79" s="26" t="n">
        <v>1.66295173878799</v>
      </c>
      <c r="AE79" s="26" t="n">
        <v>1.99252640044049</v>
      </c>
      <c r="AF79" s="26" t="n">
        <v>1.79934893032337</v>
      </c>
      <c r="AG79" s="26" t="n">
        <v>1.59314892486404</v>
      </c>
      <c r="AH79" s="26" t="n">
        <v>1.87907475132295</v>
      </c>
      <c r="AI79" s="26" t="n">
        <v>1.63158935524105</v>
      </c>
      <c r="AJ79" s="26" t="n">
        <v>1.80042295133797</v>
      </c>
      <c r="AK79" s="26" t="n">
        <v>1.423984393678</v>
      </c>
      <c r="AL79" s="26" t="n">
        <v>1.79785208094377</v>
      </c>
      <c r="AM79" s="26" t="n">
        <v>2.05403134750838</v>
      </c>
      <c r="AN79" s="26" t="n">
        <v>1.41637572907558</v>
      </c>
      <c r="AO79" s="26" t="n">
        <v>1.43226087862165</v>
      </c>
      <c r="AP79" s="26" t="n">
        <v>2.494523084775</v>
      </c>
      <c r="AQ79" s="26" t="n">
        <v>1.36269722657516</v>
      </c>
      <c r="AR79" s="26" t="n">
        <v>1.66195286138603</v>
      </c>
      <c r="AS79" s="26" t="n">
        <v>1.41762133226826</v>
      </c>
      <c r="AT79" s="26" t="n">
        <v>7.23305036996739</v>
      </c>
      <c r="AU79" s="26" t="n">
        <v>2.22385647873973</v>
      </c>
      <c r="AV79" s="26" t="n">
        <v>1.48756043232525</v>
      </c>
      <c r="AW79" s="26" t="n">
        <v>1.34138312936985</v>
      </c>
      <c r="AX79" s="26" t="n">
        <v>1.52937743312143</v>
      </c>
      <c r="AY79" s="26" t="n">
        <v>1.33231447617705</v>
      </c>
      <c r="AZ79" s="26" t="n">
        <v>1.33855001904643</v>
      </c>
      <c r="BA79" s="26" t="n">
        <v>1.36330262906216</v>
      </c>
      <c r="BB79" s="26" t="n">
        <v>2.00774286047439</v>
      </c>
      <c r="BC79" s="26" t="n">
        <v>1.91218334406597</v>
      </c>
      <c r="BD79" s="26" t="n">
        <v>1.49395952109715</v>
      </c>
      <c r="BE79" s="26" t="n">
        <v>1.98447630229131</v>
      </c>
      <c r="BF79" s="26" t="n">
        <v>1.371715388512</v>
      </c>
      <c r="BG79" s="26" t="n">
        <v>1.74208766678661</v>
      </c>
      <c r="BH79" s="26" t="n">
        <v>1.48390421761586</v>
      </c>
      <c r="BI79" s="26" t="n">
        <v>1.49810732820934</v>
      </c>
      <c r="BJ79" s="26" t="n">
        <v>1.39073936333731</v>
      </c>
      <c r="BK79" s="26" t="n">
        <v>1.50682896943632</v>
      </c>
      <c r="BL79" s="26" t="n">
        <v>1.33821028228372</v>
      </c>
      <c r="BM79" s="26" t="n">
        <v>1.33845426883372</v>
      </c>
      <c r="BN79" s="26" t="n">
        <v>1.3281820325934</v>
      </c>
      <c r="BO79" s="26" t="n">
        <v>1.33152156795039</v>
      </c>
      <c r="BP79" s="26" t="n">
        <v>1.32756866008291</v>
      </c>
      <c r="BQ79" s="26" t="n">
        <v>1.64008097723919</v>
      </c>
      <c r="BR79" s="26" t="n">
        <v>1.38734237229681</v>
      </c>
      <c r="BS79" s="26" t="n">
        <v>1.34096015946179</v>
      </c>
      <c r="BT79" s="26" t="n">
        <v>1.32753000996992</v>
      </c>
      <c r="BU79" s="58" t="n">
        <f aca="false">AVERAGE(E79:BT79)</f>
        <v>1.72226195127885</v>
      </c>
    </row>
    <row r="80" customFormat="false" ht="11.25" hidden="false" customHeight="true" outlineLevel="0" collapsed="false">
      <c r="B80" s="19" t="s">
        <v>149</v>
      </c>
      <c r="C80" s="20" t="s">
        <v>150</v>
      </c>
      <c r="D80" s="19" t="n">
        <v>43</v>
      </c>
      <c r="E80" s="21" t="n">
        <v>2.59583080687286</v>
      </c>
      <c r="F80" s="21" t="n">
        <v>1.88754557889842</v>
      </c>
      <c r="G80" s="21" t="n">
        <v>1.79770709799489</v>
      </c>
      <c r="H80" s="21" t="n">
        <v>1.57750170787514</v>
      </c>
      <c r="I80" s="21" t="n">
        <v>2.04759948985741</v>
      </c>
      <c r="J80" s="21" t="n">
        <v>1.58852997888342</v>
      </c>
      <c r="K80" s="21" t="n">
        <v>1.74574898768016</v>
      </c>
      <c r="L80" s="21" t="n">
        <v>1.81344872411943</v>
      </c>
      <c r="M80" s="21" t="n">
        <v>1.64272657527534</v>
      </c>
      <c r="N80" s="21" t="n">
        <v>1.92036914574833</v>
      </c>
      <c r="O80" s="21" t="n">
        <v>1.85537537812792</v>
      </c>
      <c r="P80" s="21" t="n">
        <v>1.74027397941738</v>
      </c>
      <c r="Q80" s="21" t="n">
        <v>2.37007162026312</v>
      </c>
      <c r="R80" s="21" t="n">
        <v>1.6109855630777</v>
      </c>
      <c r="S80" s="21" t="n">
        <v>1.92632520328185</v>
      </c>
      <c r="T80" s="21" t="n">
        <v>1.98828520044761</v>
      </c>
      <c r="U80" s="21" t="n">
        <v>2.28589892935285</v>
      </c>
      <c r="V80" s="21" t="n">
        <v>1.75479122465743</v>
      </c>
      <c r="W80" s="21" t="n">
        <v>3.42609341899682</v>
      </c>
      <c r="X80" s="21" t="n">
        <v>1.54535620721788</v>
      </c>
      <c r="Y80" s="21" t="n">
        <v>2.7076248674448</v>
      </c>
      <c r="Z80" s="21" t="n">
        <v>1.91092089399995</v>
      </c>
      <c r="AA80" s="21" t="n">
        <v>1.58317618811589</v>
      </c>
      <c r="AB80" s="21" t="n">
        <v>1.66944882070835</v>
      </c>
      <c r="AC80" s="21" t="n">
        <v>2.04113968226546</v>
      </c>
      <c r="AD80" s="21" t="n">
        <v>1.89210979231708</v>
      </c>
      <c r="AE80" s="21" t="n">
        <v>2.26712735845338</v>
      </c>
      <c r="AF80" s="21" t="n">
        <v>2.04731549977441</v>
      </c>
      <c r="AG80" s="21" t="n">
        <v>1.81269322528728</v>
      </c>
      <c r="AH80" s="21" t="n">
        <v>2.13801244353861</v>
      </c>
      <c r="AI80" s="21" t="n">
        <v>1.85643689520392</v>
      </c>
      <c r="AJ80" s="21" t="n">
        <v>2.04853367993097</v>
      </c>
      <c r="AK80" s="21" t="n">
        <v>1.62022324589965</v>
      </c>
      <c r="AL80" s="21" t="n">
        <v>2.04579089911419</v>
      </c>
      <c r="AM80" s="21" t="n">
        <v>2.33709828367541</v>
      </c>
      <c r="AN80" s="21" t="n">
        <v>1.61155553293616</v>
      </c>
      <c r="AO80" s="21" t="n">
        <v>1.62962919693766</v>
      </c>
      <c r="AP80" s="21" t="n">
        <v>2.83816911060718</v>
      </c>
      <c r="AQ80" s="21" t="n">
        <v>1.55047311356014</v>
      </c>
      <c r="AR80" s="21" t="n">
        <v>1.89097794222714</v>
      </c>
      <c r="AS80" s="21" t="n">
        <v>1.61311370224771</v>
      </c>
      <c r="AT80" s="21" t="n">
        <v>8.21179369769884</v>
      </c>
      <c r="AU80" s="21" t="n">
        <v>2.53591060652179</v>
      </c>
      <c r="AV80" s="21" t="n">
        <v>1.69255813498445</v>
      </c>
      <c r="AW80" s="21" t="n">
        <v>1.5262235766485</v>
      </c>
      <c r="AX80" s="21" t="n">
        <v>1.74017649481473</v>
      </c>
      <c r="AY80" s="21" t="n">
        <v>1.51590599259813</v>
      </c>
      <c r="AZ80" s="21" t="n">
        <v>1.5230022543256</v>
      </c>
      <c r="BA80" s="21" t="n">
        <v>1.55116391002733</v>
      </c>
      <c r="BB80" s="21" t="n">
        <v>2.28438702632619</v>
      </c>
      <c r="BC80" s="21" t="n">
        <v>2.17566323471966</v>
      </c>
      <c r="BD80" s="21" t="n">
        <v>1.69981207892743</v>
      </c>
      <c r="BE80" s="21" t="n">
        <v>2.25794653472966</v>
      </c>
      <c r="BF80" s="21" t="n">
        <v>1.56065914890631</v>
      </c>
      <c r="BG80" s="21" t="n">
        <v>1.98211681140078</v>
      </c>
      <c r="BH80" s="21" t="n">
        <v>1.68839662736637</v>
      </c>
      <c r="BI80" s="21" t="n">
        <v>1.7044997988904</v>
      </c>
      <c r="BJ80" s="21" t="n">
        <v>1.58240079004964</v>
      </c>
      <c r="BK80" s="21" t="n">
        <v>1.71439565249162</v>
      </c>
      <c r="BL80" s="21" t="n">
        <v>1.52261857720504</v>
      </c>
      <c r="BM80" s="21" t="n">
        <v>1.52289126034432</v>
      </c>
      <c r="BN80" s="21" t="n">
        <v>1.51120816637096</v>
      </c>
      <c r="BO80" s="21" t="n">
        <v>1.51501360474874</v>
      </c>
      <c r="BP80" s="21" t="n">
        <v>1.51051049275677</v>
      </c>
      <c r="BQ80" s="21" t="n">
        <v>1.86608646925807</v>
      </c>
      <c r="BR80" s="21" t="n">
        <v>1.57851903405992</v>
      </c>
      <c r="BS80" s="21" t="n">
        <v>1.5257436746635</v>
      </c>
      <c r="BT80" s="21" t="n">
        <v>1.51046651922243</v>
      </c>
      <c r="BU80" s="58" t="n">
        <f aca="false">AVERAGE(E80:BT80)</f>
        <v>1.95944272591689</v>
      </c>
    </row>
    <row r="81" customFormat="false" ht="11.25" hidden="false" customHeight="true" outlineLevel="0" collapsed="false">
      <c r="B81" s="24" t="s">
        <v>151</v>
      </c>
      <c r="C81" s="25" t="s">
        <v>152</v>
      </c>
      <c r="D81" s="24" t="n">
        <v>44</v>
      </c>
      <c r="E81" s="26" t="n">
        <v>2.06450376651103</v>
      </c>
      <c r="F81" s="26" t="n">
        <v>1.50120430983123</v>
      </c>
      <c r="G81" s="26" t="n">
        <v>1.42975381368526</v>
      </c>
      <c r="H81" s="26" t="n">
        <v>1.2546191784427</v>
      </c>
      <c r="I81" s="26" t="n">
        <v>1.62835347257863</v>
      </c>
      <c r="J81" s="26" t="n">
        <v>1.26338998523453</v>
      </c>
      <c r="K81" s="26" t="n">
        <v>1.38842992601395</v>
      </c>
      <c r="L81" s="26" t="n">
        <v>1.44227358843855</v>
      </c>
      <c r="M81" s="26" t="n">
        <v>1.30648609804422</v>
      </c>
      <c r="N81" s="26" t="n">
        <v>1.52730815527393</v>
      </c>
      <c r="O81" s="26" t="n">
        <v>1.47561903994896</v>
      </c>
      <c r="P81" s="26" t="n">
        <v>1.38407619527977</v>
      </c>
      <c r="Q81" s="26" t="n">
        <v>1.88496649931836</v>
      </c>
      <c r="R81" s="26" t="n">
        <v>1.28125073718325</v>
      </c>
      <c r="S81" s="26" t="n">
        <v>1.53204656969414</v>
      </c>
      <c r="T81" s="26" t="n">
        <v>1.58132685592397</v>
      </c>
      <c r="U81" s="26" t="n">
        <v>1.81804026994289</v>
      </c>
      <c r="V81" s="26" t="n">
        <v>1.39562277776362</v>
      </c>
      <c r="W81" s="26" t="n">
        <v>2.72405750838134</v>
      </c>
      <c r="X81" s="26" t="n">
        <v>1.2290428040565</v>
      </c>
      <c r="Y81" s="26" t="n">
        <v>2.15340723948035</v>
      </c>
      <c r="Z81" s="26" t="n">
        <v>1.51978937562018</v>
      </c>
      <c r="AA81" s="26" t="n">
        <v>1.25913266769808</v>
      </c>
      <c r="AB81" s="26" t="n">
        <v>1.32774742573667</v>
      </c>
      <c r="AC81" s="26" t="n">
        <v>1.6232989847631</v>
      </c>
      <c r="AD81" s="26" t="n">
        <v>1.50483396792671</v>
      </c>
      <c r="AE81" s="26" t="n">
        <v>1.80308152410853</v>
      </c>
      <c r="AF81" s="26" t="n">
        <v>1.62826905210241</v>
      </c>
      <c r="AG81" s="26" t="n">
        <v>1.44167645813141</v>
      </c>
      <c r="AH81" s="26" t="n">
        <v>1.70041086086663</v>
      </c>
      <c r="AI81" s="26" t="n">
        <v>1.47646167117921</v>
      </c>
      <c r="AJ81" s="26" t="n">
        <v>1.62929607700202</v>
      </c>
      <c r="AK81" s="26" t="n">
        <v>1.28858869300566</v>
      </c>
      <c r="AL81" s="26" t="n">
        <v>1.62690671305437</v>
      </c>
      <c r="AM81" s="26" t="n">
        <v>1.85873468996637</v>
      </c>
      <c r="AN81" s="26" t="n">
        <v>1.2817158817535</v>
      </c>
      <c r="AO81" s="26" t="n">
        <v>1.29622331664116</v>
      </c>
      <c r="AP81" s="26" t="n">
        <v>2.25724960043902</v>
      </c>
      <c r="AQ81" s="26" t="n">
        <v>1.23312346665897</v>
      </c>
      <c r="AR81" s="26" t="n">
        <v>1.50393608857318</v>
      </c>
      <c r="AS81" s="26" t="n">
        <v>1.28281952728985</v>
      </c>
      <c r="AT81" s="26" t="n">
        <v>6.5310466338864</v>
      </c>
      <c r="AU81" s="26" t="n">
        <v>2.01230667677222</v>
      </c>
      <c r="AV81" s="26" t="n">
        <v>1.3489685373584</v>
      </c>
      <c r="AW81" s="26" t="n">
        <v>1.21385170197661</v>
      </c>
      <c r="AX81" s="26" t="n">
        <v>1.38443834006689</v>
      </c>
      <c r="AY81" s="26" t="n">
        <v>1.20563164388225</v>
      </c>
      <c r="AZ81" s="26" t="n">
        <v>1.2112772655165</v>
      </c>
      <c r="BA81" s="26" t="n">
        <v>1.23367343128839</v>
      </c>
      <c r="BB81" s="26" t="n">
        <v>1.81682281817035</v>
      </c>
      <c r="BC81" s="26" t="n">
        <v>1.73034791458613</v>
      </c>
      <c r="BD81" s="26" t="n">
        <v>1.35189323173345</v>
      </c>
      <c r="BE81" s="26" t="n">
        <v>1.79581247177356</v>
      </c>
      <c r="BF81" s="26" t="n">
        <v>1.24123170686537</v>
      </c>
      <c r="BG81" s="26" t="n">
        <v>1.57640338531994</v>
      </c>
      <c r="BH81" s="26" t="n">
        <v>1.34283248259806</v>
      </c>
      <c r="BI81" s="26" t="n">
        <v>1.35562853442627</v>
      </c>
      <c r="BJ81" s="26" t="n">
        <v>1.25858997613996</v>
      </c>
      <c r="BK81" s="26" t="n">
        <v>1.3635108491534</v>
      </c>
      <c r="BL81" s="26" t="n">
        <v>1.21097119228184</v>
      </c>
      <c r="BM81" s="26" t="n">
        <v>1.21120124433083</v>
      </c>
      <c r="BN81" s="26" t="n">
        <v>1.20189552785203</v>
      </c>
      <c r="BO81" s="26" t="n">
        <v>1.2049265415357</v>
      </c>
      <c r="BP81" s="26" t="n">
        <v>1.20134050427638</v>
      </c>
      <c r="BQ81" s="26" t="n">
        <v>1.48413759500243</v>
      </c>
      <c r="BR81" s="26" t="n">
        <v>1.25542929126423</v>
      </c>
      <c r="BS81" s="26" t="n">
        <v>1.21345667821703</v>
      </c>
      <c r="BT81" s="26" t="n">
        <v>1.20130552625177</v>
      </c>
      <c r="BU81" s="58" t="n">
        <f aca="false">AVERAGE(E81:BT81)</f>
        <v>1.55835303729516</v>
      </c>
    </row>
    <row r="82" customFormat="false" ht="11.25" hidden="false" customHeight="true" outlineLevel="0" collapsed="false">
      <c r="B82" s="19" t="s">
        <v>153</v>
      </c>
      <c r="C82" s="20" t="s">
        <v>154</v>
      </c>
      <c r="D82" s="19" t="n">
        <v>45</v>
      </c>
      <c r="E82" s="21" t="n">
        <v>1.83149427501989</v>
      </c>
      <c r="F82" s="21" t="n">
        <v>1.33176890534665</v>
      </c>
      <c r="G82" s="21" t="n">
        <v>1.26838152088255</v>
      </c>
      <c r="H82" s="21" t="n">
        <v>1.11301341342391</v>
      </c>
      <c r="I82" s="21" t="n">
        <v>1.44458325516471</v>
      </c>
      <c r="J82" s="21" t="n">
        <v>1.1207933158139</v>
      </c>
      <c r="K82" s="21" t="n">
        <v>1.23172025052799</v>
      </c>
      <c r="L82" s="21" t="n">
        <v>1.27949117573712</v>
      </c>
      <c r="M82" s="21" t="n">
        <v>1.15902733571863</v>
      </c>
      <c r="N82" s="21" t="n">
        <v>1.35493062630579</v>
      </c>
      <c r="O82" s="21" t="n">
        <v>1.30907847578423</v>
      </c>
      <c r="P82" s="21" t="n">
        <v>1.22785893741792</v>
      </c>
      <c r="Q82" s="21" t="n">
        <v>1.67221638729189</v>
      </c>
      <c r="R82" s="21" t="n">
        <v>1.13664947105845</v>
      </c>
      <c r="S82" s="21" t="n">
        <v>1.35912838349866</v>
      </c>
      <c r="T82" s="21" t="n">
        <v>1.40284449816035</v>
      </c>
      <c r="U82" s="21" t="n">
        <v>1.61282997186878</v>
      </c>
      <c r="V82" s="21" t="n">
        <v>1.23810637221163</v>
      </c>
      <c r="W82" s="21" t="n">
        <v>2.41670305987493</v>
      </c>
      <c r="X82" s="21" t="n">
        <v>1.09032492390068</v>
      </c>
      <c r="Y82" s="21" t="n">
        <v>1.91037010321752</v>
      </c>
      <c r="Z82" s="21" t="n">
        <v>1.34825571021379</v>
      </c>
      <c r="AA82" s="21" t="n">
        <v>1.11701656522661</v>
      </c>
      <c r="AB82" s="21" t="n">
        <v>1.1778878089608</v>
      </c>
      <c r="AC82" s="21" t="n">
        <v>1.44015041339836</v>
      </c>
      <c r="AD82" s="21" t="n">
        <v>1.33498659808094</v>
      </c>
      <c r="AE82" s="21" t="n">
        <v>1.59956097001314</v>
      </c>
      <c r="AF82" s="21" t="n">
        <v>1.44448335706715</v>
      </c>
      <c r="AG82" s="21" t="n">
        <v>1.27894930194926</v>
      </c>
      <c r="AH82" s="21" t="n">
        <v>1.50848813248484</v>
      </c>
      <c r="AI82" s="21" t="n">
        <v>1.30980732239953</v>
      </c>
      <c r="AJ82" s="21" t="n">
        <v>1.44535297334996</v>
      </c>
      <c r="AK82" s="21" t="n">
        <v>1.14314840331019</v>
      </c>
      <c r="AL82" s="21" t="n">
        <v>1.44327762515926</v>
      </c>
      <c r="AM82" s="21" t="n">
        <v>1.64893991707107</v>
      </c>
      <c r="AN82" s="21" t="n">
        <v>1.1370409875878</v>
      </c>
      <c r="AO82" s="21" t="n">
        <v>1.14982110040899</v>
      </c>
      <c r="AP82" s="21" t="n">
        <v>2.00246530232161</v>
      </c>
      <c r="AQ82" s="21" t="n">
        <v>1.09394208919951</v>
      </c>
      <c r="AR82" s="21" t="n">
        <v>1.33418707150225</v>
      </c>
      <c r="AS82" s="21" t="n">
        <v>1.13802535615766</v>
      </c>
      <c r="AT82" s="21" t="n">
        <v>5.79386814403397</v>
      </c>
      <c r="AU82" s="21" t="n">
        <v>1.78510174437801</v>
      </c>
      <c r="AV82" s="21" t="n">
        <v>1.19418652087045</v>
      </c>
      <c r="AW82" s="21" t="n">
        <v>1.07899116135899</v>
      </c>
      <c r="AX82" s="21" t="n">
        <v>1.22794807887911</v>
      </c>
      <c r="AY82" s="21" t="n">
        <v>1.0695574904248</v>
      </c>
      <c r="AZ82" s="21" t="n">
        <v>1.07461561017577</v>
      </c>
      <c r="BA82" s="21" t="n">
        <v>1.09443216616212</v>
      </c>
      <c r="BB82" s="21" t="n">
        <v>1.61176725940008</v>
      </c>
      <c r="BC82" s="21" t="n">
        <v>1.53504614588783</v>
      </c>
      <c r="BD82" s="21" t="n">
        <v>1.19936043746714</v>
      </c>
      <c r="BE82" s="21" t="n">
        <v>1.59312392021925</v>
      </c>
      <c r="BF82" s="21" t="n">
        <v>1.10113400745753</v>
      </c>
      <c r="BG82" s="21" t="n">
        <v>1.39850527993504</v>
      </c>
      <c r="BH82" s="21" t="n">
        <v>1.19125640595051</v>
      </c>
      <c r="BI82" s="21" t="n">
        <v>1.20263117801317</v>
      </c>
      <c r="BJ82" s="21" t="n">
        <v>1.11654886508347</v>
      </c>
      <c r="BK82" s="21" t="n">
        <v>1.20966021911939</v>
      </c>
      <c r="BL82" s="21" t="n">
        <v>1.07429809208173</v>
      </c>
      <c r="BM82" s="21" t="n">
        <v>1.07449040730822</v>
      </c>
      <c r="BN82" s="21" t="n">
        <v>1.06624047930891</v>
      </c>
      <c r="BO82" s="21" t="n">
        <v>1.06892100646002</v>
      </c>
      <c r="BP82" s="21" t="n">
        <v>1.06574816945021</v>
      </c>
      <c r="BQ82" s="21" t="n">
        <v>1.31662661274531</v>
      </c>
      <c r="BR82" s="21" t="n">
        <v>1.11373243010832</v>
      </c>
      <c r="BS82" s="21" t="n">
        <v>1.07649518969038</v>
      </c>
      <c r="BT82" s="21" t="n">
        <v>1.06571714451019</v>
      </c>
      <c r="BU82" s="58" t="n">
        <f aca="false">AVERAGE(E82:BT82)</f>
        <v>1.38245743868483</v>
      </c>
    </row>
    <row r="83" customFormat="false" ht="11.25" hidden="false" customHeight="true" outlineLevel="0" collapsed="false">
      <c r="B83" s="24" t="s">
        <v>155</v>
      </c>
      <c r="C83" s="25" t="s">
        <v>156</v>
      </c>
      <c r="D83" s="24" t="n">
        <v>46</v>
      </c>
      <c r="E83" s="26" t="n">
        <v>1.89637776106238</v>
      </c>
      <c r="F83" s="26" t="n">
        <v>1.37895808300773</v>
      </c>
      <c r="G83" s="26" t="n">
        <v>1.31332549860418</v>
      </c>
      <c r="H83" s="26" t="n">
        <v>1.15245268888383</v>
      </c>
      <c r="I83" s="26" t="n">
        <v>1.49564883101108</v>
      </c>
      <c r="J83" s="26" t="n">
        <v>1.16050840819075</v>
      </c>
      <c r="K83" s="26" t="n">
        <v>1.27536618885791</v>
      </c>
      <c r="L83" s="26" t="n">
        <v>1.32482588710702</v>
      </c>
      <c r="M83" s="26" t="n">
        <v>1.20009104309032</v>
      </c>
      <c r="N83" s="26" t="n">
        <v>1.40293513841653</v>
      </c>
      <c r="O83" s="26" t="n">
        <v>1.35545597008525</v>
      </c>
      <c r="P83" s="26" t="n">
        <v>1.27136771716375</v>
      </c>
      <c r="Q83" s="26" t="n">
        <v>1.73146649846203</v>
      </c>
      <c r="R83" s="26" t="n">
        <v>1.17691624623717</v>
      </c>
      <c r="S83" s="26" t="n">
        <v>1.40728855449993</v>
      </c>
      <c r="T83" s="26" t="n">
        <v>1.45255690254385</v>
      </c>
      <c r="U83" s="26" t="n">
        <v>1.66998392568984</v>
      </c>
      <c r="V83" s="26" t="n">
        <v>1.28197581089464</v>
      </c>
      <c r="W83" s="26" t="n">
        <v>2.50166110074177</v>
      </c>
      <c r="X83" s="26" t="n">
        <v>1.12895297823805</v>
      </c>
      <c r="Y83" s="26" t="n">
        <v>1.97804323989208</v>
      </c>
      <c r="Z83" s="26" t="n">
        <v>1.39602817571042</v>
      </c>
      <c r="AA83" s="26" t="n">
        <v>1.15659872930631</v>
      </c>
      <c r="AB83" s="26" t="n">
        <v>1.21962580769706</v>
      </c>
      <c r="AC83" s="26" t="n">
        <v>1.49111041890281</v>
      </c>
      <c r="AD83" s="26" t="n">
        <v>1.38229439828924</v>
      </c>
      <c r="AE83" s="26" t="n">
        <v>1.65624228154326</v>
      </c>
      <c r="AF83" s="26" t="n">
        <v>1.49567075161565</v>
      </c>
      <c r="AG83" s="26" t="n">
        <v>1.32427020750646</v>
      </c>
      <c r="AH83" s="26" t="n">
        <v>1.56194561702569</v>
      </c>
      <c r="AI83" s="26" t="n">
        <v>1.35622433974623</v>
      </c>
      <c r="AJ83" s="26" t="n">
        <v>1.49657443364268</v>
      </c>
      <c r="AK83" s="26" t="n">
        <v>1.18365629355509</v>
      </c>
      <c r="AL83" s="26" t="n">
        <v>1.49442672876739</v>
      </c>
      <c r="AM83" s="26" t="n">
        <v>1.70737063797957</v>
      </c>
      <c r="AN83" s="26" t="n">
        <v>1.17733356564015</v>
      </c>
      <c r="AO83" s="26" t="n">
        <v>1.19058177152246</v>
      </c>
      <c r="AP83" s="26" t="n">
        <v>2.07346084832593</v>
      </c>
      <c r="AQ83" s="26" t="n">
        <v>1.13271505412617</v>
      </c>
      <c r="AR83" s="26" t="n">
        <v>1.3814962635719</v>
      </c>
      <c r="AS83" s="26" t="n">
        <v>1.17836915747281</v>
      </c>
      <c r="AT83" s="26" t="n">
        <v>5.999002066801</v>
      </c>
      <c r="AU83" s="26" t="n">
        <v>1.84854448488714</v>
      </c>
      <c r="AV83" s="26" t="n">
        <v>1.2365010342135</v>
      </c>
      <c r="AW83" s="26" t="n">
        <v>1.11500519728783</v>
      </c>
      <c r="AX83" s="26" t="n">
        <v>1.2738652727111</v>
      </c>
      <c r="AY83" s="26" t="n">
        <v>1.10745640501344</v>
      </c>
      <c r="AZ83" s="26" t="n">
        <v>1.11264040127489</v>
      </c>
      <c r="BA83" s="26" t="n">
        <v>1.13321307578541</v>
      </c>
      <c r="BB83" s="26" t="n">
        <v>1.66888131216095</v>
      </c>
      <c r="BC83" s="26" t="n">
        <v>1.58945813656642</v>
      </c>
      <c r="BD83" s="26" t="n">
        <v>1.24182219082675</v>
      </c>
      <c r="BE83" s="26" t="n">
        <v>1.64954603880457</v>
      </c>
      <c r="BF83" s="26" t="n">
        <v>1.14017832606675</v>
      </c>
      <c r="BG83" s="26" t="n">
        <v>1.44805291300592</v>
      </c>
      <c r="BH83" s="26" t="n">
        <v>1.2335758303565</v>
      </c>
      <c r="BI83" s="26" t="n">
        <v>1.24524810584588</v>
      </c>
      <c r="BJ83" s="26" t="n">
        <v>1.15603375575743</v>
      </c>
      <c r="BK83" s="26" t="n">
        <v>1.25251024421056</v>
      </c>
      <c r="BL83" s="26" t="n">
        <v>1.11239387250683</v>
      </c>
      <c r="BM83" s="26" t="n">
        <v>1.11256143099155</v>
      </c>
      <c r="BN83" s="26" t="n">
        <v>1.1040229674809</v>
      </c>
      <c r="BO83" s="26" t="n">
        <v>1.10680120989829</v>
      </c>
      <c r="BP83" s="26" t="n">
        <v>1.1035126546647</v>
      </c>
      <c r="BQ83" s="26" t="n">
        <v>1.36328123587851</v>
      </c>
      <c r="BR83" s="26" t="n">
        <v>1.15319742656682</v>
      </c>
      <c r="BS83" s="26" t="n">
        <v>1.11465852531897</v>
      </c>
      <c r="BT83" s="26" t="n">
        <v>1.10348048381844</v>
      </c>
      <c r="BU83" s="58" t="n">
        <f aca="false">AVERAGE(E83:BT83)</f>
        <v>1.43143527284306</v>
      </c>
    </row>
    <row r="84" customFormat="false" ht="11.25" hidden="false" customHeight="true" outlineLevel="0" collapsed="false">
      <c r="B84" s="19" t="s">
        <v>157</v>
      </c>
      <c r="C84" s="20" t="s">
        <v>158</v>
      </c>
      <c r="D84" s="19" t="n">
        <v>47</v>
      </c>
      <c r="E84" s="21" t="n">
        <v>1.75372864849566</v>
      </c>
      <c r="F84" s="21" t="n">
        <v>1.27522845257935</v>
      </c>
      <c r="G84" s="21" t="n">
        <v>1.21450099179618</v>
      </c>
      <c r="H84" s="21" t="n">
        <v>1.0657293094459</v>
      </c>
      <c r="I84" s="21" t="n">
        <v>1.38308071056312</v>
      </c>
      <c r="J84" s="21" t="n">
        <v>1.07317706341667</v>
      </c>
      <c r="K84" s="21" t="n">
        <v>1.17939119302292</v>
      </c>
      <c r="L84" s="21" t="n">
        <v>1.22516958263534</v>
      </c>
      <c r="M84" s="21" t="n">
        <v>1.1097818207021</v>
      </c>
      <c r="N84" s="21" t="n">
        <v>1.29739389565084</v>
      </c>
      <c r="O84" s="21" t="n">
        <v>1.25350649367771</v>
      </c>
      <c r="P84" s="21" t="n">
        <v>1.17569374352106</v>
      </c>
      <c r="Q84" s="21" t="n">
        <v>1.60120894897442</v>
      </c>
      <c r="R84" s="21" t="n">
        <v>1.08835505059897</v>
      </c>
      <c r="S84" s="21" t="n">
        <v>1.30138636168849</v>
      </c>
      <c r="T84" s="21" t="n">
        <v>1.34324657822544</v>
      </c>
      <c r="U84" s="21" t="n">
        <v>1.54433539675196</v>
      </c>
      <c r="V84" s="21" t="n">
        <v>1.18550410098478</v>
      </c>
      <c r="W84" s="21" t="n">
        <v>2.31328315354456</v>
      </c>
      <c r="X84" s="21" t="n">
        <v>1.0439947024732</v>
      </c>
      <c r="Y84" s="21" t="n">
        <v>1.82920895087822</v>
      </c>
      <c r="Z84" s="21" t="n">
        <v>1.29097799778388</v>
      </c>
      <c r="AA84" s="21" t="n">
        <v>1.06956480882421</v>
      </c>
      <c r="AB84" s="21" t="n">
        <v>1.12784657499044</v>
      </c>
      <c r="AC84" s="21" t="n">
        <v>1.37890021693882</v>
      </c>
      <c r="AD84" s="21" t="n">
        <v>1.2782956964841</v>
      </c>
      <c r="AE84" s="21" t="n">
        <v>1.5316071273945</v>
      </c>
      <c r="AF84" s="21" t="n">
        <v>1.3831161860666</v>
      </c>
      <c r="AG84" s="21" t="n">
        <v>1.2246302240496</v>
      </c>
      <c r="AH84" s="21" t="n">
        <v>1.44439765807575</v>
      </c>
      <c r="AI84" s="21" t="n">
        <v>1.25416591564911</v>
      </c>
      <c r="AJ84" s="21" t="n">
        <v>1.38393876914743</v>
      </c>
      <c r="AK84" s="21" t="n">
        <v>1.09458204059594</v>
      </c>
      <c r="AL84" s="21" t="n">
        <v>1.38195690994218</v>
      </c>
      <c r="AM84" s="21" t="n">
        <v>1.57888362034992</v>
      </c>
      <c r="AN84" s="21" t="n">
        <v>1.08873354665668</v>
      </c>
      <c r="AO84" s="21" t="n">
        <v>1.10093525961704</v>
      </c>
      <c r="AP84" s="21" t="n">
        <v>1.91762818331068</v>
      </c>
      <c r="AQ84" s="21" t="n">
        <v>1.04749364125488</v>
      </c>
      <c r="AR84" s="21" t="n">
        <v>1.27753567765089</v>
      </c>
      <c r="AS84" s="21" t="n">
        <v>1.08966811529893</v>
      </c>
      <c r="AT84" s="21" t="n">
        <v>5.54778528937625</v>
      </c>
      <c r="AU84" s="21" t="n">
        <v>1.70923394128281</v>
      </c>
      <c r="AV84" s="21" t="n">
        <v>1.14344998136328</v>
      </c>
      <c r="AW84" s="21" t="n">
        <v>1.03108777461652</v>
      </c>
      <c r="AX84" s="21" t="n">
        <v>1.1755708036393</v>
      </c>
      <c r="AY84" s="21" t="n">
        <v>1.02616559558311</v>
      </c>
      <c r="AZ84" s="21" t="n">
        <v>1.02892306167438</v>
      </c>
      <c r="BA84" s="21" t="n">
        <v>1.04794152259804</v>
      </c>
      <c r="BB84" s="21" t="n">
        <v>1.5432985600034</v>
      </c>
      <c r="BC84" s="21" t="n">
        <v>1.46985454651954</v>
      </c>
      <c r="BD84" s="21" t="n">
        <v>1.14835894529101</v>
      </c>
      <c r="BE84" s="21" t="n">
        <v>1.52539889448417</v>
      </c>
      <c r="BF84" s="21" t="n">
        <v>1.05440994709282</v>
      </c>
      <c r="BG84" s="21" t="n">
        <v>1.33905775263203</v>
      </c>
      <c r="BH84" s="21" t="n">
        <v>1.14063808655066</v>
      </c>
      <c r="BI84" s="21" t="n">
        <v>1.1515475884821</v>
      </c>
      <c r="BJ84" s="21" t="n">
        <v>1.06902511075358</v>
      </c>
      <c r="BK84" s="21" t="n">
        <v>1.15827357663946</v>
      </c>
      <c r="BL84" s="21" t="n">
        <v>1.02864702772798</v>
      </c>
      <c r="BM84" s="21" t="n">
        <v>1.02883592379886</v>
      </c>
      <c r="BN84" s="21" t="n">
        <v>1.02094156721892</v>
      </c>
      <c r="BO84" s="21" t="n">
        <v>1.02350673499343</v>
      </c>
      <c r="BP84" s="21" t="n">
        <v>1.02047018524445</v>
      </c>
      <c r="BQ84" s="21" t="n">
        <v>1.26069099255372</v>
      </c>
      <c r="BR84" s="21" t="n">
        <v>1.06641747650514</v>
      </c>
      <c r="BS84" s="21" t="n">
        <v>1.03076771131335</v>
      </c>
      <c r="BT84" s="21" t="n">
        <v>1.02044048211326</v>
      </c>
      <c r="BU84" s="58" t="n">
        <f aca="false">AVERAGE(E84:BT84)</f>
        <v>1.32371327058471</v>
      </c>
    </row>
    <row r="85" customFormat="false" ht="11.25" hidden="false" customHeight="true" outlineLevel="0" collapsed="false">
      <c r="B85" s="24" t="s">
        <v>159</v>
      </c>
      <c r="C85" s="25" t="s">
        <v>160</v>
      </c>
      <c r="D85" s="24" t="n">
        <v>48</v>
      </c>
      <c r="E85" s="26" t="n">
        <v>1.79152810407451</v>
      </c>
      <c r="F85" s="26" t="n">
        <v>1.30267618586615</v>
      </c>
      <c r="G85" s="26" t="n">
        <v>1.24061775584435</v>
      </c>
      <c r="H85" s="26" t="n">
        <v>1.08864463266423</v>
      </c>
      <c r="I85" s="26" t="n">
        <v>1.41282489874018</v>
      </c>
      <c r="J85" s="26" t="n">
        <v>1.09625330745325</v>
      </c>
      <c r="K85" s="26" t="n">
        <v>1.20475092995809</v>
      </c>
      <c r="L85" s="26" t="n">
        <v>1.25161065176745</v>
      </c>
      <c r="M85" s="26" t="n">
        <v>1.13366111214356</v>
      </c>
      <c r="N85" s="26" t="n">
        <v>1.32540067594962</v>
      </c>
      <c r="O85" s="26" t="n">
        <v>1.28073948408601</v>
      </c>
      <c r="P85" s="26" t="n">
        <v>1.2009740419254</v>
      </c>
      <c r="Q85" s="26" t="n">
        <v>1.63560064972201</v>
      </c>
      <c r="R85" s="26" t="n">
        <v>1.11175143249408</v>
      </c>
      <c r="S85" s="26" t="n">
        <v>1.32936929458843</v>
      </c>
      <c r="T85" s="26" t="n">
        <v>1.37212963925811</v>
      </c>
      <c r="U85" s="26" t="n">
        <v>1.57753429176413</v>
      </c>
      <c r="V85" s="26" t="n">
        <v>1.2109949564408</v>
      </c>
      <c r="W85" s="26" t="n">
        <v>2.36307591464369</v>
      </c>
      <c r="X85" s="26" t="n">
        <v>1.06644633566287</v>
      </c>
      <c r="Y85" s="26" t="n">
        <v>1.86855271167191</v>
      </c>
      <c r="Z85" s="26" t="n">
        <v>1.31874023810949</v>
      </c>
      <c r="AA85" s="26" t="n">
        <v>1.09255927449334</v>
      </c>
      <c r="AB85" s="26" t="n">
        <v>1.15209855062975</v>
      </c>
      <c r="AC85" s="26" t="n">
        <v>1.40856843594378</v>
      </c>
      <c r="AD85" s="26" t="n">
        <v>1.30577216068302</v>
      </c>
      <c r="AE85" s="26" t="n">
        <v>1.56454436819556</v>
      </c>
      <c r="AF85" s="26" t="n">
        <v>1.41285591161951</v>
      </c>
      <c r="AG85" s="26" t="n">
        <v>1.25098047974512</v>
      </c>
      <c r="AH85" s="26" t="n">
        <v>1.47545443148097</v>
      </c>
      <c r="AI85" s="26" t="n">
        <v>1.28112724399306</v>
      </c>
      <c r="AJ85" s="26" t="n">
        <v>1.41369698942642</v>
      </c>
      <c r="AK85" s="26" t="n">
        <v>1.11811826539058</v>
      </c>
      <c r="AL85" s="26" t="n">
        <v>1.41167457363155</v>
      </c>
      <c r="AM85" s="26" t="n">
        <v>1.61283373132313</v>
      </c>
      <c r="AN85" s="26" t="n">
        <v>1.11214363156009</v>
      </c>
      <c r="AO85" s="26" t="n">
        <v>1.12461036286044</v>
      </c>
      <c r="AP85" s="26" t="n">
        <v>1.95866118568861</v>
      </c>
      <c r="AQ85" s="26" t="n">
        <v>1.06999662474134</v>
      </c>
      <c r="AR85" s="26" t="n">
        <v>1.30497087005077</v>
      </c>
      <c r="AS85" s="26" t="n">
        <v>1.11310242287791</v>
      </c>
      <c r="AT85" s="26" t="n">
        <v>5.66743080608585</v>
      </c>
      <c r="AU85" s="26" t="n">
        <v>1.74604199133504</v>
      </c>
      <c r="AV85" s="26" t="n">
        <v>1.16803756311711</v>
      </c>
      <c r="AW85" s="26" t="n">
        <v>1.05325376525135</v>
      </c>
      <c r="AX85" s="26" t="n">
        <v>1.20085328637105</v>
      </c>
      <c r="AY85" s="26" t="n">
        <v>1.04613526681648</v>
      </c>
      <c r="AZ85" s="26" t="n">
        <v>1.05313816600132</v>
      </c>
      <c r="BA85" s="26" t="n">
        <v>1.0704684508138</v>
      </c>
      <c r="BB85" s="26" t="n">
        <v>1.57647953108191</v>
      </c>
      <c r="BC85" s="26" t="n">
        <v>1.50143413497291</v>
      </c>
      <c r="BD85" s="26" t="n">
        <v>1.17304464646609</v>
      </c>
      <c r="BE85" s="26" t="n">
        <v>1.55816998546329</v>
      </c>
      <c r="BF85" s="26" t="n">
        <v>1.07704623274846</v>
      </c>
      <c r="BG85" s="26" t="n">
        <v>1.36784487343083</v>
      </c>
      <c r="BH85" s="26" t="n">
        <v>1.16516411846889</v>
      </c>
      <c r="BI85" s="26" t="n">
        <v>1.17630460022329</v>
      </c>
      <c r="BJ85" s="26" t="n">
        <v>1.09201013806119</v>
      </c>
      <c r="BK85" s="26" t="n">
        <v>1.18311787639378</v>
      </c>
      <c r="BL85" s="26" t="n">
        <v>1.05076269001999</v>
      </c>
      <c r="BM85" s="26" t="n">
        <v>1.05095669152879</v>
      </c>
      <c r="BN85" s="26" t="n">
        <v>1.04289412632318</v>
      </c>
      <c r="BO85" s="26" t="n">
        <v>1.0455140786101</v>
      </c>
      <c r="BP85" s="26" t="n">
        <v>1.04241278791529</v>
      </c>
      <c r="BQ85" s="26" t="n">
        <v>1.28779839189947</v>
      </c>
      <c r="BR85" s="26" t="n">
        <v>1.0893466311609</v>
      </c>
      <c r="BS85" s="26" t="n">
        <v>1.05292325052938</v>
      </c>
      <c r="BT85" s="26" t="n">
        <v>1.04238244675832</v>
      </c>
      <c r="BU85" s="58" t="n">
        <f aca="false">AVERAGE(E85:BT85)</f>
        <v>1.35218548951487</v>
      </c>
    </row>
    <row r="86" customFormat="false" ht="11.25" hidden="false" customHeight="true" outlineLevel="0" collapsed="false">
      <c r="B86" s="19" t="s">
        <v>161</v>
      </c>
      <c r="C86" s="20" t="s">
        <v>162</v>
      </c>
      <c r="D86" s="19" t="n">
        <v>49</v>
      </c>
      <c r="E86" s="21" t="n">
        <v>2.32185143513892</v>
      </c>
      <c r="F86" s="21" t="n">
        <v>1.68832256567426</v>
      </c>
      <c r="G86" s="21" t="n">
        <v>1.60797474806929</v>
      </c>
      <c r="H86" s="21" t="n">
        <v>1.41100068702031</v>
      </c>
      <c r="I86" s="21" t="n">
        <v>1.8311922591528</v>
      </c>
      <c r="J86" s="21" t="n">
        <v>1.4208631051319</v>
      </c>
      <c r="K86" s="21" t="n">
        <v>1.56148919237319</v>
      </c>
      <c r="L86" s="21" t="n">
        <v>1.62204619579769</v>
      </c>
      <c r="M86" s="21" t="n">
        <v>1.46932628615657</v>
      </c>
      <c r="N86" s="21" t="n">
        <v>1.71770245618789</v>
      </c>
      <c r="O86" s="21" t="n">
        <v>1.6595475181464</v>
      </c>
      <c r="P86" s="21" t="n">
        <v>1.55659272495431</v>
      </c>
      <c r="Q86" s="21" t="n">
        <v>2.11991464399302</v>
      </c>
      <c r="R86" s="21" t="n">
        <v>1.44094976984871</v>
      </c>
      <c r="S86" s="21" t="n">
        <v>1.72300744958738</v>
      </c>
      <c r="T86" s="21" t="n">
        <v>1.77843459265436</v>
      </c>
      <c r="U86" s="21" t="n">
        <v>2.04496006165593</v>
      </c>
      <c r="V86" s="21" t="n">
        <v>1.56988193059597</v>
      </c>
      <c r="W86" s="21" t="n">
        <v>3.06288559275633</v>
      </c>
      <c r="X86" s="21" t="n">
        <v>1.38222763049812</v>
      </c>
      <c r="Y86" s="21" t="n">
        <v>2.42186780585887</v>
      </c>
      <c r="Z86" s="21" t="n">
        <v>1.70929134528597</v>
      </c>
      <c r="AA86" s="21" t="n">
        <v>1.41608144051604</v>
      </c>
      <c r="AB86" s="21" t="n">
        <v>1.49324456746263</v>
      </c>
      <c r="AC86" s="21" t="n">
        <v>1.82566569442306</v>
      </c>
      <c r="AD86" s="21" t="n">
        <v>1.69240723764324</v>
      </c>
      <c r="AE86" s="21" t="n">
        <v>2.02782024936688</v>
      </c>
      <c r="AF86" s="21" t="n">
        <v>1.83122575871521</v>
      </c>
      <c r="AG86" s="21" t="n">
        <v>1.62137131464726</v>
      </c>
      <c r="AH86" s="21" t="n">
        <v>1.91236495479518</v>
      </c>
      <c r="AI86" s="21" t="n">
        <v>1.66049045203957</v>
      </c>
      <c r="AJ86" s="21" t="n">
        <v>1.83232848665954</v>
      </c>
      <c r="AK86" s="21" t="n">
        <v>1.44920322397453</v>
      </c>
      <c r="AL86" s="21" t="n">
        <v>1.82969407980872</v>
      </c>
      <c r="AM86" s="21" t="n">
        <v>2.09041203346604</v>
      </c>
      <c r="AN86" s="21" t="n">
        <v>1.44146144649384</v>
      </c>
      <c r="AO86" s="21" t="n">
        <v>1.45771647480856</v>
      </c>
      <c r="AP86" s="21" t="n">
        <v>2.53870312442942</v>
      </c>
      <c r="AQ86" s="21" t="n">
        <v>1.38683197891485</v>
      </c>
      <c r="AR86" s="21" t="n">
        <v>1.69139005982585</v>
      </c>
      <c r="AS86" s="21" t="n">
        <v>1.44272049010361</v>
      </c>
      <c r="AT86" s="21" t="n">
        <v>7.3520874160505</v>
      </c>
      <c r="AU86" s="21" t="n">
        <v>2.26328313558049</v>
      </c>
      <c r="AV86" s="21" t="n">
        <v>1.51390641637819</v>
      </c>
      <c r="AW86" s="21" t="n">
        <v>1.3651393982414</v>
      </c>
      <c r="AX86" s="21" t="n">
        <v>1.55646335733609</v>
      </c>
      <c r="AY86" s="21" t="n">
        <v>1.35591620361157</v>
      </c>
      <c r="AZ86" s="21" t="n">
        <v>1.36225883693231</v>
      </c>
      <c r="BA86" s="21" t="n">
        <v>1.39025221831409</v>
      </c>
      <c r="BB86" s="21" t="n">
        <v>2.04336196007726</v>
      </c>
      <c r="BC86" s="21" t="n">
        <v>1.94608658938079</v>
      </c>
      <c r="BD86" s="21" t="n">
        <v>1.52048659500816</v>
      </c>
      <c r="BE86" s="21" t="n">
        <v>2.01968331633076</v>
      </c>
      <c r="BF86" s="21" t="n">
        <v>1.39599417035385</v>
      </c>
      <c r="BG86" s="21" t="n">
        <v>1.77299384789062</v>
      </c>
      <c r="BH86" s="21" t="n">
        <v>1.51018501293011</v>
      </c>
      <c r="BI86" s="21" t="n">
        <v>1.52474852933807</v>
      </c>
      <c r="BJ86" s="21" t="n">
        <v>1.41540293093164</v>
      </c>
      <c r="BK86" s="21" t="n">
        <v>1.53352031258867</v>
      </c>
      <c r="BL86" s="21" t="n">
        <v>1.36191152848521</v>
      </c>
      <c r="BM86" s="21" t="n">
        <v>1.36216987003464</v>
      </c>
      <c r="BN86" s="21" t="n">
        <v>1.35170422359978</v>
      </c>
      <c r="BO86" s="21" t="n">
        <v>1.35510321226446</v>
      </c>
      <c r="BP86" s="21" t="n">
        <v>1.35107985881722</v>
      </c>
      <c r="BQ86" s="21" t="n">
        <v>1.66912654206136</v>
      </c>
      <c r="BR86" s="21" t="n">
        <v>1.41191684196972</v>
      </c>
      <c r="BS86" s="21" t="n">
        <v>1.36471429262501</v>
      </c>
      <c r="BT86" s="21" t="n">
        <v>1.35104051910526</v>
      </c>
      <c r="BU86" s="58" t="n">
        <f aca="false">AVERAGE(E86:BT86)</f>
        <v>1.75269117942455</v>
      </c>
    </row>
    <row r="87" customFormat="false" ht="11.25" hidden="false" customHeight="true" outlineLevel="0" collapsed="false">
      <c r="B87" s="24" t="s">
        <v>163</v>
      </c>
      <c r="C87" s="25" t="s">
        <v>164</v>
      </c>
      <c r="D87" s="24" t="n">
        <v>50</v>
      </c>
      <c r="E87" s="26" t="n">
        <v>2.56508417462881</v>
      </c>
      <c r="F87" s="26" t="n">
        <v>1.86519719771472</v>
      </c>
      <c r="G87" s="26" t="n">
        <v>1.7764237502344</v>
      </c>
      <c r="H87" s="26" t="n">
        <v>1.55882121598808</v>
      </c>
      <c r="I87" s="26" t="n">
        <v>2.02301228192213</v>
      </c>
      <c r="J87" s="26" t="n">
        <v>1.56971716638436</v>
      </c>
      <c r="K87" s="26" t="n">
        <v>1.72507519678524</v>
      </c>
      <c r="L87" s="26" t="n">
        <v>1.79197877232773</v>
      </c>
      <c r="M87" s="26" t="n">
        <v>1.62325666602081</v>
      </c>
      <c r="N87" s="26" t="n">
        <v>1.89764513860456</v>
      </c>
      <c r="O87" s="26" t="n">
        <v>1.83341130430841</v>
      </c>
      <c r="P87" s="26" t="n">
        <v>1.71966702797964</v>
      </c>
      <c r="Q87" s="26" t="n">
        <v>2.34200687105156</v>
      </c>
      <c r="R87" s="26" t="n">
        <v>1.59191797699191</v>
      </c>
      <c r="S87" s="26" t="n">
        <v>1.90351869226336</v>
      </c>
      <c r="T87" s="26" t="n">
        <v>1.96477182929629</v>
      </c>
      <c r="U87" s="26" t="n">
        <v>2.25886651524664</v>
      </c>
      <c r="V87" s="26" t="n">
        <v>1.73407774422326</v>
      </c>
      <c r="W87" s="26" t="n">
        <v>3.38366037292488</v>
      </c>
      <c r="X87" s="26" t="n">
        <v>1.52703341187506</v>
      </c>
      <c r="Y87" s="26" t="n">
        <v>2.67554277941077</v>
      </c>
      <c r="Z87" s="26" t="n">
        <v>1.88830531002194</v>
      </c>
      <c r="AA87" s="26" t="n">
        <v>1.56443461563409</v>
      </c>
      <c r="AB87" s="26" t="n">
        <v>1.64968149294703</v>
      </c>
      <c r="AC87" s="26" t="n">
        <v>2.01690099713753</v>
      </c>
      <c r="AD87" s="26" t="n">
        <v>1.8697085441992</v>
      </c>
      <c r="AE87" s="26" t="n">
        <v>2.24025209889939</v>
      </c>
      <c r="AF87" s="26" t="n">
        <v>2.02306164790824</v>
      </c>
      <c r="AG87" s="26" t="n">
        <v>1.79122468411914</v>
      </c>
      <c r="AH87" s="26" t="n">
        <v>2.11275145561777</v>
      </c>
      <c r="AI87" s="26" t="n">
        <v>1.83445047394429</v>
      </c>
      <c r="AJ87" s="26" t="n">
        <v>2.02426900155799</v>
      </c>
      <c r="AK87" s="26" t="n">
        <v>1.60102679000035</v>
      </c>
      <c r="AL87" s="26" t="n">
        <v>2.02137232412516</v>
      </c>
      <c r="AM87" s="26" t="n">
        <v>2.30940716383152</v>
      </c>
      <c r="AN87" s="26" t="n">
        <v>1.5924768447899</v>
      </c>
      <c r="AO87" s="26" t="n">
        <v>1.61033813444404</v>
      </c>
      <c r="AP87" s="26" t="n">
        <v>2.80465403736638</v>
      </c>
      <c r="AQ87" s="26" t="n">
        <v>1.53211847894154</v>
      </c>
      <c r="AR87" s="26" t="n">
        <v>1.86861491177237</v>
      </c>
      <c r="AS87" s="26" t="n">
        <v>1.59386378193843</v>
      </c>
      <c r="AT87" s="26" t="n">
        <v>8.11951159267562</v>
      </c>
      <c r="AU87" s="26" t="n">
        <v>2.50020880901501</v>
      </c>
      <c r="AV87" s="26" t="n">
        <v>1.67250545402325</v>
      </c>
      <c r="AW87" s="26" t="n">
        <v>1.50816466230755</v>
      </c>
      <c r="AX87" s="26" t="n">
        <v>1.71950327610916</v>
      </c>
      <c r="AY87" s="26" t="n">
        <v>1.49796608564701</v>
      </c>
      <c r="AZ87" s="26" t="n">
        <v>1.50499827904296</v>
      </c>
      <c r="BA87" s="26" t="n">
        <v>1.53280821326403</v>
      </c>
      <c r="BB87" s="26" t="n">
        <v>2.26254791951984</v>
      </c>
      <c r="BC87" s="26" t="n">
        <v>2.14996422543549</v>
      </c>
      <c r="BD87" s="26" t="n">
        <v>1.67977448760606</v>
      </c>
      <c r="BE87" s="26" t="n">
        <v>2.23125581404604</v>
      </c>
      <c r="BF87" s="26" t="n">
        <v>1.54224493734459</v>
      </c>
      <c r="BG87" s="26" t="n">
        <v>1.95886768053244</v>
      </c>
      <c r="BH87" s="26" t="n">
        <v>1.66839142337207</v>
      </c>
      <c r="BI87" s="26" t="n">
        <v>1.68451271804205</v>
      </c>
      <c r="BJ87" s="26" t="n">
        <v>1.56367826968195</v>
      </c>
      <c r="BK87" s="26" t="n">
        <v>1.69419524697616</v>
      </c>
      <c r="BL87" s="26" t="n">
        <v>1.50460257793106</v>
      </c>
      <c r="BM87" s="26" t="n">
        <v>1.50488382308844</v>
      </c>
      <c r="BN87" s="26" t="n">
        <v>1.49331385408543</v>
      </c>
      <c r="BO87" s="26" t="n">
        <v>1.49706943841082</v>
      </c>
      <c r="BP87" s="26" t="n">
        <v>1.49262404906938</v>
      </c>
      <c r="BQ87" s="26" t="n">
        <v>1.84399052031719</v>
      </c>
      <c r="BR87" s="26" t="n">
        <v>1.55999975849869</v>
      </c>
      <c r="BS87" s="26" t="n">
        <v>1.5076906151832</v>
      </c>
      <c r="BT87" s="26" t="n">
        <v>1.49258059361256</v>
      </c>
      <c r="BU87" s="58" t="n">
        <f aca="false">AVERAGE(E87:BT87)</f>
        <v>1.93628607647378</v>
      </c>
    </row>
    <row r="88" customFormat="false" ht="11.25" hidden="false" customHeight="true" outlineLevel="0" collapsed="false">
      <c r="B88" s="19" t="s">
        <v>165</v>
      </c>
      <c r="C88" s="20" t="s">
        <v>166</v>
      </c>
      <c r="D88" s="19" t="n">
        <v>51</v>
      </c>
      <c r="E88" s="21" t="n">
        <v>2.97426322298501</v>
      </c>
      <c r="F88" s="21" t="n">
        <v>2.16272396460631</v>
      </c>
      <c r="G88" s="21" t="n">
        <v>2.05978556958175</v>
      </c>
      <c r="H88" s="21" t="n">
        <v>1.80747653276381</v>
      </c>
      <c r="I88" s="21" t="n">
        <v>2.34571768599407</v>
      </c>
      <c r="J88" s="21" t="n">
        <v>1.82010978762657</v>
      </c>
      <c r="K88" s="21" t="n">
        <v>2.00024918742081</v>
      </c>
      <c r="L88" s="21" t="n">
        <v>2.07782359349605</v>
      </c>
      <c r="M88" s="21" t="n">
        <v>1.88218900881421</v>
      </c>
      <c r="N88" s="21" t="n">
        <v>2.20035453334868</v>
      </c>
      <c r="O88" s="21" t="n">
        <v>2.1258628808932</v>
      </c>
      <c r="P88" s="21" t="n">
        <v>1.99397792119006</v>
      </c>
      <c r="Q88" s="21" t="n">
        <v>2.71558631397294</v>
      </c>
      <c r="R88" s="21" t="n">
        <v>1.84584249468473</v>
      </c>
      <c r="S88" s="21" t="n">
        <v>2.20715313576064</v>
      </c>
      <c r="T88" s="21" t="n">
        <v>2.27815493953894</v>
      </c>
      <c r="U88" s="21" t="n">
        <v>2.61917583237575</v>
      </c>
      <c r="V88" s="21" t="n">
        <v>2.01065920162098</v>
      </c>
      <c r="W88" s="21" t="n">
        <v>3.92342092198785</v>
      </c>
      <c r="X88" s="21" t="n">
        <v>1.7706167980784</v>
      </c>
      <c r="Y88" s="21" t="n">
        <v>3.10233232527881</v>
      </c>
      <c r="Z88" s="21" t="n">
        <v>2.18950703941504</v>
      </c>
      <c r="AA88" s="21" t="n">
        <v>1.81398583972561</v>
      </c>
      <c r="AB88" s="21" t="n">
        <v>1.9128295407526</v>
      </c>
      <c r="AC88" s="21" t="n">
        <v>2.33863068909984</v>
      </c>
      <c r="AD88" s="21" t="n">
        <v>2.16796345237232</v>
      </c>
      <c r="AE88" s="21" t="n">
        <v>2.59761396500181</v>
      </c>
      <c r="AF88" s="21" t="n">
        <v>2.34577120193117</v>
      </c>
      <c r="AG88" s="21" t="n">
        <v>2.07695554510968</v>
      </c>
      <c r="AH88" s="21" t="n">
        <v>2.44972439310313</v>
      </c>
      <c r="AI88" s="21" t="n">
        <v>2.12708897671649</v>
      </c>
      <c r="AJ88" s="21" t="n">
        <v>2.34717480933725</v>
      </c>
      <c r="AK88" s="21" t="n">
        <v>1.85641304046916</v>
      </c>
      <c r="AL88" s="21" t="n">
        <v>2.34380919868069</v>
      </c>
      <c r="AM88" s="21" t="n">
        <v>2.677790186174</v>
      </c>
      <c r="AN88" s="21" t="n">
        <v>1.84649507992529</v>
      </c>
      <c r="AO88" s="21" t="n">
        <v>1.86721398851893</v>
      </c>
      <c r="AP88" s="21" t="n">
        <v>3.25208143804405</v>
      </c>
      <c r="AQ88" s="21" t="n">
        <v>1.77651501095151</v>
      </c>
      <c r="AR88" s="21" t="n">
        <v>2.16678953722141</v>
      </c>
      <c r="AS88" s="21" t="n">
        <v>1.84810163064403</v>
      </c>
      <c r="AT88" s="21" t="n">
        <v>9.41783063136431</v>
      </c>
      <c r="AU88" s="21" t="n">
        <v>2.89902772180953</v>
      </c>
      <c r="AV88" s="21" t="n">
        <v>1.93929373415171</v>
      </c>
      <c r="AW88" s="21" t="n">
        <v>1.74873324195515</v>
      </c>
      <c r="AX88" s="21" t="n">
        <v>1.99380357844783</v>
      </c>
      <c r="AY88" s="21" t="n">
        <v>1.73690846517117</v>
      </c>
      <c r="AZ88" s="21" t="n">
        <v>1.74504516280061</v>
      </c>
      <c r="BA88" s="21" t="n">
        <v>1.77731067747717</v>
      </c>
      <c r="BB88" s="21" t="n">
        <v>2.61764541848049</v>
      </c>
      <c r="BC88" s="21" t="n">
        <v>2.49873708049533</v>
      </c>
      <c r="BD88" s="21" t="n">
        <v>1.94770016492517</v>
      </c>
      <c r="BE88" s="21" t="n">
        <v>2.58725931228925</v>
      </c>
      <c r="BF88" s="21" t="n">
        <v>1.78826686838321</v>
      </c>
      <c r="BG88" s="21" t="n">
        <v>2.2711657421344</v>
      </c>
      <c r="BH88" s="21" t="n">
        <v>1.93452653445227</v>
      </c>
      <c r="BI88" s="21" t="n">
        <v>1.95311525820565</v>
      </c>
      <c r="BJ88" s="21" t="n">
        <v>1.81311690225075</v>
      </c>
      <c r="BK88" s="21" t="n">
        <v>1.96470742330572</v>
      </c>
      <c r="BL88" s="21" t="n">
        <v>1.74459892977867</v>
      </c>
      <c r="BM88" s="21" t="n">
        <v>1.74491881988841</v>
      </c>
      <c r="BN88" s="21" t="n">
        <v>1.73151919517683</v>
      </c>
      <c r="BO88" s="21" t="n">
        <v>1.73587438277129</v>
      </c>
      <c r="BP88" s="21" t="n">
        <v>1.73071835673456</v>
      </c>
      <c r="BQ88" s="21" t="n">
        <v>2.13813280928305</v>
      </c>
      <c r="BR88" s="21" t="n">
        <v>1.80866047731148</v>
      </c>
      <c r="BS88" s="21" t="n">
        <v>1.74825919378094</v>
      </c>
      <c r="BT88" s="21" t="n">
        <v>1.73066793270714</v>
      </c>
      <c r="BU88" s="58" t="n">
        <f aca="false">AVERAGE(E88:BT88)</f>
        <v>2.24519815339332</v>
      </c>
    </row>
    <row r="89" customFormat="false" ht="11.25" hidden="false" customHeight="true" outlineLevel="0" collapsed="false">
      <c r="B89" s="24" t="s">
        <v>167</v>
      </c>
      <c r="C89" s="25" t="s">
        <v>168</v>
      </c>
      <c r="D89" s="24" t="n">
        <v>52</v>
      </c>
      <c r="E89" s="26" t="n">
        <v>1.9417379801644</v>
      </c>
      <c r="F89" s="26" t="n">
        <v>1.41194305190416</v>
      </c>
      <c r="G89" s="26" t="n">
        <v>1.34474048126178</v>
      </c>
      <c r="H89" s="26" t="n">
        <v>1.18001913265612</v>
      </c>
      <c r="I89" s="26" t="n">
        <v>1.53139101946832</v>
      </c>
      <c r="J89" s="26" t="n">
        <v>1.18826757749411</v>
      </c>
      <c r="K89" s="26" t="n">
        <v>1.30587289308862</v>
      </c>
      <c r="L89" s="26" t="n">
        <v>1.35651631655348</v>
      </c>
      <c r="M89" s="26" t="n">
        <v>1.22879541193948</v>
      </c>
      <c r="N89" s="26" t="n">
        <v>1.43649491900245</v>
      </c>
      <c r="O89" s="26" t="n">
        <v>1.38787904038202</v>
      </c>
      <c r="P89" s="26" t="n">
        <v>1.30177938020702</v>
      </c>
      <c r="Q89" s="26" t="n">
        <v>1.77288255007171</v>
      </c>
      <c r="R89" s="26" t="n">
        <v>1.20506617224013</v>
      </c>
      <c r="S89" s="26" t="n">
        <v>1.44095149811958</v>
      </c>
      <c r="T89" s="26" t="n">
        <v>1.48729990864552</v>
      </c>
      <c r="U89" s="26" t="n">
        <v>1.7099333980741</v>
      </c>
      <c r="V89" s="26" t="n">
        <v>1.31267070991091</v>
      </c>
      <c r="W89" s="26" t="n">
        <v>2.56132548462365</v>
      </c>
      <c r="X89" s="26" t="n">
        <v>1.15595523875234</v>
      </c>
      <c r="Y89" s="26" t="n">
        <v>2.02535364030419</v>
      </c>
      <c r="Z89" s="26" t="n">
        <v>1.42942106343944</v>
      </c>
      <c r="AA89" s="26" t="n">
        <v>1.18426422331865</v>
      </c>
      <c r="AB89" s="26" t="n">
        <v>1.24879973774759</v>
      </c>
      <c r="AC89" s="26" t="n">
        <v>1.52677232503438</v>
      </c>
      <c r="AD89" s="26" t="n">
        <v>1.41535698043514</v>
      </c>
      <c r="AE89" s="26" t="n">
        <v>1.69585263148433</v>
      </c>
      <c r="AF89" s="26" t="n">
        <v>1.53144407114045</v>
      </c>
      <c r="AG89" s="26" t="n">
        <v>1.35594210335039</v>
      </c>
      <c r="AH89" s="26" t="n">
        <v>1.59936625725062</v>
      </c>
      <c r="AI89" s="26" t="n">
        <v>1.38866164937481</v>
      </c>
      <c r="AJ89" s="26" t="n">
        <v>1.53235798958579</v>
      </c>
      <c r="AK89" s="26" t="n">
        <v>1.21196891861058</v>
      </c>
      <c r="AL89" s="26" t="n">
        <v>1.53016189545279</v>
      </c>
      <c r="AM89" s="26" t="n">
        <v>1.74820907624507</v>
      </c>
      <c r="AN89" s="26" t="n">
        <v>1.20549367593543</v>
      </c>
      <c r="AO89" s="26" t="n">
        <v>1.21901342209699</v>
      </c>
      <c r="AP89" s="26" t="n">
        <v>2.12302756104711</v>
      </c>
      <c r="AQ89" s="26" t="n">
        <v>1.15980027905046</v>
      </c>
      <c r="AR89" s="26" t="n">
        <v>1.41452830640122</v>
      </c>
      <c r="AS89" s="26" t="n">
        <v>1.20652782291138</v>
      </c>
      <c r="AT89" s="26" t="n">
        <v>6.14313019974134</v>
      </c>
      <c r="AU89" s="26" t="n">
        <v>1.8925259124426</v>
      </c>
      <c r="AV89" s="26" t="n">
        <v>1.26607713558305</v>
      </c>
      <c r="AW89" s="26" t="n">
        <v>1.14167052069504</v>
      </c>
      <c r="AX89" s="26" t="n">
        <v>1.30163786562305</v>
      </c>
      <c r="AY89" s="26" t="n">
        <v>1.13395003506949</v>
      </c>
      <c r="AZ89" s="26" t="n">
        <v>1.13925476583159</v>
      </c>
      <c r="BA89" s="26" t="n">
        <v>1.160322129293</v>
      </c>
      <c r="BB89" s="26" t="n">
        <v>1.70880899225449</v>
      </c>
      <c r="BC89" s="26" t="n">
        <v>1.62749649261617</v>
      </c>
      <c r="BD89" s="26" t="n">
        <v>1.27418483732974</v>
      </c>
      <c r="BE89" s="26" t="n">
        <v>1.68895392570528</v>
      </c>
      <c r="BF89" s="26" t="n">
        <v>1.16743593253629</v>
      </c>
      <c r="BG89" s="26" t="n">
        <v>1.48269699318201</v>
      </c>
      <c r="BH89" s="26" t="n">
        <v>1.26296857708866</v>
      </c>
      <c r="BI89" s="26" t="n">
        <v>1.27504776161957</v>
      </c>
      <c r="BJ89" s="26" t="n">
        <v>1.18368176615723</v>
      </c>
      <c r="BK89" s="26" t="n">
        <v>1.28251732855173</v>
      </c>
      <c r="BL89" s="26" t="n">
        <v>1.13896161469035</v>
      </c>
      <c r="BM89" s="26" t="n">
        <v>1.13917192465377</v>
      </c>
      <c r="BN89" s="26" t="n">
        <v>1.13043174673405</v>
      </c>
      <c r="BO89" s="26" t="n">
        <v>1.1332715685352</v>
      </c>
      <c r="BP89" s="26" t="n">
        <v>1.1299091419624</v>
      </c>
      <c r="BQ89" s="26" t="n">
        <v>1.39589124553136</v>
      </c>
      <c r="BR89" s="26" t="n">
        <v>1.18078292414953</v>
      </c>
      <c r="BS89" s="26" t="n">
        <v>1.14131895233062</v>
      </c>
      <c r="BT89" s="26" t="n">
        <v>1.12987618993703</v>
      </c>
      <c r="BU89" s="58" t="n">
        <f aca="false">AVERAGE(E89:BT89)</f>
        <v>1.46567385697973</v>
      </c>
    </row>
    <row r="90" customFormat="false" ht="11.25" hidden="false" customHeight="true" outlineLevel="0" collapsed="false">
      <c r="B90" s="19" t="s">
        <v>169</v>
      </c>
      <c r="C90" s="20" t="s">
        <v>170</v>
      </c>
      <c r="D90" s="19" t="n">
        <v>53</v>
      </c>
      <c r="E90" s="21" t="n">
        <v>2.27427422003286</v>
      </c>
      <c r="F90" s="21" t="n">
        <v>1.65374960761311</v>
      </c>
      <c r="G90" s="21" t="n">
        <v>1.5750377009983</v>
      </c>
      <c r="H90" s="21" t="n">
        <v>1.38210627041418</v>
      </c>
      <c r="I90" s="21" t="n">
        <v>1.79365169079803</v>
      </c>
      <c r="J90" s="21" t="n">
        <v>1.39176731544736</v>
      </c>
      <c r="K90" s="21" t="n">
        <v>1.52951357540648</v>
      </c>
      <c r="L90" s="21" t="n">
        <v>1.58883088252538</v>
      </c>
      <c r="M90" s="21" t="n">
        <v>1.43923621735207</v>
      </c>
      <c r="N90" s="21" t="n">
        <v>1.68250561943832</v>
      </c>
      <c r="O90" s="21" t="n">
        <v>1.62556677349154</v>
      </c>
      <c r="P90" s="21" t="n">
        <v>1.52471927985165</v>
      </c>
      <c r="Q90" s="21" t="n">
        <v>2.07650357930433</v>
      </c>
      <c r="R90" s="21" t="n">
        <v>1.41144705428928</v>
      </c>
      <c r="S90" s="21" t="n">
        <v>1.68772562184716</v>
      </c>
      <c r="T90" s="21" t="n">
        <v>1.74201092884872</v>
      </c>
      <c r="U90" s="21" t="n">
        <v>2.00277508423236</v>
      </c>
      <c r="V90" s="21" t="n">
        <v>1.53745709493497</v>
      </c>
      <c r="W90" s="21" t="n">
        <v>2.99996295216737</v>
      </c>
      <c r="X90" s="21" t="n">
        <v>1.35392151049125</v>
      </c>
      <c r="Y90" s="21" t="n">
        <v>2.3722079369524</v>
      </c>
      <c r="Z90" s="21" t="n">
        <v>1.674217767056</v>
      </c>
      <c r="AA90" s="21" t="n">
        <v>1.38707808420073</v>
      </c>
      <c r="AB90" s="21" t="n">
        <v>1.46266622273306</v>
      </c>
      <c r="AC90" s="21" t="n">
        <v>1.78823942526098</v>
      </c>
      <c r="AD90" s="21" t="n">
        <v>1.65774591286622</v>
      </c>
      <c r="AE90" s="21" t="n">
        <v>1.98627621214114</v>
      </c>
      <c r="AF90" s="21" t="n">
        <v>1.79371403494799</v>
      </c>
      <c r="AG90" s="21" t="n">
        <v>1.58815461370873</v>
      </c>
      <c r="AH90" s="21" t="n">
        <v>1.87319840038218</v>
      </c>
      <c r="AI90" s="21" t="n">
        <v>1.62647791409716</v>
      </c>
      <c r="AJ90" s="21" t="n">
        <v>1.79478151867468</v>
      </c>
      <c r="AK90" s="21" t="n">
        <v>1.41952784450012</v>
      </c>
      <c r="AL90" s="21" t="n">
        <v>1.79221267739888</v>
      </c>
      <c r="AM90" s="21" t="n">
        <v>2.04760287239656</v>
      </c>
      <c r="AN90" s="21" t="n">
        <v>1.41194313432286</v>
      </c>
      <c r="AO90" s="21" t="n">
        <v>1.42776505629316</v>
      </c>
      <c r="AP90" s="21" t="n">
        <v>2.48661067533213</v>
      </c>
      <c r="AQ90" s="21" t="n">
        <v>1.35842476219074</v>
      </c>
      <c r="AR90" s="21" t="n">
        <v>1.65675851124517</v>
      </c>
      <c r="AS90" s="21" t="n">
        <v>1.41315383441653</v>
      </c>
      <c r="AT90" s="21" t="n">
        <v>7.19448788896049</v>
      </c>
      <c r="AU90" s="21" t="n">
        <v>2.21662183896398</v>
      </c>
      <c r="AV90" s="21" t="n">
        <v>1.48290225846219</v>
      </c>
      <c r="AW90" s="21" t="n">
        <v>1.33719015645064</v>
      </c>
      <c r="AX90" s="21" t="n">
        <v>1.52457965145142</v>
      </c>
      <c r="AY90" s="21" t="n">
        <v>1.32814399234264</v>
      </c>
      <c r="AZ90" s="21" t="n">
        <v>1.33437293679781</v>
      </c>
      <c r="BA90" s="21" t="n">
        <v>1.3590479210771</v>
      </c>
      <c r="BB90" s="21" t="n">
        <v>2.00147000211131</v>
      </c>
      <c r="BC90" s="21" t="n">
        <v>1.90625791959891</v>
      </c>
      <c r="BD90" s="21" t="n">
        <v>1.48933925201433</v>
      </c>
      <c r="BE90" s="21" t="n">
        <v>1.98261025277883</v>
      </c>
      <c r="BF90" s="21" t="n">
        <v>1.3673690161638</v>
      </c>
      <c r="BG90" s="21" t="n">
        <v>1.7366582229087</v>
      </c>
      <c r="BH90" s="21" t="n">
        <v>1.47925649854852</v>
      </c>
      <c r="BI90" s="21" t="n">
        <v>1.49343455224104</v>
      </c>
      <c r="BJ90" s="21" t="n">
        <v>1.38638070248337</v>
      </c>
      <c r="BK90" s="21" t="n">
        <v>1.50215006466768</v>
      </c>
      <c r="BL90" s="21" t="n">
        <v>1.33403986947622</v>
      </c>
      <c r="BM90" s="21" t="n">
        <v>1.33426652223404</v>
      </c>
      <c r="BN90" s="21" t="n">
        <v>1.32402640008613</v>
      </c>
      <c r="BO90" s="21" t="n">
        <v>1.32736213002474</v>
      </c>
      <c r="BP90" s="21" t="n">
        <v>1.32341486820734</v>
      </c>
      <c r="BQ90" s="21" t="n">
        <v>1.63494857329567</v>
      </c>
      <c r="BR90" s="21" t="n">
        <v>1.38300219967168</v>
      </c>
      <c r="BS90" s="21" t="n">
        <v>1.336767959446</v>
      </c>
      <c r="BT90" s="21" t="n">
        <v>1.32337634805483</v>
      </c>
      <c r="BU90" s="58" t="n">
        <f aca="false">AVERAGE(E90:BT90)</f>
        <v>1.7166911527812</v>
      </c>
    </row>
    <row r="91" customFormat="false" ht="11.25" hidden="false" customHeight="true" outlineLevel="0" collapsed="false">
      <c r="B91" s="24" t="s">
        <v>171</v>
      </c>
      <c r="C91" s="25" t="s">
        <v>172</v>
      </c>
      <c r="D91" s="24" t="n">
        <v>54</v>
      </c>
      <c r="E91" s="26" t="n">
        <v>1.73519172335167</v>
      </c>
      <c r="F91" s="26" t="n">
        <v>1.2617553261293</v>
      </c>
      <c r="G91" s="26" t="n">
        <v>1.20170088307112</v>
      </c>
      <c r="H91" s="26" t="n">
        <v>1.05450242837212</v>
      </c>
      <c r="I91" s="26" t="n">
        <v>1.36848887334025</v>
      </c>
      <c r="J91" s="26" t="n">
        <v>1.06187210342792</v>
      </c>
      <c r="K91" s="26" t="n">
        <v>1.16696793262859</v>
      </c>
      <c r="L91" s="26" t="n">
        <v>1.21222411309129</v>
      </c>
      <c r="M91" s="26" t="n">
        <v>1.09808878135842</v>
      </c>
      <c r="N91" s="26" t="n">
        <v>1.28369264546486</v>
      </c>
      <c r="O91" s="26" t="n">
        <v>1.24025067454694</v>
      </c>
      <c r="P91" s="26" t="n">
        <v>1.16331020068934</v>
      </c>
      <c r="Q91" s="26" t="n">
        <v>1.58430145106861</v>
      </c>
      <c r="R91" s="26" t="n">
        <v>1.07688386751477</v>
      </c>
      <c r="S91" s="26" t="n">
        <v>1.2876784744315</v>
      </c>
      <c r="T91" s="26" t="n">
        <v>1.32909807516316</v>
      </c>
      <c r="U91" s="26" t="n">
        <v>1.52803127657595</v>
      </c>
      <c r="V91" s="26" t="n">
        <v>1.17301280654593</v>
      </c>
      <c r="W91" s="26" t="n">
        <v>2.28883688126481</v>
      </c>
      <c r="X91" s="26" t="n">
        <v>1.03299661529812</v>
      </c>
      <c r="Y91" s="26" t="n">
        <v>1.80991178007925</v>
      </c>
      <c r="Z91" s="26" t="n">
        <v>1.27737382608733</v>
      </c>
      <c r="AA91" s="26" t="n">
        <v>1.05829334466144</v>
      </c>
      <c r="AB91" s="26" t="n">
        <v>1.11596555002296</v>
      </c>
      <c r="AC91" s="26" t="n">
        <v>1.3643630508632</v>
      </c>
      <c r="AD91" s="26" t="n">
        <v>1.26481456455902</v>
      </c>
      <c r="AE91" s="26" t="n">
        <v>1.51546068957489</v>
      </c>
      <c r="AF91" s="26" t="n">
        <v>1.36854308395163</v>
      </c>
      <c r="AG91" s="26" t="n">
        <v>1.21170881259003</v>
      </c>
      <c r="AH91" s="26" t="n">
        <v>1.42918048749199</v>
      </c>
      <c r="AI91" s="26" t="n">
        <v>1.24094788277731</v>
      </c>
      <c r="AJ91" s="26" t="n">
        <v>1.36935620181854</v>
      </c>
      <c r="AK91" s="26" t="n">
        <v>1.08305247575192</v>
      </c>
      <c r="AL91" s="26" t="n">
        <v>1.36739668054762</v>
      </c>
      <c r="AM91" s="26" t="n">
        <v>1.56225261900346</v>
      </c>
      <c r="AN91" s="26" t="n">
        <v>1.07726468404291</v>
      </c>
      <c r="AO91" s="26" t="n">
        <v>1.08933153632384</v>
      </c>
      <c r="AP91" s="26" t="n">
        <v>1.89716632021054</v>
      </c>
      <c r="AQ91" s="26" t="n">
        <v>1.03642907569435</v>
      </c>
      <c r="AR91" s="26" t="n">
        <v>1.26404576843779</v>
      </c>
      <c r="AS91" s="26" t="n">
        <v>1.07818533940134</v>
      </c>
      <c r="AT91" s="26" t="n">
        <v>5.48880860538687</v>
      </c>
      <c r="AU91" s="26" t="n">
        <v>1.6911720546755</v>
      </c>
      <c r="AV91" s="26" t="n">
        <v>1.13140463199767</v>
      </c>
      <c r="AW91" s="26" t="n">
        <v>1.02022043838067</v>
      </c>
      <c r="AX91" s="26" t="n">
        <v>1.16317429187146</v>
      </c>
      <c r="AY91" s="26" t="n">
        <v>1.01332612287586</v>
      </c>
      <c r="AZ91" s="26" t="n">
        <v>1.01807013440628</v>
      </c>
      <c r="BA91" s="26" t="n">
        <v>1.03689612688763</v>
      </c>
      <c r="BB91" s="26" t="n">
        <v>1.52702314699148</v>
      </c>
      <c r="BC91" s="26" t="n">
        <v>1.45432843534775</v>
      </c>
      <c r="BD91" s="26" t="n">
        <v>1.13625247475439</v>
      </c>
      <c r="BE91" s="26" t="n">
        <v>1.50930960138235</v>
      </c>
      <c r="BF91" s="26" t="n">
        <v>1.04532404822204</v>
      </c>
      <c r="BG91" s="26" t="n">
        <v>1.32491934397654</v>
      </c>
      <c r="BH91" s="26" t="n">
        <v>1.12861663825144</v>
      </c>
      <c r="BI91" s="26" t="n">
        <v>1.13938463034187</v>
      </c>
      <c r="BJ91" s="26" t="n">
        <v>1.05775572617031</v>
      </c>
      <c r="BK91" s="26" t="n">
        <v>1.14598645181811</v>
      </c>
      <c r="BL91" s="26" t="n">
        <v>1.01780323225414</v>
      </c>
      <c r="BM91" s="26" t="n">
        <v>1.01799199580495</v>
      </c>
      <c r="BN91" s="26" t="n">
        <v>1.01018764769528</v>
      </c>
      <c r="BO91" s="26" t="n">
        <v>1.01272465595968</v>
      </c>
      <c r="BP91" s="26" t="n">
        <v>1.00972162134527</v>
      </c>
      <c r="BQ91" s="26" t="n">
        <v>1.24741117096346</v>
      </c>
      <c r="BR91" s="26" t="n">
        <v>1.0551823097831</v>
      </c>
      <c r="BS91" s="26" t="n">
        <v>1.01989913933288</v>
      </c>
      <c r="BT91" s="26" t="n">
        <v>1.00969224218527</v>
      </c>
      <c r="BU91" s="58" t="n">
        <f aca="false">AVERAGE(E91:BT91)</f>
        <v>1.30974287979836</v>
      </c>
    </row>
    <row r="92" customFormat="false" ht="11.25" hidden="false" customHeight="true" outlineLevel="0" collapsed="false">
      <c r="B92" s="19" t="s">
        <v>173</v>
      </c>
      <c r="C92" s="20" t="s">
        <v>174</v>
      </c>
      <c r="D92" s="19" t="n">
        <v>55</v>
      </c>
      <c r="E92" s="21" t="n">
        <v>2.07632006133048</v>
      </c>
      <c r="F92" s="21" t="n">
        <v>1.50980460513239</v>
      </c>
      <c r="G92" s="21" t="n">
        <v>1.43794465691545</v>
      </c>
      <c r="H92" s="21" t="n">
        <v>1.26180561496657</v>
      </c>
      <c r="I92" s="21" t="n">
        <v>1.63753457226296</v>
      </c>
      <c r="J92" s="21" t="n">
        <v>1.27062579405471</v>
      </c>
      <c r="K92" s="21" t="n">
        <v>1.39638248715338</v>
      </c>
      <c r="L92" s="21" t="n">
        <v>1.45053674831366</v>
      </c>
      <c r="M92" s="21" t="n">
        <v>1.31396300648085</v>
      </c>
      <c r="N92" s="21" t="n">
        <v>1.53605911451212</v>
      </c>
      <c r="O92" s="21" t="n">
        <v>1.48407431808845</v>
      </c>
      <c r="P92" s="21" t="n">
        <v>1.39200514260866</v>
      </c>
      <c r="Q92" s="21" t="n">
        <v>1.89576037284412</v>
      </c>
      <c r="R92" s="21" t="n">
        <v>1.28858881221967</v>
      </c>
      <c r="S92" s="21" t="n">
        <v>1.54082315332243</v>
      </c>
      <c r="T92" s="21" t="n">
        <v>1.59038415112629</v>
      </c>
      <c r="U92" s="21" t="n">
        <v>1.82847039698481</v>
      </c>
      <c r="V92" s="21" t="n">
        <v>1.40362962242982</v>
      </c>
      <c r="W92" s="21" t="n">
        <v>2.73886682732284</v>
      </c>
      <c r="X92" s="21" t="n">
        <v>1.23607425469827</v>
      </c>
      <c r="Y92" s="21" t="n">
        <v>2.16573427310283</v>
      </c>
      <c r="Z92" s="21" t="n">
        <v>1.52849233074167</v>
      </c>
      <c r="AA92" s="21" t="n">
        <v>1.26634692001926</v>
      </c>
      <c r="AB92" s="21" t="n">
        <v>1.33535354737566</v>
      </c>
      <c r="AC92" s="21" t="n">
        <v>1.63259936414684</v>
      </c>
      <c r="AD92" s="21" t="n">
        <v>1.51345326711323</v>
      </c>
      <c r="AE92" s="21" t="n">
        <v>1.81339048414391</v>
      </c>
      <c r="AF92" s="21" t="n">
        <v>1.63758870859438</v>
      </c>
      <c r="AG92" s="21" t="n">
        <v>1.44992105906575</v>
      </c>
      <c r="AH92" s="21" t="n">
        <v>1.71015638701294</v>
      </c>
      <c r="AI92" s="21" t="n">
        <v>1.48491740215469</v>
      </c>
      <c r="AJ92" s="21" t="n">
        <v>1.63856331942805</v>
      </c>
      <c r="AK92" s="21" t="n">
        <v>1.29596992724172</v>
      </c>
      <c r="AL92" s="21" t="n">
        <v>1.63621682971604</v>
      </c>
      <c r="AM92" s="21" t="n">
        <v>1.86937655867527</v>
      </c>
      <c r="AN92" s="21" t="n">
        <v>1.28904697267119</v>
      </c>
      <c r="AO92" s="21" t="n">
        <v>1.30349972858571</v>
      </c>
      <c r="AP92" s="21" t="n">
        <v>2.27018023279024</v>
      </c>
      <c r="AQ92" s="21" t="n">
        <v>1.24018938149005</v>
      </c>
      <c r="AR92" s="21" t="n">
        <v>1.51254517553257</v>
      </c>
      <c r="AS92" s="21" t="n">
        <v>1.29015060175486</v>
      </c>
      <c r="AT92" s="21" t="n">
        <v>6.5687890505827</v>
      </c>
      <c r="AU92" s="21" t="n">
        <v>2.02370636552225</v>
      </c>
      <c r="AV92" s="21" t="n">
        <v>1.35382832501268</v>
      </c>
      <c r="AW92" s="21" t="n">
        <v>1.22079791546942</v>
      </c>
      <c r="AX92" s="21" t="n">
        <v>1.39185897618425</v>
      </c>
      <c r="AY92" s="21" t="n">
        <v>1.21253943240006</v>
      </c>
      <c r="AZ92" s="21" t="n">
        <v>1.21822878584474</v>
      </c>
      <c r="BA92" s="21" t="n">
        <v>1.2407485042127</v>
      </c>
      <c r="BB92" s="21" t="n">
        <v>1.82726039182979</v>
      </c>
      <c r="BC92" s="21" t="n">
        <v>1.74031225757658</v>
      </c>
      <c r="BD92" s="21" t="n">
        <v>1.35966539061857</v>
      </c>
      <c r="BE92" s="21" t="n">
        <v>1.80603788059465</v>
      </c>
      <c r="BF92" s="21" t="n">
        <v>1.24837578492234</v>
      </c>
      <c r="BG92" s="21" t="n">
        <v>1.58883816942892</v>
      </c>
      <c r="BH92" s="21" t="n">
        <v>1.3504946478761</v>
      </c>
      <c r="BI92" s="21" t="n">
        <v>1.36344787032145</v>
      </c>
      <c r="BJ92" s="21" t="n">
        <v>1.2657087330681</v>
      </c>
      <c r="BK92" s="21" t="n">
        <v>1.37133916257183</v>
      </c>
      <c r="BL92" s="21" t="n">
        <v>1.21790507740555</v>
      </c>
      <c r="BM92" s="21" t="n">
        <v>1.21813424909753</v>
      </c>
      <c r="BN92" s="21" t="n">
        <v>1.20878110258017</v>
      </c>
      <c r="BO92" s="21" t="n">
        <v>1.21184760968999</v>
      </c>
      <c r="BP92" s="21" t="n">
        <v>1.2082225842674</v>
      </c>
      <c r="BQ92" s="21" t="n">
        <v>1.4926402372232</v>
      </c>
      <c r="BR92" s="21" t="n">
        <v>1.26262345054101</v>
      </c>
      <c r="BS92" s="21" t="n">
        <v>1.22040907749007</v>
      </c>
      <c r="BT92" s="21" t="n">
        <v>1.20818741724594</v>
      </c>
      <c r="BU92" s="58" t="n">
        <f aca="false">AVERAGE(E92:BT92)</f>
        <v>1.56726580343681</v>
      </c>
    </row>
    <row r="93" customFormat="false" ht="11.25" hidden="false" customHeight="true" outlineLevel="0" collapsed="false">
      <c r="B93" s="24" t="s">
        <v>175</v>
      </c>
      <c r="C93" s="25" t="s">
        <v>176</v>
      </c>
      <c r="D93" s="24" t="n">
        <v>56</v>
      </c>
      <c r="E93" s="26" t="n">
        <v>1.92141011265637</v>
      </c>
      <c r="F93" s="26" t="n">
        <v>1.3971609675209</v>
      </c>
      <c r="G93" s="26" t="n">
        <v>1.33066208640565</v>
      </c>
      <c r="H93" s="26" t="n">
        <v>1.16766504368694</v>
      </c>
      <c r="I93" s="26" t="n">
        <v>1.5153694802479</v>
      </c>
      <c r="J93" s="26" t="n">
        <v>1.17582751539888</v>
      </c>
      <c r="K93" s="26" t="n">
        <v>1.29220105173831</v>
      </c>
      <c r="L93" s="26" t="n">
        <v>1.34231414897576</v>
      </c>
      <c r="M93" s="26" t="n">
        <v>1.21593161347349</v>
      </c>
      <c r="N93" s="26" t="n">
        <v>1.42145485346794</v>
      </c>
      <c r="O93" s="26" t="n">
        <v>1.37334822326983</v>
      </c>
      <c r="P93" s="26" t="n">
        <v>1.28815020594466</v>
      </c>
      <c r="Q93" s="26" t="n">
        <v>1.75432368348639</v>
      </c>
      <c r="R93" s="26" t="n">
        <v>1.19245462587989</v>
      </c>
      <c r="S93" s="26" t="n">
        <v>1.42586525370536</v>
      </c>
      <c r="T93" s="26" t="n">
        <v>1.4717290694509</v>
      </c>
      <c r="U93" s="26" t="n">
        <v>1.692042816407</v>
      </c>
      <c r="V93" s="26" t="n">
        <v>1.29890730487032</v>
      </c>
      <c r="W93" s="26" t="n">
        <v>2.53456151322697</v>
      </c>
      <c r="X93" s="26" t="n">
        <v>1.14385437998484</v>
      </c>
      <c r="Y93" s="26" t="n">
        <v>2.00415607588428</v>
      </c>
      <c r="Z93" s="26" t="n">
        <v>1.41445705558907</v>
      </c>
      <c r="AA93" s="26" t="n">
        <v>1.17186767128023</v>
      </c>
      <c r="AB93" s="26" t="n">
        <v>1.23572643042868</v>
      </c>
      <c r="AC93" s="26" t="n">
        <v>1.51078819868832</v>
      </c>
      <c r="AD93" s="26" t="n">
        <v>1.40053942771133</v>
      </c>
      <c r="AE93" s="26" t="n">
        <v>1.67810145839037</v>
      </c>
      <c r="AF93" s="26" t="n">
        <v>1.51541142749748</v>
      </c>
      <c r="AG93" s="26" t="n">
        <v>1.34174729825825</v>
      </c>
      <c r="AH93" s="26" t="n">
        <v>1.58260839316725</v>
      </c>
      <c r="AI93" s="26" t="n">
        <v>1.37412600635473</v>
      </c>
      <c r="AJ93" s="26" t="n">
        <v>1.51631486359149</v>
      </c>
      <c r="AK93" s="26" t="n">
        <v>1.19928278009079</v>
      </c>
      <c r="AL93" s="26" t="n">
        <v>1.51414815884458</v>
      </c>
      <c r="AM93" s="26" t="n">
        <v>1.72990692293148</v>
      </c>
      <c r="AN93" s="26" t="n">
        <v>1.19288064210104</v>
      </c>
      <c r="AO93" s="26" t="n">
        <v>1.20624436370958</v>
      </c>
      <c r="AP93" s="26" t="n">
        <v>2.1007942613214</v>
      </c>
      <c r="AQ93" s="26" t="n">
        <v>1.14765667074747</v>
      </c>
      <c r="AR93" s="26" t="n">
        <v>1.39972319640043</v>
      </c>
      <c r="AS93" s="26" t="n">
        <v>1.19390445870766</v>
      </c>
      <c r="AT93" s="26" t="n">
        <v>6.07829967901399</v>
      </c>
      <c r="AU93" s="26" t="n">
        <v>1.87275409216671</v>
      </c>
      <c r="AV93" s="26" t="n">
        <v>1.25282177365043</v>
      </c>
      <c r="AW93" s="26" t="n">
        <v>1.12971616741087</v>
      </c>
      <c r="AX93" s="26" t="n">
        <v>1.28801563190137</v>
      </c>
      <c r="AY93" s="26" t="n">
        <v>1.12207761951817</v>
      </c>
      <c r="AZ93" s="26" t="n">
        <v>1.12732613541159</v>
      </c>
      <c r="BA93" s="26" t="n">
        <v>1.14817563162903</v>
      </c>
      <c r="BB93" s="26" t="n">
        <v>1.6909058019666</v>
      </c>
      <c r="BC93" s="26" t="n">
        <v>1.61043231849828</v>
      </c>
      <c r="BD93" s="26" t="n">
        <v>1.2581948370366</v>
      </c>
      <c r="BE93" s="26" t="n">
        <v>1.67127472148658</v>
      </c>
      <c r="BF93" s="26" t="n">
        <v>1.15521327435859</v>
      </c>
      <c r="BG93" s="26" t="n">
        <v>1.46728337978135</v>
      </c>
      <c r="BH93" s="26" t="n">
        <v>1.25236590881293</v>
      </c>
      <c r="BI93" s="26" t="n">
        <v>1.26167617264286</v>
      </c>
      <c r="BJ93" s="26" t="n">
        <v>1.1712905855421</v>
      </c>
      <c r="BK93" s="26" t="n">
        <v>1.26899691065206</v>
      </c>
      <c r="BL93" s="26" t="n">
        <v>1.12703078013528</v>
      </c>
      <c r="BM93" s="26" t="n">
        <v>1.12725376072499</v>
      </c>
      <c r="BN93" s="26" t="n">
        <v>1.11860649991602</v>
      </c>
      <c r="BO93" s="26" t="n">
        <v>1.12141255999358</v>
      </c>
      <c r="BP93" s="26" t="n">
        <v>1.11808032363883</v>
      </c>
      <c r="BQ93" s="26" t="n">
        <v>1.38127675609745</v>
      </c>
      <c r="BR93" s="26" t="n">
        <v>1.16841945428054</v>
      </c>
      <c r="BS93" s="26" t="n">
        <v>1.12935272206294</v>
      </c>
      <c r="BT93" s="26" t="n">
        <v>1.11804675363992</v>
      </c>
      <c r="BU93" s="58" t="n">
        <f aca="false">AVERAGE(E93:BT93)</f>
        <v>1.45032235240388</v>
      </c>
    </row>
    <row r="94" customFormat="false" ht="11.25" hidden="false" customHeight="true" outlineLevel="0" collapsed="false">
      <c r="B94" s="19" t="s">
        <v>177</v>
      </c>
      <c r="C94" s="20" t="s">
        <v>178</v>
      </c>
      <c r="D94" s="19" t="n">
        <v>57</v>
      </c>
      <c r="E94" s="21" t="n">
        <v>2.27154601732031</v>
      </c>
      <c r="F94" s="21" t="n">
        <v>1.65175786359814</v>
      </c>
      <c r="G94" s="21" t="n">
        <v>1.57314275178277</v>
      </c>
      <c r="H94" s="21" t="n">
        <v>1.38044145630832</v>
      </c>
      <c r="I94" s="21" t="n">
        <v>1.79150470766396</v>
      </c>
      <c r="J94" s="21" t="n">
        <v>1.39009067526814</v>
      </c>
      <c r="K94" s="21" t="n">
        <v>1.52767112543417</v>
      </c>
      <c r="L94" s="21" t="n">
        <v>1.58691741814989</v>
      </c>
      <c r="M94" s="21" t="n">
        <v>1.43750319608129</v>
      </c>
      <c r="N94" s="21" t="n">
        <v>1.68048679643252</v>
      </c>
      <c r="O94" s="21" t="n">
        <v>1.623607739012</v>
      </c>
      <c r="P94" s="21" t="n">
        <v>1.52288183681924</v>
      </c>
      <c r="Q94" s="21" t="n">
        <v>2.07400329282062</v>
      </c>
      <c r="R94" s="21" t="n">
        <v>1.40974640778043</v>
      </c>
      <c r="S94" s="21" t="n">
        <v>1.68569296421803</v>
      </c>
      <c r="T94" s="21" t="n">
        <v>1.73992265364305</v>
      </c>
      <c r="U94" s="21" t="n">
        <v>2.00041069181861</v>
      </c>
      <c r="V94" s="21" t="n">
        <v>1.53574301192674</v>
      </c>
      <c r="W94" s="21" t="n">
        <v>2.99641575517347</v>
      </c>
      <c r="X94" s="21" t="n">
        <v>1.3522912007846</v>
      </c>
      <c r="Y94" s="21" t="n">
        <v>2.36937129488706</v>
      </c>
      <c r="Z94" s="21" t="n">
        <v>1.67222085258389</v>
      </c>
      <c r="AA94" s="21" t="n">
        <v>1.38541381568244</v>
      </c>
      <c r="AB94" s="21" t="n">
        <v>1.46090488219819</v>
      </c>
      <c r="AC94" s="21" t="n">
        <v>1.78610158584244</v>
      </c>
      <c r="AD94" s="21" t="n">
        <v>1.65575076410974</v>
      </c>
      <c r="AE94" s="21" t="n">
        <v>1.98389015713726</v>
      </c>
      <c r="AF94" s="21" t="n">
        <v>1.79155824651748</v>
      </c>
      <c r="AG94" s="21" t="n">
        <v>1.58624697052697</v>
      </c>
      <c r="AH94" s="21" t="n">
        <v>1.87096229279245</v>
      </c>
      <c r="AI94" s="21" t="n">
        <v>1.62452471651704</v>
      </c>
      <c r="AJ94" s="21" t="n">
        <v>1.79262534050048</v>
      </c>
      <c r="AK94" s="21" t="n">
        <v>1.41781752217118</v>
      </c>
      <c r="AL94" s="21" t="n">
        <v>1.79005809708513</v>
      </c>
      <c r="AM94" s="21" t="n">
        <v>2.04513646516874</v>
      </c>
      <c r="AN94" s="21" t="n">
        <v>1.41024881170552</v>
      </c>
      <c r="AO94" s="21" t="n">
        <v>1.42606473901157</v>
      </c>
      <c r="AP94" s="21" t="n">
        <v>2.48365561558154</v>
      </c>
      <c r="AQ94" s="21" t="n">
        <v>1.3567899855913</v>
      </c>
      <c r="AR94" s="21" t="n">
        <v>1.65476480646486</v>
      </c>
      <c r="AS94" s="21" t="n">
        <v>1.41146207447474</v>
      </c>
      <c r="AT94" s="21" t="n">
        <v>7.18829505431495</v>
      </c>
      <c r="AU94" s="21" t="n">
        <v>2.21403669201133</v>
      </c>
      <c r="AV94" s="21" t="n">
        <v>1.48111654084111</v>
      </c>
      <c r="AW94" s="21" t="n">
        <v>1.33558665065759</v>
      </c>
      <c r="AX94" s="21" t="n">
        <v>1.52273359311091</v>
      </c>
      <c r="AY94" s="21" t="n">
        <v>1.32654698093894</v>
      </c>
      <c r="AZ94" s="21" t="n">
        <v>1.3327666241213</v>
      </c>
      <c r="BA94" s="21" t="n">
        <v>1.35750781963223</v>
      </c>
      <c r="BB94" s="21" t="n">
        <v>2.00065430780406</v>
      </c>
      <c r="BC94" s="21" t="n">
        <v>1.90400544248416</v>
      </c>
      <c r="BD94" s="21" t="n">
        <v>1.48758807312854</v>
      </c>
      <c r="BE94" s="21" t="n">
        <v>1.97585634225018</v>
      </c>
      <c r="BF94" s="21" t="n">
        <v>1.36574340819786</v>
      </c>
      <c r="BG94" s="21" t="n">
        <v>1.73456418493761</v>
      </c>
      <c r="BH94" s="21" t="n">
        <v>1.47747173260459</v>
      </c>
      <c r="BI94" s="21" t="n">
        <v>1.49467255258347</v>
      </c>
      <c r="BJ94" s="21" t="n">
        <v>1.38472571675914</v>
      </c>
      <c r="BK94" s="21" t="n">
        <v>1.50028500300934</v>
      </c>
      <c r="BL94" s="21" t="n">
        <v>1.33241634986001</v>
      </c>
      <c r="BM94" s="21" t="n">
        <v>1.33266644361526</v>
      </c>
      <c r="BN94" s="21" t="n">
        <v>1.32243066280693</v>
      </c>
      <c r="BO94" s="21" t="n">
        <v>1.32576681763849</v>
      </c>
      <c r="BP94" s="21" t="n">
        <v>1.3218199312611</v>
      </c>
      <c r="BQ94" s="21" t="n">
        <v>1.63297851375206</v>
      </c>
      <c r="BR94" s="21" t="n">
        <v>1.38138962466022</v>
      </c>
      <c r="BS94" s="21" t="n">
        <v>1.33516314207007</v>
      </c>
      <c r="BT94" s="21" t="n">
        <v>1.32178145266361</v>
      </c>
      <c r="BU94" s="58" t="n">
        <f aca="false">AVERAGE(E94:BT94)</f>
        <v>1.71467523906326</v>
      </c>
    </row>
    <row r="95" customFormat="false" ht="11.25" hidden="false" customHeight="true" outlineLevel="0" collapsed="false">
      <c r="B95" s="24" t="s">
        <v>179</v>
      </c>
      <c r="C95" s="25" t="s">
        <v>180</v>
      </c>
      <c r="D95" s="24" t="n">
        <v>58</v>
      </c>
      <c r="E95" s="26" t="n">
        <v>1.80732335000427</v>
      </c>
      <c r="F95" s="26" t="n">
        <v>1.31420283404181</v>
      </c>
      <c r="G95" s="26" t="n">
        <v>1.25165370587244</v>
      </c>
      <c r="H95" s="26" t="n">
        <v>1.09833411955681</v>
      </c>
      <c r="I95" s="26" t="n">
        <v>1.42540246396672</v>
      </c>
      <c r="J95" s="26" t="n">
        <v>1.10601338588798</v>
      </c>
      <c r="K95" s="26" t="n">
        <v>1.21547626682036</v>
      </c>
      <c r="L95" s="26" t="n">
        <v>1.26261293721417</v>
      </c>
      <c r="M95" s="26" t="n">
        <v>1.14373449888919</v>
      </c>
      <c r="N95" s="26" t="n">
        <v>1.33705419070711</v>
      </c>
      <c r="O95" s="26" t="n">
        <v>1.29180450956943</v>
      </c>
      <c r="P95" s="26" t="n">
        <v>1.21166515634035</v>
      </c>
      <c r="Q95" s="26" t="n">
        <v>1.65015838354753</v>
      </c>
      <c r="R95" s="26" t="n">
        <v>1.12164678050765</v>
      </c>
      <c r="S95" s="26" t="n">
        <v>1.34120325964248</v>
      </c>
      <c r="T95" s="26" t="n">
        <v>1.38434544006951</v>
      </c>
      <c r="U95" s="26" t="n">
        <v>1.59159097254409</v>
      </c>
      <c r="V95" s="26" t="n">
        <v>1.22177854959846</v>
      </c>
      <c r="W95" s="26" t="n">
        <v>2.38412745504099</v>
      </c>
      <c r="X95" s="26" t="n">
        <v>1.07593687369713</v>
      </c>
      <c r="Y95" s="26" t="n">
        <v>1.88516255264619</v>
      </c>
      <c r="Z95" s="26" t="n">
        <v>1.33047412128309</v>
      </c>
      <c r="AA95" s="26" t="n">
        <v>1.10228786076629</v>
      </c>
      <c r="AB95" s="26" t="n">
        <v>1.16235315376251</v>
      </c>
      <c r="AC95" s="26" t="n">
        <v>1.42110639687262</v>
      </c>
      <c r="AD95" s="26" t="n">
        <v>1.31738082178948</v>
      </c>
      <c r="AE95" s="26" t="n">
        <v>1.5784859308794</v>
      </c>
      <c r="AF95" s="26" t="n">
        <v>1.42543678880914</v>
      </c>
      <c r="AG95" s="26" t="n">
        <v>1.26208270724797</v>
      </c>
      <c r="AH95" s="26" t="n">
        <v>1.4885950659367</v>
      </c>
      <c r="AI95" s="26" t="n">
        <v>1.29253541232095</v>
      </c>
      <c r="AJ95" s="26" t="n">
        <v>1.42628899661546</v>
      </c>
      <c r="AK95" s="26" t="n">
        <v>1.12807361449167</v>
      </c>
      <c r="AL95" s="26" t="n">
        <v>1.42426616878028</v>
      </c>
      <c r="AM95" s="26" t="n">
        <v>1.62719291015334</v>
      </c>
      <c r="AN95" s="26" t="n">
        <v>1.12206275201075</v>
      </c>
      <c r="AO95" s="26" t="n">
        <v>1.13466115086899</v>
      </c>
      <c r="AP95" s="26" t="n">
        <v>1.97605918670517</v>
      </c>
      <c r="AQ95" s="26" t="n">
        <v>1.07951499193047</v>
      </c>
      <c r="AR95" s="26" t="n">
        <v>1.31659887913356</v>
      </c>
      <c r="AS95" s="26" t="n">
        <v>1.12310772610933</v>
      </c>
      <c r="AT95" s="26" t="n">
        <v>5.71734317637972</v>
      </c>
      <c r="AU95" s="26" t="n">
        <v>1.76155959554157</v>
      </c>
      <c r="AV95" s="26" t="n">
        <v>1.17843471581929</v>
      </c>
      <c r="AW95" s="26" t="n">
        <v>1.0626331098826</v>
      </c>
      <c r="AX95" s="26" t="n">
        <v>1.21154381156537</v>
      </c>
      <c r="AY95" s="26" t="n">
        <v>1.05545230149589</v>
      </c>
      <c r="AZ95" s="26" t="n">
        <v>1.06039042625455</v>
      </c>
      <c r="BA95" s="26" t="n">
        <v>1.08000039269279</v>
      </c>
      <c r="BB95" s="26" t="n">
        <v>1.59052737876113</v>
      </c>
      <c r="BC95" s="26" t="n">
        <v>1.5148005798757</v>
      </c>
      <c r="BD95" s="26" t="n">
        <v>1.18350648118426</v>
      </c>
      <c r="BE95" s="26" t="n">
        <v>1.57208049545681</v>
      </c>
      <c r="BF95" s="26" t="n">
        <v>1.08664409805868</v>
      </c>
      <c r="BG95" s="26" t="n">
        <v>1.3800594446882</v>
      </c>
      <c r="BH95" s="26" t="n">
        <v>1.17553905996472</v>
      </c>
      <c r="BI95" s="26" t="n">
        <v>1.18680273164245</v>
      </c>
      <c r="BJ95" s="26" t="n">
        <v>1.10397075542897</v>
      </c>
      <c r="BK95" s="26" t="n">
        <v>1.19366085875095</v>
      </c>
      <c r="BL95" s="26" t="n">
        <v>1.06011730015616</v>
      </c>
      <c r="BM95" s="26" t="n">
        <v>1.0603153206703</v>
      </c>
      <c r="BN95" s="26" t="n">
        <v>1.05217862788516</v>
      </c>
      <c r="BO95" s="26" t="n">
        <v>1.05482448049548</v>
      </c>
      <c r="BP95" s="26" t="n">
        <v>1.05169244379748</v>
      </c>
      <c r="BQ95" s="26" t="n">
        <v>1.29926258419157</v>
      </c>
      <c r="BR95" s="26" t="n">
        <v>1.09904507941013</v>
      </c>
      <c r="BS95" s="26" t="n">
        <v>1.06229851914596</v>
      </c>
      <c r="BT95" s="26" t="n">
        <v>1.05166178424554</v>
      </c>
      <c r="BU95" s="58" t="n">
        <f aca="false">AVERAGE(E95:BT95)</f>
        <v>1.36420790994225</v>
      </c>
    </row>
    <row r="96" customFormat="false" ht="11.25" hidden="false" customHeight="true" outlineLevel="0" collapsed="false">
      <c r="B96" s="19" t="s">
        <v>181</v>
      </c>
      <c r="C96" s="20" t="s">
        <v>182</v>
      </c>
      <c r="D96" s="19" t="n">
        <v>59</v>
      </c>
      <c r="E96" s="21" t="n">
        <v>1.85784391025764</v>
      </c>
      <c r="F96" s="21" t="n">
        <v>1.35093765790066</v>
      </c>
      <c r="G96" s="21" t="n">
        <v>1.28663929433545</v>
      </c>
      <c r="H96" s="21" t="n">
        <v>1.12903480263969</v>
      </c>
      <c r="I96" s="21" t="n">
        <v>1.46523083027796</v>
      </c>
      <c r="J96" s="21" t="n">
        <v>1.13692628682487</v>
      </c>
      <c r="K96" s="21" t="n">
        <v>1.24945014242897</v>
      </c>
      <c r="L96" s="21" t="n">
        <v>1.29790594561363</v>
      </c>
      <c r="M96" s="21" t="n">
        <v>1.17570359892958</v>
      </c>
      <c r="N96" s="21" t="n">
        <v>1.37442902858218</v>
      </c>
      <c r="O96" s="21" t="n">
        <v>1.32791408953962</v>
      </c>
      <c r="P96" s="21" t="n">
        <v>1.24553319051302</v>
      </c>
      <c r="Q96" s="21" t="n">
        <v>1.69628221567273</v>
      </c>
      <c r="R96" s="21" t="n">
        <v>1.15300016093528</v>
      </c>
      <c r="S96" s="21" t="n">
        <v>1.37869212166145</v>
      </c>
      <c r="T96" s="21" t="n">
        <v>1.42304030509227</v>
      </c>
      <c r="U96" s="21" t="n">
        <v>1.63607793960129</v>
      </c>
      <c r="V96" s="21" t="n">
        <v>1.2559449620407</v>
      </c>
      <c r="W96" s="21" t="n">
        <v>2.45067441751311</v>
      </c>
      <c r="X96" s="21" t="n">
        <v>1.10601021576142</v>
      </c>
      <c r="Y96" s="21" t="n">
        <v>1.93785728784922</v>
      </c>
      <c r="Z96" s="21" t="n">
        <v>1.36767523316404</v>
      </c>
      <c r="AA96" s="21" t="n">
        <v>1.13310672687178</v>
      </c>
      <c r="AB96" s="21" t="n">
        <v>1.19484290556192</v>
      </c>
      <c r="AC96" s="21" t="n">
        <v>1.46081311430726</v>
      </c>
      <c r="AD96" s="21" t="n">
        <v>1.35420756034252</v>
      </c>
      <c r="AE96" s="21" t="n">
        <v>1.62258409283546</v>
      </c>
      <c r="AF96" s="21" t="n">
        <v>1.4652766626182</v>
      </c>
      <c r="AG96" s="21" t="n">
        <v>1.29736128298662</v>
      </c>
      <c r="AH96" s="21" t="n">
        <v>1.53022021391852</v>
      </c>
      <c r="AI96" s="21" t="n">
        <v>1.32866956435977</v>
      </c>
      <c r="AJ96" s="21" t="n">
        <v>1.46616270235619</v>
      </c>
      <c r="AK96" s="21" t="n">
        <v>1.15960322821504</v>
      </c>
      <c r="AL96" s="21" t="n">
        <v>1.4640486597554</v>
      </c>
      <c r="AM96" s="21" t="n">
        <v>1.67267390682116</v>
      </c>
      <c r="AN96" s="21" t="n">
        <v>1.15340818286637</v>
      </c>
      <c r="AO96" s="21" t="n">
        <v>1.16634207689897</v>
      </c>
      <c r="AP96" s="21" t="n">
        <v>2.03141378796888</v>
      </c>
      <c r="AQ96" s="21" t="n">
        <v>1.1097283475339</v>
      </c>
      <c r="AR96" s="21" t="n">
        <v>1.35342484534808</v>
      </c>
      <c r="AS96" s="21" t="n">
        <v>1.15439968302523</v>
      </c>
      <c r="AT96" s="21" t="n">
        <v>5.87753409825264</v>
      </c>
      <c r="AU96" s="21" t="n">
        <v>1.81075163343906</v>
      </c>
      <c r="AV96" s="21" t="n">
        <v>1.2113758647896</v>
      </c>
      <c r="AW96" s="21" t="n">
        <v>1.09233569028965</v>
      </c>
      <c r="AX96" s="21" t="n">
        <v>1.24540473442972</v>
      </c>
      <c r="AY96" s="21" t="n">
        <v>1.08495057554043</v>
      </c>
      <c r="AZ96" s="21" t="n">
        <v>1.09003981715582</v>
      </c>
      <c r="BA96" s="21" t="n">
        <v>1.1101870872222</v>
      </c>
      <c r="BB96" s="21" t="n">
        <v>1.6349674917157</v>
      </c>
      <c r="BC96" s="21" t="n">
        <v>1.55716397657232</v>
      </c>
      <c r="BD96" s="21" t="n">
        <v>1.2165767833173</v>
      </c>
      <c r="BE96" s="21" t="n">
        <v>1.61598983663568</v>
      </c>
      <c r="BF96" s="21" t="n">
        <v>1.11699770897501</v>
      </c>
      <c r="BG96" s="21" t="n">
        <v>1.41862322832077</v>
      </c>
      <c r="BH96" s="21" t="n">
        <v>1.20839309024031</v>
      </c>
      <c r="BI96" s="21" t="n">
        <v>1.21994005340193</v>
      </c>
      <c r="BJ96" s="21" t="n">
        <v>1.13252793678962</v>
      </c>
      <c r="BK96" s="21" t="n">
        <v>1.22951432903442</v>
      </c>
      <c r="BL96" s="21" t="n">
        <v>1.08975011328047</v>
      </c>
      <c r="BM96" s="21" t="n">
        <v>1.08995064045989</v>
      </c>
      <c r="BN96" s="21" t="n">
        <v>1.08158835580284</v>
      </c>
      <c r="BO96" s="21" t="n">
        <v>1.08432044653311</v>
      </c>
      <c r="BP96" s="21" t="n">
        <v>1.08108891802989</v>
      </c>
      <c r="BQ96" s="21" t="n">
        <v>1.33557879889534</v>
      </c>
      <c r="BR96" s="21" t="n">
        <v>1.12976415496717</v>
      </c>
      <c r="BS96" s="21" t="n">
        <v>1.09199900272436</v>
      </c>
      <c r="BT96" s="21" t="n">
        <v>1.08105745019663</v>
      </c>
      <c r="BU96" s="58" t="n">
        <f aca="false">AVERAGE(E96:BT96)</f>
        <v>1.40234504409909</v>
      </c>
    </row>
    <row r="97" customFormat="false" ht="11.25" hidden="false" customHeight="true" outlineLevel="0" collapsed="false">
      <c r="B97" s="24" t="s">
        <v>183</v>
      </c>
      <c r="C97" s="25" t="s">
        <v>184</v>
      </c>
      <c r="D97" s="24" t="n">
        <v>60</v>
      </c>
      <c r="E97" s="26" t="n">
        <v>1.73684722611871</v>
      </c>
      <c r="F97" s="26" t="n">
        <v>1.26295506888033</v>
      </c>
      <c r="G97" s="26" t="n">
        <v>1.20284337687888</v>
      </c>
      <c r="H97" s="26" t="n">
        <v>1.05550348590071</v>
      </c>
      <c r="I97" s="26" t="n">
        <v>1.36980481764853</v>
      </c>
      <c r="J97" s="26" t="n">
        <v>1.06288188461709</v>
      </c>
      <c r="K97" s="26" t="n">
        <v>1.16807749691831</v>
      </c>
      <c r="L97" s="26" t="n">
        <v>1.21337711895302</v>
      </c>
      <c r="M97" s="26" t="n">
        <v>1.09913488949198</v>
      </c>
      <c r="N97" s="26" t="n">
        <v>1.28491484528324</v>
      </c>
      <c r="O97" s="26" t="n">
        <v>1.24143010971117</v>
      </c>
      <c r="P97" s="26" t="n">
        <v>1.16441611689797</v>
      </c>
      <c r="Q97" s="26" t="n">
        <v>1.58581247081039</v>
      </c>
      <c r="R97" s="26" t="n">
        <v>1.07791860060164</v>
      </c>
      <c r="S97" s="26" t="n">
        <v>1.28890704606528</v>
      </c>
      <c r="T97" s="26" t="n">
        <v>1.33035952842773</v>
      </c>
      <c r="U97" s="26" t="n">
        <v>1.52949027025591</v>
      </c>
      <c r="V97" s="26" t="n">
        <v>1.17412872994166</v>
      </c>
      <c r="W97" s="26" t="n">
        <v>2.29109065360482</v>
      </c>
      <c r="X97" s="26" t="n">
        <v>1.03398135295658</v>
      </c>
      <c r="Y97" s="26" t="n">
        <v>1.8116353486335</v>
      </c>
      <c r="Z97" s="26" t="n">
        <v>1.27858504098699</v>
      </c>
      <c r="AA97" s="26" t="n">
        <v>1.05930012062522</v>
      </c>
      <c r="AB97" s="26" t="n">
        <v>1.11702661258367</v>
      </c>
      <c r="AC97" s="26" t="n">
        <v>1.36566263374219</v>
      </c>
      <c r="AD97" s="26" t="n">
        <v>1.26600594335759</v>
      </c>
      <c r="AE97" s="26" t="n">
        <v>1.5169051762034</v>
      </c>
      <c r="AF97" s="26" t="n">
        <v>1.36984528021658</v>
      </c>
      <c r="AG97" s="26" t="n">
        <v>1.21286646586533</v>
      </c>
      <c r="AH97" s="26" t="n">
        <v>1.43055186159821</v>
      </c>
      <c r="AI97" s="26" t="n">
        <v>1.24212777753487</v>
      </c>
      <c r="AJ97" s="26" t="n">
        <v>1.37066204324326</v>
      </c>
      <c r="AK97" s="26" t="n">
        <v>1.08408254625396</v>
      </c>
      <c r="AL97" s="26" t="n">
        <v>1.36870110807206</v>
      </c>
      <c r="AM97" s="26" t="n">
        <v>1.56373849914018</v>
      </c>
      <c r="AN97" s="26" t="n">
        <v>1.07828988732543</v>
      </c>
      <c r="AO97" s="26" t="n">
        <v>1.09038148323691</v>
      </c>
      <c r="AP97" s="26" t="n">
        <v>1.89898610582339</v>
      </c>
      <c r="AQ97" s="26" t="n">
        <v>1.0374166901485</v>
      </c>
      <c r="AR97" s="26" t="n">
        <v>1.26524152040594</v>
      </c>
      <c r="AS97" s="26" t="n">
        <v>1.07923382812112</v>
      </c>
      <c r="AT97" s="26" t="n">
        <v>5.49442371330949</v>
      </c>
      <c r="AU97" s="26" t="n">
        <v>1.69280878868647</v>
      </c>
      <c r="AV97" s="26" t="n">
        <v>1.13248075686901</v>
      </c>
      <c r="AW97" s="26" t="n">
        <v>1.02119253562005</v>
      </c>
      <c r="AX97" s="26" t="n">
        <v>1.16428736593263</v>
      </c>
      <c r="AY97" s="26" t="n">
        <v>1.01429158247097</v>
      </c>
      <c r="AZ97" s="26" t="n">
        <v>1.01903928690822</v>
      </c>
      <c r="BA97" s="26" t="n">
        <v>1.03788248773704</v>
      </c>
      <c r="BB97" s="26" t="n">
        <v>1.52848259866924</v>
      </c>
      <c r="BC97" s="26" t="n">
        <v>1.45574420189757</v>
      </c>
      <c r="BD97" s="26" t="n">
        <v>1.1373423073937</v>
      </c>
      <c r="BE97" s="26" t="n">
        <v>1.51073856185147</v>
      </c>
      <c r="BF97" s="26" t="n">
        <v>1.04423589395437</v>
      </c>
      <c r="BG97" s="26" t="n">
        <v>1.32625369804027</v>
      </c>
      <c r="BH97" s="26" t="n">
        <v>1.12969088019802</v>
      </c>
      <c r="BI97" s="26" t="n">
        <v>1.14047987269691</v>
      </c>
      <c r="BJ97" s="26" t="n">
        <v>1.05877179472889</v>
      </c>
      <c r="BK97" s="26" t="n">
        <v>1.14710130910205</v>
      </c>
      <c r="BL97" s="26" t="n">
        <v>1.02081448377375</v>
      </c>
      <c r="BM97" s="26" t="n">
        <v>1.01896339376401</v>
      </c>
      <c r="BN97" s="26" t="n">
        <v>1.01114825469484</v>
      </c>
      <c r="BO97" s="26" t="n">
        <v>1.01369523831379</v>
      </c>
      <c r="BP97" s="26" t="n">
        <v>1.01068151644149</v>
      </c>
      <c r="BQ97" s="26" t="n">
        <v>1.24859716684419</v>
      </c>
      <c r="BR97" s="26" t="n">
        <v>1.05618601994329</v>
      </c>
      <c r="BS97" s="26" t="n">
        <v>1.02087154398574</v>
      </c>
      <c r="BT97" s="26" t="n">
        <v>1.0106521054102</v>
      </c>
      <c r="BU97" s="58" t="n">
        <f aca="false">AVERAGE(E97:BT97)</f>
        <v>1.31099968268118</v>
      </c>
    </row>
    <row r="98" customFormat="false" ht="11.25" hidden="false" customHeight="true" outlineLevel="0" collapsed="false">
      <c r="B98" s="19" t="s">
        <v>185</v>
      </c>
      <c r="C98" s="20" t="s">
        <v>186</v>
      </c>
      <c r="D98" s="19" t="n">
        <v>61</v>
      </c>
      <c r="E98" s="21" t="n">
        <v>1.75085913770576</v>
      </c>
      <c r="F98" s="21" t="n">
        <v>1.27314125147741</v>
      </c>
      <c r="G98" s="21" t="n">
        <v>1.21254121622758</v>
      </c>
      <c r="H98" s="21" t="n">
        <v>1.06401390515431</v>
      </c>
      <c r="I98" s="21" t="n">
        <v>1.38084474814498</v>
      </c>
      <c r="J98" s="21" t="n">
        <v>1.07145078763103</v>
      </c>
      <c r="K98" s="21" t="n">
        <v>1.17749425794845</v>
      </c>
      <c r="L98" s="21" t="n">
        <v>1.22316789512035</v>
      </c>
      <c r="M98" s="21" t="n">
        <v>1.10799600419749</v>
      </c>
      <c r="N98" s="21" t="n">
        <v>1.29528043952177</v>
      </c>
      <c r="O98" s="21" t="n">
        <v>1.25144247558892</v>
      </c>
      <c r="P98" s="21" t="n">
        <v>1.17380320513115</v>
      </c>
      <c r="Q98" s="21" t="n">
        <v>1.59859350226228</v>
      </c>
      <c r="R98" s="21" t="n">
        <v>1.0865994702329</v>
      </c>
      <c r="S98" s="21" t="n">
        <v>1.29929347154774</v>
      </c>
      <c r="T98" s="21" t="n">
        <v>1.3410854836842</v>
      </c>
      <c r="U98" s="21" t="n">
        <v>1.54182291947861</v>
      </c>
      <c r="V98" s="21" t="n">
        <v>1.183599389431</v>
      </c>
      <c r="W98" s="21" t="n">
        <v>2.30952911047606</v>
      </c>
      <c r="X98" s="21" t="n">
        <v>1.04231645311641</v>
      </c>
      <c r="Y98" s="21" t="n">
        <v>1.82624377464443</v>
      </c>
      <c r="Z98" s="21" t="n">
        <v>1.28889555867572</v>
      </c>
      <c r="AA98" s="21" t="n">
        <v>1.06784025490089</v>
      </c>
      <c r="AB98" s="21" t="n">
        <v>1.12603261551248</v>
      </c>
      <c r="AC98" s="21" t="n">
        <v>1.37667470150022</v>
      </c>
      <c r="AD98" s="21" t="n">
        <v>1.27621990086572</v>
      </c>
      <c r="AE98" s="21" t="n">
        <v>1.52913771783732</v>
      </c>
      <c r="AF98" s="21" t="n">
        <v>1.38088924677563</v>
      </c>
      <c r="AG98" s="21" t="n">
        <v>1.22264521976193</v>
      </c>
      <c r="AH98" s="21" t="n">
        <v>1.44207677526441</v>
      </c>
      <c r="AI98" s="21" t="n">
        <v>1.25214239820528</v>
      </c>
      <c r="AJ98" s="21" t="n">
        <v>1.38171132584124</v>
      </c>
      <c r="AK98" s="21" t="n">
        <v>1.09282201829314</v>
      </c>
      <c r="AL98" s="21" t="n">
        <v>1.37973910871613</v>
      </c>
      <c r="AM98" s="21" t="n">
        <v>1.57634551352845</v>
      </c>
      <c r="AN98" s="21" t="n">
        <v>1.08698330122508</v>
      </c>
      <c r="AO98" s="21" t="n">
        <v>1.09916299654998</v>
      </c>
      <c r="AP98" s="21" t="n">
        <v>1.91432545693925</v>
      </c>
      <c r="AQ98" s="21" t="n">
        <v>1.04580744692609</v>
      </c>
      <c r="AR98" s="21" t="n">
        <v>1.27549691508162</v>
      </c>
      <c r="AS98" s="21" t="n">
        <v>1.08792613539619</v>
      </c>
      <c r="AT98" s="21" t="n">
        <v>5.53852254938959</v>
      </c>
      <c r="AU98" s="21" t="n">
        <v>1.70645869596614</v>
      </c>
      <c r="AV98" s="21" t="n">
        <v>1.14161037313763</v>
      </c>
      <c r="AW98" s="21" t="n">
        <v>1.02942735953954</v>
      </c>
      <c r="AX98" s="21" t="n">
        <v>1.17368303885382</v>
      </c>
      <c r="AY98" s="21" t="n">
        <v>1.02247030070742</v>
      </c>
      <c r="AZ98" s="21" t="n">
        <v>1.02727978684777</v>
      </c>
      <c r="BA98" s="21" t="n">
        <v>1.0462532333675</v>
      </c>
      <c r="BB98" s="21" t="n">
        <v>1.54080648492837</v>
      </c>
      <c r="BC98" s="21" t="n">
        <v>1.46747582654325</v>
      </c>
      <c r="BD98" s="21" t="n">
        <v>1.14653484647963</v>
      </c>
      <c r="BE98" s="21" t="n">
        <v>1.52309126226386</v>
      </c>
      <c r="BF98" s="21" t="n">
        <v>1.05265004159147</v>
      </c>
      <c r="BG98" s="21" t="n">
        <v>1.33688600342855</v>
      </c>
      <c r="BH98" s="21" t="n">
        <v>1.13881990077009</v>
      </c>
      <c r="BI98" s="21" t="n">
        <v>1.14967856043561</v>
      </c>
      <c r="BJ98" s="21" t="n">
        <v>1.06730442679923</v>
      </c>
      <c r="BK98" s="21" t="n">
        <v>1.15639073881339</v>
      </c>
      <c r="BL98" s="21" t="n">
        <v>1.02699723552907</v>
      </c>
      <c r="BM98" s="21" t="n">
        <v>1.02923633406838</v>
      </c>
      <c r="BN98" s="21" t="n">
        <v>1.0192998682969</v>
      </c>
      <c r="BO98" s="21" t="n">
        <v>1.02186214992721</v>
      </c>
      <c r="BP98" s="21" t="n">
        <v>1.01882927438836</v>
      </c>
      <c r="BQ98" s="21" t="n">
        <v>1.25866310615838</v>
      </c>
      <c r="BR98" s="21" t="n">
        <v>1.0647025362079</v>
      </c>
      <c r="BS98" s="21" t="n">
        <v>1.02910206556542</v>
      </c>
      <c r="BT98" s="21" t="n">
        <v>1.01879961127176</v>
      </c>
      <c r="BU98" s="58" t="n">
        <f aca="false">AVERAGE(E98:BT98)</f>
        <v>1.32157101643817</v>
      </c>
    </row>
    <row r="99" customFormat="false" ht="11.25" hidden="false" customHeight="true" outlineLevel="0" collapsed="false">
      <c r="B99" s="24" t="s">
        <v>187</v>
      </c>
      <c r="C99" s="25" t="s">
        <v>188</v>
      </c>
      <c r="D99" s="24" t="n">
        <v>62</v>
      </c>
      <c r="E99" s="26" t="n">
        <v>1.72620869325556</v>
      </c>
      <c r="F99" s="26" t="n">
        <v>1.25521870867798</v>
      </c>
      <c r="G99" s="26" t="n">
        <v>1.19546938509259</v>
      </c>
      <c r="H99" s="26" t="n">
        <v>1.04903207535861</v>
      </c>
      <c r="I99" s="26" t="n">
        <v>1.36139833039044</v>
      </c>
      <c r="J99" s="26" t="n">
        <v>1.05636452482484</v>
      </c>
      <c r="K99" s="26" t="n">
        <v>1.16091513640647</v>
      </c>
      <c r="L99" s="26" t="n">
        <v>1.20595339811288</v>
      </c>
      <c r="M99" s="26" t="n">
        <v>1.09239528606884</v>
      </c>
      <c r="N99" s="26" t="n">
        <v>1.27705225405392</v>
      </c>
      <c r="O99" s="26" t="n">
        <v>1.23382055297745</v>
      </c>
      <c r="P99" s="26" t="n">
        <v>1.15727619365408</v>
      </c>
      <c r="Q99" s="26" t="n">
        <v>1.5760872182023</v>
      </c>
      <c r="R99" s="26" t="n">
        <v>1.07130344889678</v>
      </c>
      <c r="S99" s="26" t="n">
        <v>1.28099955466646</v>
      </c>
      <c r="T99" s="26" t="n">
        <v>1.32220327109121</v>
      </c>
      <c r="U99" s="26" t="n">
        <v>1.52012106188481</v>
      </c>
      <c r="V99" s="26" t="n">
        <v>1.16693340155557</v>
      </c>
      <c r="W99" s="26" t="n">
        <v>2.27699763898464</v>
      </c>
      <c r="X99" s="26" t="n">
        <v>1.02763983501676</v>
      </c>
      <c r="Y99" s="26" t="n">
        <v>1.80053276386583</v>
      </c>
      <c r="Z99" s="26" t="n">
        <v>1.27075079516029</v>
      </c>
      <c r="AA99" s="26" t="n">
        <v>1.05280592442947</v>
      </c>
      <c r="AB99" s="26" t="n">
        <v>1.11018035103353</v>
      </c>
      <c r="AC99" s="26" t="n">
        <v>1.35729236530851</v>
      </c>
      <c r="AD99" s="26" t="n">
        <v>1.25824679705968</v>
      </c>
      <c r="AE99" s="26" t="n">
        <v>1.50760354230998</v>
      </c>
      <c r="AF99" s="26" t="n">
        <v>1.36144578952627</v>
      </c>
      <c r="AG99" s="26" t="n">
        <v>1.2054254686284</v>
      </c>
      <c r="AH99" s="26" t="n">
        <v>1.42178112479604</v>
      </c>
      <c r="AI99" s="26" t="n">
        <v>1.23451182651237</v>
      </c>
      <c r="AJ99" s="26" t="n">
        <v>1.3622556637539</v>
      </c>
      <c r="AK99" s="26" t="n">
        <v>1.07743499548443</v>
      </c>
      <c r="AL99" s="26" t="n">
        <v>1.36031070197159</v>
      </c>
      <c r="AM99" s="26" t="n">
        <v>1.55414965497064</v>
      </c>
      <c r="AN99" s="26" t="n">
        <v>1.07168380331314</v>
      </c>
      <c r="AO99" s="26" t="n">
        <v>1.08368486966543</v>
      </c>
      <c r="AP99" s="26" t="n">
        <v>1.88737073391998</v>
      </c>
      <c r="AQ99" s="26" t="n">
        <v>1.03106568891592</v>
      </c>
      <c r="AR99" s="26" t="n">
        <v>1.25749626535623</v>
      </c>
      <c r="AS99" s="26" t="n">
        <v>1.07260060267126</v>
      </c>
      <c r="AT99" s="26" t="n">
        <v>5.46058449392683</v>
      </c>
      <c r="AU99" s="26" t="n">
        <v>1.68243631652978</v>
      </c>
      <c r="AV99" s="26" t="n">
        <v>1.12553663884182</v>
      </c>
      <c r="AW99" s="26" t="n">
        <v>1.01493121531107</v>
      </c>
      <c r="AX99" s="26" t="n">
        <v>1.15714556428408</v>
      </c>
      <c r="AY99" s="26" t="n">
        <v>1.00807214303478</v>
      </c>
      <c r="AZ99" s="26" t="n">
        <v>1.01280251936508</v>
      </c>
      <c r="BA99" s="26" t="n">
        <v>1.03154059320621</v>
      </c>
      <c r="BB99" s="26" t="n">
        <v>1.51910652119609</v>
      </c>
      <c r="BC99" s="26" t="n">
        <v>1.44680021140113</v>
      </c>
      <c r="BD99" s="26" t="n">
        <v>1.13036880173133</v>
      </c>
      <c r="BE99" s="26" t="n">
        <v>1.50139877361764</v>
      </c>
      <c r="BF99" s="26" t="n">
        <v>1.03782424572083</v>
      </c>
      <c r="BG99" s="26" t="n">
        <v>1.3180462921091</v>
      </c>
      <c r="BH99" s="26" t="n">
        <v>1.12277212041623</v>
      </c>
      <c r="BI99" s="26" t="n">
        <v>1.13348128860585</v>
      </c>
      <c r="BJ99" s="26" t="n">
        <v>1.05227582597914</v>
      </c>
      <c r="BK99" s="26" t="n">
        <v>1.14012245939325</v>
      </c>
      <c r="BL99" s="26" t="n">
        <v>1.01253814705788</v>
      </c>
      <c r="BM99" s="26" t="n">
        <v>1.01271431365331</v>
      </c>
      <c r="BN99" s="26" t="n">
        <v>1.00696117163209</v>
      </c>
      <c r="BO99" s="26" t="n">
        <v>1.00748351239754</v>
      </c>
      <c r="BP99" s="26" t="n">
        <v>1.00448426489546</v>
      </c>
      <c r="BQ99" s="26" t="n">
        <v>1.24094097275436</v>
      </c>
      <c r="BR99" s="26" t="n">
        <v>1.04970999308689</v>
      </c>
      <c r="BS99" s="26" t="n">
        <v>1.014610464531</v>
      </c>
      <c r="BT99" s="26" t="n">
        <v>1.00445502931386</v>
      </c>
      <c r="BU99" s="58" t="n">
        <f aca="false">AVERAGE(E99:BT99)</f>
        <v>1.30295828811497</v>
      </c>
    </row>
    <row r="100" customFormat="false" ht="11.25" hidden="false" customHeight="true" outlineLevel="0" collapsed="false">
      <c r="B100" s="19" t="s">
        <v>189</v>
      </c>
      <c r="C100" s="20" t="s">
        <v>190</v>
      </c>
      <c r="D100" s="19" t="n">
        <v>63</v>
      </c>
      <c r="E100" s="21" t="n">
        <v>1.74576589494376</v>
      </c>
      <c r="F100" s="21" t="n">
        <v>1.26944087352197</v>
      </c>
      <c r="G100" s="21" t="n">
        <v>1.20901921436315</v>
      </c>
      <c r="H100" s="21" t="n">
        <v>1.06092239976296</v>
      </c>
      <c r="I100" s="21" t="n">
        <v>1.37683781717449</v>
      </c>
      <c r="J100" s="21" t="n">
        <v>1.06833821944519</v>
      </c>
      <c r="K100" s="21" t="n">
        <v>1.17407390535649</v>
      </c>
      <c r="L100" s="21" t="n">
        <v>1.21961091562824</v>
      </c>
      <c r="M100" s="21" t="n">
        <v>1.10477656139666</v>
      </c>
      <c r="N100" s="21" t="n">
        <v>1.29151676079666</v>
      </c>
      <c r="O100" s="21" t="n">
        <v>1.24780415027157</v>
      </c>
      <c r="P100" s="21" t="n">
        <v>1.17039349696796</v>
      </c>
      <c r="Q100" s="21" t="n">
        <v>1.59394950578124</v>
      </c>
      <c r="R100" s="21" t="n">
        <v>1.08344159792101</v>
      </c>
      <c r="S100" s="21" t="n">
        <v>1.29551925824867</v>
      </c>
      <c r="T100" s="21" t="n">
        <v>1.33719000162186</v>
      </c>
      <c r="U100" s="21" t="n">
        <v>1.53736299896602</v>
      </c>
      <c r="V100" s="21" t="n">
        <v>1.18016538951733</v>
      </c>
      <c r="W100" s="21" t="n">
        <v>2.30283838200484</v>
      </c>
      <c r="X100" s="21" t="n">
        <v>1.03928756267601</v>
      </c>
      <c r="Y100" s="21" t="n">
        <v>1.82094192136042</v>
      </c>
      <c r="Z100" s="21" t="n">
        <v>1.28515231277063</v>
      </c>
      <c r="AA100" s="21" t="n">
        <v>1.06474052217404</v>
      </c>
      <c r="AB100" s="21" t="n">
        <v>1.12276395874024</v>
      </c>
      <c r="AC100" s="21" t="n">
        <v>1.37267776213003</v>
      </c>
      <c r="AD100" s="21" t="n">
        <v>1.27250839711587</v>
      </c>
      <c r="AE100" s="21" t="n">
        <v>1.52469354652668</v>
      </c>
      <c r="AF100" s="21" t="n">
        <v>1.37687890031623</v>
      </c>
      <c r="AG100" s="21" t="n">
        <v>1.21908951303602</v>
      </c>
      <c r="AH100" s="21" t="n">
        <v>1.43789118205805</v>
      </c>
      <c r="AI100" s="21" t="n">
        <v>1.24850634352232</v>
      </c>
      <c r="AJ100" s="21" t="n">
        <v>1.37769740328284</v>
      </c>
      <c r="AK100" s="21" t="n">
        <v>1.08964767518627</v>
      </c>
      <c r="AL100" s="21" t="n">
        <v>1.3757270182162</v>
      </c>
      <c r="AM100" s="21" t="n">
        <v>1.5717658528836</v>
      </c>
      <c r="AN100" s="21" t="n">
        <v>1.08382514173663</v>
      </c>
      <c r="AO100" s="21" t="n">
        <v>1.09597082076024</v>
      </c>
      <c r="AP100" s="21" t="n">
        <v>1.90884397308568</v>
      </c>
      <c r="AQ100" s="21" t="n">
        <v>1.04274707313549</v>
      </c>
      <c r="AR100" s="21" t="n">
        <v>1.27175395697176</v>
      </c>
      <c r="AS100" s="21" t="n">
        <v>1.08475614135995</v>
      </c>
      <c r="AT100" s="21" t="n">
        <v>5.52269898398088</v>
      </c>
      <c r="AU100" s="21" t="n">
        <v>1.70154758427477</v>
      </c>
      <c r="AV100" s="21" t="n">
        <v>1.13829463680816</v>
      </c>
      <c r="AW100" s="21" t="n">
        <v>1.02646984547344</v>
      </c>
      <c r="AX100" s="21" t="n">
        <v>1.17027769073658</v>
      </c>
      <c r="AY100" s="21" t="n">
        <v>1.01950216396495</v>
      </c>
      <c r="AZ100" s="21" t="n">
        <v>1.02427599320236</v>
      </c>
      <c r="BA100" s="21" t="n">
        <v>1.04326258278645</v>
      </c>
      <c r="BB100" s="21" t="n">
        <v>1.53635655520731</v>
      </c>
      <c r="BC100" s="21" t="n">
        <v>1.46324516055924</v>
      </c>
      <c r="BD100" s="21" t="n">
        <v>1.14318684484317</v>
      </c>
      <c r="BE100" s="21" t="n">
        <v>1.51848659885041</v>
      </c>
      <c r="BF100" s="21" t="n">
        <v>1.0496569011769</v>
      </c>
      <c r="BG100" s="21" t="n">
        <v>1.33304782457049</v>
      </c>
      <c r="BH100" s="21" t="n">
        <v>1.13549638925922</v>
      </c>
      <c r="BI100" s="21" t="n">
        <v>1.14638625706495</v>
      </c>
      <c r="BJ100" s="21" t="n">
        <v>1.06421950244612</v>
      </c>
      <c r="BK100" s="21" t="n">
        <v>1.15305089930744</v>
      </c>
      <c r="BL100" s="21" t="n">
        <v>1.0240281715322</v>
      </c>
      <c r="BM100" s="21" t="n">
        <v>1.02420173278873</v>
      </c>
      <c r="BN100" s="21" t="n">
        <v>1.01634042136589</v>
      </c>
      <c r="BO100" s="21" t="n">
        <v>1.02093378583096</v>
      </c>
      <c r="BP100" s="21" t="n">
        <v>1.0158698565336</v>
      </c>
      <c r="BQ100" s="21" t="n">
        <v>1.25500757313806</v>
      </c>
      <c r="BR100" s="21" t="n">
        <v>1.0616099493988</v>
      </c>
      <c r="BS100" s="21" t="n">
        <v>1.02612000581518</v>
      </c>
      <c r="BT100" s="21" t="n">
        <v>1.01584014472187</v>
      </c>
      <c r="BU100" s="58" t="n">
        <f aca="false">AVERAGE(E100:BT100)</f>
        <v>1.31773894674079</v>
      </c>
    </row>
    <row r="101" customFormat="false" ht="11.25" hidden="false" customHeight="true" outlineLevel="0" collapsed="false">
      <c r="B101" s="24" t="s">
        <v>191</v>
      </c>
      <c r="C101" s="25" t="s">
        <v>192</v>
      </c>
      <c r="D101" s="24" t="n">
        <v>64</v>
      </c>
      <c r="E101" s="26" t="n">
        <v>1.73623923259619</v>
      </c>
      <c r="F101" s="26" t="n">
        <v>1.26250913572489</v>
      </c>
      <c r="G101" s="26" t="n">
        <v>1.20241304170908</v>
      </c>
      <c r="H101" s="26" t="n">
        <v>1.05512603780367</v>
      </c>
      <c r="I101" s="26" t="n">
        <v>1.3693090687336</v>
      </c>
      <c r="J101" s="26" t="n">
        <v>1.06250045597156</v>
      </c>
      <c r="K101" s="26" t="n">
        <v>1.16765822056447</v>
      </c>
      <c r="L101" s="26" t="n">
        <v>1.21295678367839</v>
      </c>
      <c r="M101" s="26" t="n">
        <v>1.0987406463203</v>
      </c>
      <c r="N101" s="26" t="n">
        <v>1.28447912126854</v>
      </c>
      <c r="O101" s="26" t="n">
        <v>1.24099267516608</v>
      </c>
      <c r="P101" s="26" t="n">
        <v>1.16399768901728</v>
      </c>
      <c r="Q101" s="26" t="n">
        <v>1.58524099484522</v>
      </c>
      <c r="R101" s="26" t="n">
        <v>1.07752142766901</v>
      </c>
      <c r="S101" s="26" t="n">
        <v>1.28843976031577</v>
      </c>
      <c r="T101" s="26" t="n">
        <v>1.32988553355719</v>
      </c>
      <c r="U101" s="26" t="n">
        <v>1.52894446883138</v>
      </c>
      <c r="V101" s="26" t="n">
        <v>1.1737096003819</v>
      </c>
      <c r="W101" s="26" t="n">
        <v>2.29023803603219</v>
      </c>
      <c r="X101" s="26" t="n">
        <v>1.03360874322512</v>
      </c>
      <c r="Y101" s="26" t="n">
        <v>1.81100777641239</v>
      </c>
      <c r="Z101" s="26" t="n">
        <v>1.27814436208732</v>
      </c>
      <c r="AA101" s="26" t="n">
        <v>1.05892142249009</v>
      </c>
      <c r="AB101" s="26" t="n">
        <v>1.1166645914546</v>
      </c>
      <c r="AC101" s="26" t="n">
        <v>1.36518811163365</v>
      </c>
      <c r="AD101" s="26" t="n">
        <v>1.26556067194362</v>
      </c>
      <c r="AE101" s="26" t="n">
        <v>1.51636585868</v>
      </c>
      <c r="AF101" s="26" t="n">
        <v>1.36935605031229</v>
      </c>
      <c r="AG101" s="26" t="n">
        <v>1.21243212886106</v>
      </c>
      <c r="AH101" s="26" t="n">
        <v>1.43003536122799</v>
      </c>
      <c r="AI101" s="26" t="n">
        <v>1.24168395231167</v>
      </c>
      <c r="AJ101" s="26" t="n">
        <v>1.37017321863536</v>
      </c>
      <c r="AK101" s="26" t="n">
        <v>1.08369324570026</v>
      </c>
      <c r="AL101" s="26" t="n">
        <v>1.36821524121316</v>
      </c>
      <c r="AM101" s="26" t="n">
        <v>1.5631768314672</v>
      </c>
      <c r="AN101" s="26" t="n">
        <v>1.07792599837426</v>
      </c>
      <c r="AO101" s="26" t="n">
        <v>1.08999030316645</v>
      </c>
      <c r="AP101" s="26" t="n">
        <v>1.89834683255561</v>
      </c>
      <c r="AQ101" s="26" t="n">
        <v>1.03706094470758</v>
      </c>
      <c r="AR101" s="26" t="n">
        <v>1.26484285135298</v>
      </c>
      <c r="AS101" s="26" t="n">
        <v>1.07885386360369</v>
      </c>
      <c r="AT101" s="26" t="n">
        <v>5.49246525146382</v>
      </c>
      <c r="AU101" s="26" t="n">
        <v>1.69222725906308</v>
      </c>
      <c r="AV101" s="26" t="n">
        <v>1.13207401446738</v>
      </c>
      <c r="AW101" s="26" t="n">
        <v>1.02082914148544</v>
      </c>
      <c r="AX101" s="26" t="n">
        <v>1.16387210675357</v>
      </c>
      <c r="AY101" s="26" t="n">
        <v>1.01392840796011</v>
      </c>
      <c r="AZ101" s="26" t="n">
        <v>1.01872371324423</v>
      </c>
      <c r="BA101" s="26" t="n">
        <v>1.03751015439325</v>
      </c>
      <c r="BB101" s="26" t="n">
        <v>1.52793546032521</v>
      </c>
      <c r="BC101" s="26" t="n">
        <v>1.45520431420851</v>
      </c>
      <c r="BD101" s="26" t="n">
        <v>1.13695142685202</v>
      </c>
      <c r="BE101" s="26" t="n">
        <v>1.5101350855125</v>
      </c>
      <c r="BF101" s="26" t="n">
        <v>1.04385578123121</v>
      </c>
      <c r="BG101" s="26" t="n">
        <v>1.32571547264698</v>
      </c>
      <c r="BH101" s="26" t="n">
        <v>1.12930223536031</v>
      </c>
      <c r="BI101" s="26" t="n">
        <v>1.14007578672478</v>
      </c>
      <c r="BJ101" s="26" t="n">
        <v>1.05839394804374</v>
      </c>
      <c r="BK101" s="26" t="n">
        <v>1.14678998002893</v>
      </c>
      <c r="BL101" s="26" t="n">
        <v>1.01842086015071</v>
      </c>
      <c r="BM101" s="26" t="n">
        <v>1.01859827288079</v>
      </c>
      <c r="BN101" s="26" t="n">
        <v>1.0107852133366</v>
      </c>
      <c r="BO101" s="26" t="n">
        <v>1.01333073185682</v>
      </c>
      <c r="BP101" s="26" t="n">
        <v>1.0123420214343</v>
      </c>
      <c r="BQ101" s="26" t="n">
        <v>1.24814862012884</v>
      </c>
      <c r="BR101" s="26" t="n">
        <v>1.05580735187388</v>
      </c>
      <c r="BS101" s="26" t="n">
        <v>1.02051938059064</v>
      </c>
      <c r="BT101" s="26" t="n">
        <v>1.01028893161232</v>
      </c>
      <c r="BU101" s="58" t="n">
        <f aca="false">AVERAGE(E101:BT101)</f>
        <v>1.31053501787107</v>
      </c>
    </row>
    <row r="102" customFormat="false" ht="11.25" hidden="false" customHeight="true" outlineLevel="0" collapsed="false">
      <c r="B102" s="19" t="s">
        <v>193</v>
      </c>
      <c r="C102" s="20" t="s">
        <v>194</v>
      </c>
      <c r="D102" s="19" t="n">
        <v>65</v>
      </c>
      <c r="E102" s="21" t="n">
        <v>2.14157951516432</v>
      </c>
      <c r="F102" s="21" t="n">
        <v>1.55725683886086</v>
      </c>
      <c r="G102" s="21" t="n">
        <v>1.48313330498664</v>
      </c>
      <c r="H102" s="21" t="n">
        <v>1.30145873584272</v>
      </c>
      <c r="I102" s="21" t="n">
        <v>1.68899212906219</v>
      </c>
      <c r="J102" s="21" t="n">
        <v>1.31055512520497</v>
      </c>
      <c r="K102" s="21" t="n">
        <v>1.44026394281551</v>
      </c>
      <c r="L102" s="21" t="n">
        <v>1.49613175148657</v>
      </c>
      <c r="M102" s="21" t="n">
        <v>1.35525550690004</v>
      </c>
      <c r="N102" s="21" t="n">
        <v>1.58434186639651</v>
      </c>
      <c r="O102" s="21" t="n">
        <v>1.5307174597504</v>
      </c>
      <c r="P102" s="21" t="n">
        <v>1.43574845924963</v>
      </c>
      <c r="Q102" s="21" t="n">
        <v>1.95533928117992</v>
      </c>
      <c r="R102" s="21" t="n">
        <v>1.32908303984976</v>
      </c>
      <c r="S102" s="21" t="n">
        <v>1.58924337261471</v>
      </c>
      <c r="T102" s="21" t="n">
        <v>1.64037348852101</v>
      </c>
      <c r="U102" s="21" t="n">
        <v>1.88591649891389</v>
      </c>
      <c r="V102" s="21" t="n">
        <v>1.44772716740235</v>
      </c>
      <c r="W102" s="21" t="n">
        <v>2.82492051555613</v>
      </c>
      <c r="X102" s="21" t="n">
        <v>1.27491833718883</v>
      </c>
      <c r="Y102" s="21" t="n">
        <v>2.23382571830578</v>
      </c>
      <c r="Z102" s="21" t="n">
        <v>1.57652865854565</v>
      </c>
      <c r="AA102" s="21" t="n">
        <v>1.30614617829789</v>
      </c>
      <c r="AB102" s="21" t="n">
        <v>1.37741301077526</v>
      </c>
      <c r="AC102" s="21" t="n">
        <v>1.68390821387973</v>
      </c>
      <c r="AD102" s="21" t="n">
        <v>1.56101615061572</v>
      </c>
      <c r="AE102" s="21" t="n">
        <v>1.87037922819441</v>
      </c>
      <c r="AF102" s="21" t="n">
        <v>1.68905339556206</v>
      </c>
      <c r="AG102" s="21" t="n">
        <v>1.49548826947475</v>
      </c>
      <c r="AH102" s="21" t="n">
        <v>1.76389317238577</v>
      </c>
      <c r="AI102" s="21" t="n">
        <v>1.53157110696996</v>
      </c>
      <c r="AJ102" s="21" t="n">
        <v>1.690054551848</v>
      </c>
      <c r="AK102" s="21" t="n">
        <v>1.33669561780439</v>
      </c>
      <c r="AL102" s="21" t="n">
        <v>1.68763673645882</v>
      </c>
      <c r="AM102" s="21" t="n">
        <v>1.92812133778869</v>
      </c>
      <c r="AN102" s="21" t="n">
        <v>1.32965467308507</v>
      </c>
      <c r="AO102" s="21" t="n">
        <v>1.34446009083617</v>
      </c>
      <c r="AP102" s="21" t="n">
        <v>2.34154946507592</v>
      </c>
      <c r="AQ102" s="21" t="n">
        <v>1.27917740680894</v>
      </c>
      <c r="AR102" s="21" t="n">
        <v>1.56007081787033</v>
      </c>
      <c r="AS102" s="21" t="n">
        <v>1.33071693747341</v>
      </c>
      <c r="AT102" s="21" t="n">
        <v>6.77487096636031</v>
      </c>
      <c r="AU102" s="21" t="n">
        <v>2.0872765308125</v>
      </c>
      <c r="AV102" s="21" t="n">
        <v>1.39637183915278</v>
      </c>
      <c r="AW102" s="21" t="n">
        <v>1.25915103088336</v>
      </c>
      <c r="AX102" s="21" t="n">
        <v>1.43559206727421</v>
      </c>
      <c r="AY102" s="21" t="n">
        <v>1.25064110837674</v>
      </c>
      <c r="AZ102" s="21" t="n">
        <v>1.25653462479452</v>
      </c>
      <c r="BA102" s="21" t="n">
        <v>1.27973204809182</v>
      </c>
      <c r="BB102" s="21" t="n">
        <v>1.88464530019001</v>
      </c>
      <c r="BC102" s="21" t="n">
        <v>1.79495798039867</v>
      </c>
      <c r="BD102" s="21" t="n">
        <v>1.40235715450494</v>
      </c>
      <c r="BE102" s="21" t="n">
        <v>1.86280011999103</v>
      </c>
      <c r="BF102" s="21" t="n">
        <v>1.28757189574336</v>
      </c>
      <c r="BG102" s="21" t="n">
        <v>1.63524631416976</v>
      </c>
      <c r="BH102" s="21" t="n">
        <v>1.39293555614259</v>
      </c>
      <c r="BI102" s="21" t="n">
        <v>1.40622737413558</v>
      </c>
      <c r="BJ102" s="21" t="n">
        <v>1.30548288086069</v>
      </c>
      <c r="BK102" s="21" t="n">
        <v>1.41442378799994</v>
      </c>
      <c r="BL102" s="21" t="n">
        <v>1.25616658362219</v>
      </c>
      <c r="BM102" s="21" t="n">
        <v>1.25640270298045</v>
      </c>
      <c r="BN102" s="21" t="n">
        <v>1.24676622883671</v>
      </c>
      <c r="BO102" s="21" t="n">
        <v>1.24989805779045</v>
      </c>
      <c r="BP102" s="21" t="n">
        <v>1.2461965695892</v>
      </c>
      <c r="BQ102" s="21" t="n">
        <v>1.54297316211411</v>
      </c>
      <c r="BR102" s="21" t="n">
        <v>1.30229845229337</v>
      </c>
      <c r="BS102" s="21" t="n">
        <v>1.25878012015341</v>
      </c>
      <c r="BT102" s="21" t="n">
        <v>1.24615433626252</v>
      </c>
      <c r="BU102" s="58" t="n">
        <f aca="false">AVERAGE(E102:BT102)</f>
        <v>1.61651135100778</v>
      </c>
    </row>
    <row r="103" customFormat="false" ht="11.25" hidden="false" customHeight="true" outlineLevel="0" collapsed="false">
      <c r="B103" s="24" t="s">
        <v>195</v>
      </c>
      <c r="C103" s="25" t="s">
        <v>196</v>
      </c>
      <c r="D103" s="24" t="n">
        <v>66</v>
      </c>
      <c r="E103" s="26" t="n">
        <v>1.81803982815248</v>
      </c>
      <c r="F103" s="26" t="n">
        <v>1.32199532340613</v>
      </c>
      <c r="G103" s="26" t="n">
        <v>1.2590736366459</v>
      </c>
      <c r="H103" s="26" t="n">
        <v>1.10484614313749</v>
      </c>
      <c r="I103" s="26" t="n">
        <v>1.43383969807563</v>
      </c>
      <c r="J103" s="26" t="n">
        <v>1.11256910752569</v>
      </c>
      <c r="K103" s="26" t="n">
        <v>1.22268262784224</v>
      </c>
      <c r="L103" s="26" t="n">
        <v>1.27010006235097</v>
      </c>
      <c r="M103" s="26" t="n">
        <v>1.15051542900326</v>
      </c>
      <c r="N103" s="26" t="n">
        <v>1.344984418363</v>
      </c>
      <c r="O103" s="26" t="n">
        <v>1.29946630575679</v>
      </c>
      <c r="P103" s="26" t="n">
        <v>1.21884922282108</v>
      </c>
      <c r="Q103" s="26" t="n">
        <v>1.65994379241869</v>
      </c>
      <c r="R103" s="26" t="n">
        <v>1.12830272230856</v>
      </c>
      <c r="S103" s="26" t="n">
        <v>1.34915536845689</v>
      </c>
      <c r="T103" s="26" t="n">
        <v>1.39255279891447</v>
      </c>
      <c r="U103" s="26" t="n">
        <v>1.60099970616084</v>
      </c>
      <c r="V103" s="26" t="n">
        <v>1.22904857328314</v>
      </c>
      <c r="W103" s="26" t="n">
        <v>2.39817343044592</v>
      </c>
      <c r="X103" s="26" t="n">
        <v>1.08231532502406</v>
      </c>
      <c r="Y103" s="26" t="n">
        <v>1.89633713836386</v>
      </c>
      <c r="Z103" s="26" t="n">
        <v>1.33836338531173</v>
      </c>
      <c r="AA103" s="26" t="n">
        <v>1.1088267348992</v>
      </c>
      <c r="AB103" s="26" t="n">
        <v>1.16924526801846</v>
      </c>
      <c r="AC103" s="26" t="n">
        <v>1.42951076710635</v>
      </c>
      <c r="AD103" s="26" t="n">
        <v>1.32519295343868</v>
      </c>
      <c r="AE103" s="26" t="n">
        <v>1.58782211887728</v>
      </c>
      <c r="AF103" s="26" t="n">
        <v>1.43388766591313</v>
      </c>
      <c r="AG103" s="26" t="n">
        <v>1.26956497313933</v>
      </c>
      <c r="AH103" s="26" t="n">
        <v>1.49742392477663</v>
      </c>
      <c r="AI103" s="26" t="n">
        <v>1.3002020827343</v>
      </c>
      <c r="AJ103" s="26" t="n">
        <v>1.43474060895771</v>
      </c>
      <c r="AK103" s="26" t="n">
        <v>1.13476030150174</v>
      </c>
      <c r="AL103" s="26" t="n">
        <v>1.43268446676518</v>
      </c>
      <c r="AM103" s="26" t="n">
        <v>1.63683962212664</v>
      </c>
      <c r="AN103" s="26" t="n">
        <v>1.12870436270908</v>
      </c>
      <c r="AO103" s="26" t="n">
        <v>1.14136665715868</v>
      </c>
      <c r="AP103" s="26" t="n">
        <v>1.9878607817136</v>
      </c>
      <c r="AQ103" s="26" t="n">
        <v>1.08591878320973</v>
      </c>
      <c r="AR103" s="26" t="n">
        <v>1.32440082888086</v>
      </c>
      <c r="AS103" s="26" t="n">
        <v>1.12967116744746</v>
      </c>
      <c r="AT103" s="26" t="n">
        <v>5.75129037947811</v>
      </c>
      <c r="AU103" s="26" t="n">
        <v>1.77196774533865</v>
      </c>
      <c r="AV103" s="26" t="n">
        <v>1.18542160309815</v>
      </c>
      <c r="AW103" s="26" t="n">
        <v>1.06893465879133</v>
      </c>
      <c r="AX103" s="26" t="n">
        <v>1.21871760874075</v>
      </c>
      <c r="AY103" s="26" t="n">
        <v>1.06171068025065</v>
      </c>
      <c r="AZ103" s="26" t="n">
        <v>1.06667997422342</v>
      </c>
      <c r="BA103" s="26" t="n">
        <v>1.08640555404826</v>
      </c>
      <c r="BB103" s="26" t="n">
        <v>1.59998156612215</v>
      </c>
      <c r="BC103" s="26" t="n">
        <v>1.52379846911751</v>
      </c>
      <c r="BD103" s="26" t="n">
        <v>1.19051356409302</v>
      </c>
      <c r="BE103" s="26" t="n">
        <v>1.581399298767</v>
      </c>
      <c r="BF103" s="26" t="n">
        <v>1.09319384137691</v>
      </c>
      <c r="BG103" s="26" t="n">
        <v>1.38825057566954</v>
      </c>
      <c r="BH103" s="26" t="n">
        <v>1.18250383593109</v>
      </c>
      <c r="BI103" s="26" t="n">
        <v>1.19386900228571</v>
      </c>
      <c r="BJ103" s="26" t="n">
        <v>1.10827237600725</v>
      </c>
      <c r="BK103" s="26" t="n">
        <v>1.2007602336128</v>
      </c>
      <c r="BL103" s="26" t="n">
        <v>1.06640529986815</v>
      </c>
      <c r="BM103" s="26" t="n">
        <v>1.06660677857409</v>
      </c>
      <c r="BN103" s="26" t="n">
        <v>1.05841664928473</v>
      </c>
      <c r="BO103" s="26" t="n">
        <v>1.06107619882753</v>
      </c>
      <c r="BP103" s="26" t="n">
        <v>1.05792797659566</v>
      </c>
      <c r="BQ103" s="26" t="n">
        <v>1.30696762354003</v>
      </c>
      <c r="BR103" s="26" t="n">
        <v>1.1078185633981</v>
      </c>
      <c r="BS103" s="26" t="n">
        <v>1.06859432596603</v>
      </c>
      <c r="BT103" s="26" t="n">
        <v>1.0578971829299</v>
      </c>
      <c r="BU103" s="58" t="n">
        <f aca="false">AVERAGE(E103:BT103)</f>
        <v>1.37229646586881</v>
      </c>
    </row>
    <row r="104" customFormat="false" ht="11.25" hidden="false" customHeight="true" outlineLevel="0" collapsed="false">
      <c r="B104" s="19" t="s">
        <v>197</v>
      </c>
      <c r="C104" s="20" t="s">
        <v>198</v>
      </c>
      <c r="D104" s="19" t="n">
        <v>67</v>
      </c>
      <c r="E104" s="21" t="n">
        <v>1.77322907687723</v>
      </c>
      <c r="F104" s="21" t="n">
        <v>1.2894035325642</v>
      </c>
      <c r="G104" s="21" t="n">
        <v>1.22802692697675</v>
      </c>
      <c r="H104" s="21" t="n">
        <v>1.07760168078692</v>
      </c>
      <c r="I104" s="21" t="n">
        <v>1.39849666349549</v>
      </c>
      <c r="J104" s="21" t="n">
        <v>1.08513349240053</v>
      </c>
      <c r="K104" s="21" t="n">
        <v>1.192531480374</v>
      </c>
      <c r="L104" s="21" t="n">
        <v>1.2387937759183</v>
      </c>
      <c r="M104" s="21" t="n">
        <v>1.12214671456177</v>
      </c>
      <c r="N104" s="21" t="n">
        <v>1.31183591622102</v>
      </c>
      <c r="O104" s="21" t="n">
        <v>1.26744088817044</v>
      </c>
      <c r="P104" s="21" t="n">
        <v>1.18879283630812</v>
      </c>
      <c r="Q104" s="21" t="n">
        <v>1.61902624853258</v>
      </c>
      <c r="R104" s="21" t="n">
        <v>1.10048755229282</v>
      </c>
      <c r="S104" s="21" t="n">
        <v>1.31588570918049</v>
      </c>
      <c r="T104" s="21" t="n">
        <v>1.3582156895376</v>
      </c>
      <c r="U104" s="21" t="n">
        <v>1.56152898479511</v>
      </c>
      <c r="V104" s="21" t="n">
        <v>1.19872144068948</v>
      </c>
      <c r="W104" s="21" t="n">
        <v>2.33911206144155</v>
      </c>
      <c r="X104" s="21" t="n">
        <v>1.05562751466861</v>
      </c>
      <c r="Y104" s="21" t="n">
        <v>1.84958456303987</v>
      </c>
      <c r="Z104" s="21" t="n">
        <v>1.30536011371174</v>
      </c>
      <c r="AA104" s="21" t="n">
        <v>1.08148604059971</v>
      </c>
      <c r="AB104" s="21" t="n">
        <v>1.14041788823953</v>
      </c>
      <c r="AC104" s="21" t="n">
        <v>1.39426655351958</v>
      </c>
      <c r="AD104" s="21" t="n">
        <v>1.29251836541193</v>
      </c>
      <c r="AE104" s="21" t="n">
        <v>1.54866654085913</v>
      </c>
      <c r="AF104" s="21" t="n">
        <v>1.39852677317912</v>
      </c>
      <c r="AG104" s="21" t="n">
        <v>1.23826091171265</v>
      </c>
      <c r="AH104" s="21" t="n">
        <v>1.46050729356769</v>
      </c>
      <c r="AI104" s="21" t="n">
        <v>1.26814993809912</v>
      </c>
      <c r="AJ104" s="21" t="n">
        <v>1.39935887437029</v>
      </c>
      <c r="AK104" s="21" t="n">
        <v>1.10677760154184</v>
      </c>
      <c r="AL104" s="21" t="n">
        <v>1.39735596066515</v>
      </c>
      <c r="AM104" s="21" t="n">
        <v>1.59647657013134</v>
      </c>
      <c r="AN104" s="21" t="n">
        <v>1.10086457846622</v>
      </c>
      <c r="AO104" s="21" t="n">
        <v>1.11320926624393</v>
      </c>
      <c r="AP104" s="21" t="n">
        <v>1.93886714283878</v>
      </c>
      <c r="AQ104" s="21" t="n">
        <v>1.05916543753532</v>
      </c>
      <c r="AR104" s="21" t="n">
        <v>1.29174777634267</v>
      </c>
      <c r="AS104" s="21" t="n">
        <v>1.10181143353894</v>
      </c>
      <c r="AT104" s="21" t="n">
        <v>5.60955097823724</v>
      </c>
      <c r="AU104" s="21" t="n">
        <v>1.72833318138649</v>
      </c>
      <c r="AV104" s="21" t="n">
        <v>1.15618973176272</v>
      </c>
      <c r="AW104" s="21" t="n">
        <v>1.04269347378184</v>
      </c>
      <c r="AX104" s="21" t="n">
        <v>1.18870122197182</v>
      </c>
      <c r="AY104" s="21" t="n">
        <v>1.03560549663186</v>
      </c>
      <c r="AZ104" s="21" t="n">
        <v>1.04049486885884</v>
      </c>
      <c r="BA104" s="21" t="n">
        <v>1.05961609120151</v>
      </c>
      <c r="BB104" s="21" t="n">
        <v>1.56049474452808</v>
      </c>
      <c r="BC104" s="21" t="n">
        <v>1.4862481960525</v>
      </c>
      <c r="BD104" s="21" t="n">
        <v>1.16117041195868</v>
      </c>
      <c r="BE104" s="21" t="n">
        <v>1.54238749255593</v>
      </c>
      <c r="BF104" s="21" t="n">
        <v>1.06612346137361</v>
      </c>
      <c r="BG104" s="21" t="n">
        <v>1.35402414494584</v>
      </c>
      <c r="BH104" s="21" t="n">
        <v>1.15334603978006</v>
      </c>
      <c r="BI104" s="21" t="n">
        <v>1.16438089261742</v>
      </c>
      <c r="BJ104" s="21" t="n">
        <v>1.08093760893174</v>
      </c>
      <c r="BK104" s="21" t="n">
        <v>1.17118085936183</v>
      </c>
      <c r="BL104" s="21" t="n">
        <v>1.04010263500431</v>
      </c>
      <c r="BM104" s="21" t="n">
        <v>1.04030388725532</v>
      </c>
      <c r="BN104" s="21" t="n">
        <v>1.03231665614622</v>
      </c>
      <c r="BO104" s="21" t="n">
        <v>1.03491479999748</v>
      </c>
      <c r="BP104" s="21" t="n">
        <v>1.03183984689413</v>
      </c>
      <c r="BQ104" s="21" t="n">
        <v>1.27473658490728</v>
      </c>
      <c r="BR104" s="21" t="n">
        <v>1.07831311514099</v>
      </c>
      <c r="BS104" s="21" t="n">
        <v>1.04433486181543</v>
      </c>
      <c r="BT104" s="21" t="n">
        <v>1.0318098121844</v>
      </c>
      <c r="BU104" s="58" t="n">
        <f aca="false">AVERAGE(E104:BT104)</f>
        <v>1.3384642485984</v>
      </c>
    </row>
    <row r="105" customFormat="false" ht="11.25" hidden="false" customHeight="true" outlineLevel="0" collapsed="false">
      <c r="B105" s="24" t="s">
        <v>199</v>
      </c>
      <c r="C105" s="25" t="s">
        <v>200</v>
      </c>
      <c r="D105" s="24" t="n">
        <v>68</v>
      </c>
      <c r="E105" s="26" t="n">
        <v>1.71853427409503</v>
      </c>
      <c r="F105" s="26" t="n">
        <v>1.24964317035073</v>
      </c>
      <c r="G105" s="26" t="n">
        <v>1.19016497456493</v>
      </c>
      <c r="H105" s="26" t="n">
        <v>1.04437821003424</v>
      </c>
      <c r="I105" s="26" t="n">
        <v>1.35535024181157</v>
      </c>
      <c r="J105" s="26" t="n">
        <v>1.051678738601</v>
      </c>
      <c r="K105" s="26" t="n">
        <v>1.15576574725369</v>
      </c>
      <c r="L105" s="26" t="n">
        <v>1.20058760010167</v>
      </c>
      <c r="M105" s="26" t="n">
        <v>1.08754778253419</v>
      </c>
      <c r="N105" s="26" t="n">
        <v>1.27136953928753</v>
      </c>
      <c r="O105" s="26" t="n">
        <v>1.22834504417795</v>
      </c>
      <c r="P105" s="26" t="n">
        <v>1.15214334434067</v>
      </c>
      <c r="Q105" s="26" t="n">
        <v>1.56909306376807</v>
      </c>
      <c r="R105" s="26" t="n">
        <v>1.06654633067984</v>
      </c>
      <c r="S105" s="26" t="n">
        <v>1.2753177470255</v>
      </c>
      <c r="T105" s="26" t="n">
        <v>1.31633673620475</v>
      </c>
      <c r="U105" s="26" t="n">
        <v>1.51335922884717</v>
      </c>
      <c r="V105" s="26" t="n">
        <v>1.16175020433991</v>
      </c>
      <c r="W105" s="26" t="n">
        <v>2.26685648021977</v>
      </c>
      <c r="X105" s="26" t="n">
        <v>1.02308050432206</v>
      </c>
      <c r="Y105" s="26" t="n">
        <v>1.79253371610073</v>
      </c>
      <c r="Z105" s="26" t="n">
        <v>1.26510573953644</v>
      </c>
      <c r="AA105" s="26" t="n">
        <v>1.04813434719191</v>
      </c>
      <c r="AB105" s="26" t="n">
        <v>1.10525304656746</v>
      </c>
      <c r="AC105" s="26" t="n">
        <v>1.35126400207153</v>
      </c>
      <c r="AD105" s="26" t="n">
        <v>1.25266088456065</v>
      </c>
      <c r="AE105" s="26" t="n">
        <v>1.50091094484238</v>
      </c>
      <c r="AF105" s="26" t="n">
        <v>1.35540477619901</v>
      </c>
      <c r="AG105" s="26" t="n">
        <v>1.20007403950238</v>
      </c>
      <c r="AH105" s="26" t="n">
        <v>1.41546070894748</v>
      </c>
      <c r="AI105" s="26" t="n">
        <v>1.22903292024822</v>
      </c>
      <c r="AJ105" s="26" t="n">
        <v>1.35621051310409</v>
      </c>
      <c r="AK105" s="26" t="n">
        <v>1.07265595593864</v>
      </c>
      <c r="AL105" s="26" t="n">
        <v>1.35427012845268</v>
      </c>
      <c r="AM105" s="26" t="n">
        <v>1.54725611190959</v>
      </c>
      <c r="AN105" s="26" t="n">
        <v>1.06692323475917</v>
      </c>
      <c r="AO105" s="26" t="n">
        <v>1.07887301750062</v>
      </c>
      <c r="AP105" s="26" t="n">
        <v>1.87894556242941</v>
      </c>
      <c r="AQ105" s="26" t="n">
        <v>1.02647846246457</v>
      </c>
      <c r="AR105" s="26" t="n">
        <v>1.25190096101006</v>
      </c>
      <c r="AS105" s="26" t="n">
        <v>1.06783466258205</v>
      </c>
      <c r="AT105" s="26" t="n">
        <v>5.43604117995107</v>
      </c>
      <c r="AU105" s="26" t="n">
        <v>1.67493064656734</v>
      </c>
      <c r="AV105" s="26" t="n">
        <v>1.12054388068819</v>
      </c>
      <c r="AW105" s="26" t="n">
        <v>1.01042628853582</v>
      </c>
      <c r="AX105" s="26" t="n">
        <v>1.15200562852324</v>
      </c>
      <c r="AY105" s="26" t="n">
        <v>1.0035985853124</v>
      </c>
      <c r="AZ105" s="26" t="n">
        <v>1.00829660847492</v>
      </c>
      <c r="BA105" s="26" t="n">
        <v>1.02694179751062</v>
      </c>
      <c r="BB105" s="26" t="n">
        <v>1.51236118563238</v>
      </c>
      <c r="BC105" s="26" t="n">
        <v>1.44035905743876</v>
      </c>
      <c r="BD105" s="26" t="n">
        <v>1.12534118515223</v>
      </c>
      <c r="BE105" s="26" t="n">
        <v>1.49471361811188</v>
      </c>
      <c r="BF105" s="26" t="n">
        <v>1.03321179065391</v>
      </c>
      <c r="BG105" s="26" t="n">
        <v>1.31218525968721</v>
      </c>
      <c r="BH105" s="26" t="n">
        <v>1.11778177699464</v>
      </c>
      <c r="BI105" s="26" t="n">
        <v>1.12844081187887</v>
      </c>
      <c r="BJ105" s="26" t="n">
        <v>1.04760087263612</v>
      </c>
      <c r="BK105" s="26" t="n">
        <v>1.13497524310827</v>
      </c>
      <c r="BL105" s="26" t="n">
        <v>1.00803131806014</v>
      </c>
      <c r="BM105" s="26" t="n">
        <v>1.00821874824839</v>
      </c>
      <c r="BN105" s="26" t="n">
        <v>1.00049058790674</v>
      </c>
      <c r="BO105" s="26" t="n">
        <v>1.00300280450611</v>
      </c>
      <c r="BP105" s="26" t="n">
        <v>1.00002909543476</v>
      </c>
      <c r="BQ105" s="26" t="n">
        <v>1.23543689034132</v>
      </c>
      <c r="BR105" s="26" t="n">
        <v>1.0450531069941</v>
      </c>
      <c r="BS105" s="26" t="n">
        <v>1.01010785860096</v>
      </c>
      <c r="BT105" s="26" t="n">
        <v>1.00200300400501</v>
      </c>
      <c r="BU105" s="58" t="n">
        <f aca="false">AVERAGE(E105:BT105)</f>
        <v>1.29716414013875</v>
      </c>
    </row>
    <row r="106" customFormat="false" ht="15" hidden="false" customHeight="false" outlineLevel="0" collapsed="false">
      <c r="B106" s="29"/>
      <c r="C106" s="30" t="s">
        <v>329</v>
      </c>
      <c r="D106" s="29"/>
      <c r="E106" s="31" t="n">
        <f aca="false">AVERAGE(E38:E105)</f>
        <v>2.22939367758632</v>
      </c>
      <c r="F106" s="31" t="n">
        <f aca="false">AVERAGE(F38:F105)</f>
        <v>1.62103435598832</v>
      </c>
      <c r="G106" s="31" t="n">
        <f aca="false">AVERAGE(G38:G105)</f>
        <v>1.5438673109085</v>
      </c>
      <c r="H106" s="31" t="n">
        <f aca="false">AVERAGE(H38:H105)</f>
        <v>1.35474633368282</v>
      </c>
      <c r="I106" s="31" t="n">
        <f aca="false">AVERAGE(I38:I105)</f>
        <v>1.75823348823937</v>
      </c>
      <c r="J106" s="31" t="n">
        <f aca="false">AVERAGE(J38:J105)</f>
        <v>1.36421634708094</v>
      </c>
      <c r="K106" s="31" t="n">
        <f aca="false">AVERAGE(K38:K105)</f>
        <v>1.49924204563632</v>
      </c>
      <c r="L106" s="31" t="n">
        <f aca="false">AVERAGE(L38:L105)</f>
        <v>1.5574039703825</v>
      </c>
      <c r="M106" s="31" t="n">
        <f aca="false">AVERAGE(M38:M105)</f>
        <v>1.41075470654499</v>
      </c>
      <c r="N106" s="31" t="n">
        <f aca="false">AVERAGE(N38:N105)</f>
        <v>1.64923897041322</v>
      </c>
      <c r="O106" s="31" t="n">
        <f aca="false">AVERAGE(O38:O105)</f>
        <v>1.59338840344429</v>
      </c>
      <c r="P106" s="31" t="n">
        <f aca="false">AVERAGE(P38:P105)</f>
        <v>1.49453498190938</v>
      </c>
      <c r="Q106" s="31" t="n">
        <f aca="false">AVERAGE(Q38:Q105)</f>
        <v>2.03545210174365</v>
      </c>
      <c r="R106" s="31" t="n">
        <f aca="false">AVERAGE(R38:R105)</f>
        <v>1.38349757544554</v>
      </c>
      <c r="S106" s="31" t="n">
        <f aca="false">AVERAGE(S38:S105)</f>
        <v>1.65432948420627</v>
      </c>
      <c r="T106" s="31" t="n">
        <f aca="false">AVERAGE(T38:T105)</f>
        <v>1.70754125673781</v>
      </c>
      <c r="U106" s="31" t="n">
        <f aca="false">AVERAGE(U38:U105)</f>
        <v>1.96319020688725</v>
      </c>
      <c r="V106" s="31" t="n">
        <f aca="false">AVERAGE(V38:V105)</f>
        <v>1.50701247635293</v>
      </c>
      <c r="W106" s="31" t="n">
        <f aca="false">AVERAGE(W38:W105)</f>
        <v>2.94095083398387</v>
      </c>
      <c r="X106" s="31" t="n">
        <f aca="false">AVERAGE(X38:X105)</f>
        <v>1.32712304484749</v>
      </c>
      <c r="Y106" s="31" t="n">
        <f aca="false">AVERAGE(Y38:Y105)</f>
        <v>2.32543464622654</v>
      </c>
      <c r="Z106" s="31" t="n">
        <f aca="false">AVERAGE(Z38:Z105)</f>
        <v>1.64112857785611</v>
      </c>
      <c r="AA106" s="31" t="n">
        <f aca="false">AVERAGE(AA38:AA105)</f>
        <v>1.35961344197954</v>
      </c>
      <c r="AB106" s="31" t="n">
        <f aca="false">AVERAGE(AB38:AB105)</f>
        <v>1.43371432749957</v>
      </c>
      <c r="AC106" s="31" t="n">
        <f aca="false">AVERAGE(AC38:AC105)</f>
        <v>1.75290220770072</v>
      </c>
      <c r="AD106" s="31" t="n">
        <f aca="false">AVERAGE(AD38:AD105)</f>
        <v>1.62495053716727</v>
      </c>
      <c r="AE106" s="31" t="n">
        <f aca="false">AVERAGE(AE38:AE105)</f>
        <v>1.94704856072626</v>
      </c>
      <c r="AF106" s="31" t="n">
        <f aca="false">AVERAGE(AF38:AF105)</f>
        <v>1.75824543698213</v>
      </c>
      <c r="AG106" s="31" t="n">
        <f aca="false">AVERAGE(AG38:AG105)</f>
        <v>1.5567561672304</v>
      </c>
      <c r="AH106" s="31" t="n">
        <f aca="false">AVERAGE(AH38:AH105)</f>
        <v>1.83613186963552</v>
      </c>
      <c r="AI106" s="31" t="n">
        <f aca="false">AVERAGE(AI38:AI105)</f>
        <v>1.59429967678081</v>
      </c>
      <c r="AJ106" s="31" t="n">
        <f aca="false">AVERAGE(AJ38:AJ105)</f>
        <v>1.75929737814873</v>
      </c>
      <c r="AK106" s="31" t="n">
        <f aca="false">AVERAGE(AK38:AK105)</f>
        <v>1.39141996013249</v>
      </c>
      <c r="AL106" s="31" t="n">
        <f aca="false">AVERAGE(AL38:AL105)</f>
        <v>1.75676746169419</v>
      </c>
      <c r="AM106" s="31" t="n">
        <f aca="false">AVERAGE(AM38:AM105)</f>
        <v>2.00709497849355</v>
      </c>
      <c r="AN106" s="31" t="n">
        <f aca="false">AVERAGE(AN38:AN105)</f>
        <v>1.38398858839638</v>
      </c>
      <c r="AO106" s="31" t="n">
        <f aca="false">AVERAGE(AO38:AO105)</f>
        <v>1.39952951036477</v>
      </c>
      <c r="AP106" s="31" t="n">
        <f aca="false">AVERAGE(AP38:AP105)</f>
        <v>2.43754410298377</v>
      </c>
      <c r="AQ106" s="31" t="n">
        <f aca="false">AVERAGE(AQ38:AQ105)</f>
        <v>1.33153296714662</v>
      </c>
      <c r="AR106" s="31" t="n">
        <f aca="false">AVERAGE(AR38:AR105)</f>
        <v>1.62396768125987</v>
      </c>
      <c r="AS106" s="31" t="n">
        <f aca="false">AVERAGE(AS38:AS105)</f>
        <v>1.3851915202725</v>
      </c>
      <c r="AT106" s="31" t="n">
        <f aca="false">AVERAGE(AT38:AT105)</f>
        <v>7.05439778176451</v>
      </c>
      <c r="AU106" s="31" t="n">
        <f aca="false">AVERAGE(AU38:AU105)</f>
        <v>2.1729514910684</v>
      </c>
      <c r="AV106" s="31" t="n">
        <f aca="false">AVERAGE(AV38:AV105)</f>
        <v>1.45354581051524</v>
      </c>
      <c r="AW106" s="31" t="n">
        <f aca="false">AVERAGE(AW38:AW105)</f>
        <v>1.31070317632504</v>
      </c>
      <c r="AX106" s="31" t="n">
        <f aca="false">AVERAGE(AX38:AX105)</f>
        <v>1.49440602310367</v>
      </c>
      <c r="AY106" s="31" t="n">
        <f aca="false">AVERAGE(AY38:AY105)</f>
        <v>1.30183961081177</v>
      </c>
      <c r="AZ106" s="31" t="n">
        <f aca="false">AVERAGE(AZ38:AZ105)</f>
        <v>1.3079388375917</v>
      </c>
      <c r="BA106" s="31" t="n">
        <f aca="false">AVERAGE(BA38:BA105)</f>
        <v>1.33213098500173</v>
      </c>
      <c r="BB106" s="31" t="n">
        <f aca="false">AVERAGE(BB38:BB105)</f>
        <v>1.96186930188838</v>
      </c>
      <c r="BC106" s="31" t="n">
        <f aca="false">AVERAGE(BC38:BC105)</f>
        <v>1.86848371091726</v>
      </c>
      <c r="BD106" s="31" t="n">
        <f aca="false">AVERAGE(BD38:BD105)</f>
        <v>1.45978789225805</v>
      </c>
      <c r="BE106" s="31" t="n">
        <f aca="false">AVERAGE(BE38:BE105)</f>
        <v>1.9391069561076</v>
      </c>
      <c r="BF106" s="31" t="n">
        <f aca="false">AVERAGE(BF38:BF105)</f>
        <v>1.34028794285394</v>
      </c>
      <c r="BG106" s="31" t="n">
        <f aca="false">AVERAGE(BG38:BG105)</f>
        <v>1.70226037469274</v>
      </c>
      <c r="BH106" s="31" t="n">
        <f aca="false">AVERAGE(BH38:BH105)</f>
        <v>1.44998271101618</v>
      </c>
      <c r="BI106" s="31" t="n">
        <f aca="false">AVERAGE(BI38:BI105)</f>
        <v>1.46384152735335</v>
      </c>
      <c r="BJ106" s="31" t="n">
        <f aca="false">AVERAGE(BJ38:BJ105)</f>
        <v>1.3589368994916</v>
      </c>
      <c r="BK106" s="31" t="n">
        <f aca="false">AVERAGE(BK38:BK105)</f>
        <v>1.47233306384033</v>
      </c>
      <c r="BL106" s="31" t="n">
        <f aca="false">AVERAGE(BL38:BL105)</f>
        <v>1.30759802031684</v>
      </c>
      <c r="BM106" s="31" t="n">
        <f aca="false">AVERAGE(BM38:BM105)</f>
        <v>1.30784016300066</v>
      </c>
      <c r="BN106" s="31" t="n">
        <f aca="false">AVERAGE(BN38:BN105)</f>
        <v>1.29780181568662</v>
      </c>
      <c r="BO106" s="31" t="n">
        <f aca="false">AVERAGE(BO38:BO105)</f>
        <v>1.30106568800664</v>
      </c>
      <c r="BP106" s="31" t="n">
        <f aca="false">AVERAGE(BP38:BP105)</f>
        <v>1.29720234409967</v>
      </c>
      <c r="BQ106" s="31" t="n">
        <f aca="false">AVERAGE(BQ38:BQ105)</f>
        <v>1.60257909098665</v>
      </c>
      <c r="BR106" s="31" t="n">
        <f aca="false">AVERAGE(BR38:BR105)</f>
        <v>1.35561407788512</v>
      </c>
      <c r="BS106" s="31" t="n">
        <f aca="false">AVERAGE(BS38:BS105)</f>
        <v>1.31028947110948</v>
      </c>
      <c r="BT106" s="31" t="n">
        <f aca="false">AVERAGE(BT38:BT105)</f>
        <v>1.29716414013875</v>
      </c>
      <c r="BU106" s="29"/>
    </row>
  </sheetData>
  <mergeCells count="49">
    <mergeCell ref="B3:V3"/>
    <mergeCell ref="B6:V6"/>
    <mergeCell ref="B7:V7"/>
    <mergeCell ref="C9:D9"/>
    <mergeCell ref="F9:I9"/>
    <mergeCell ref="C10:D10"/>
    <mergeCell ref="F10:I10"/>
    <mergeCell ref="C11:D11"/>
    <mergeCell ref="F11:I11"/>
    <mergeCell ref="C12:D12"/>
    <mergeCell ref="F12:I12"/>
    <mergeCell ref="C13:D13"/>
    <mergeCell ref="F13:I13"/>
    <mergeCell ref="C14:D14"/>
    <mergeCell ref="F14:I14"/>
    <mergeCell ref="C15:D15"/>
    <mergeCell ref="F15:I15"/>
    <mergeCell ref="C16:D16"/>
    <mergeCell ref="F16:I16"/>
    <mergeCell ref="C17:D17"/>
    <mergeCell ref="F17:I17"/>
    <mergeCell ref="C18:D18"/>
    <mergeCell ref="F18:I18"/>
    <mergeCell ref="C19:D19"/>
    <mergeCell ref="F19:I19"/>
    <mergeCell ref="C20:D20"/>
    <mergeCell ref="F20:I20"/>
    <mergeCell ref="C21:D21"/>
    <mergeCell ref="F21:I21"/>
    <mergeCell ref="C22:D22"/>
    <mergeCell ref="F22:I22"/>
    <mergeCell ref="C23:D23"/>
    <mergeCell ref="F23:I23"/>
    <mergeCell ref="C24:D24"/>
    <mergeCell ref="F24:I24"/>
    <mergeCell ref="C25:D25"/>
    <mergeCell ref="F25:I25"/>
    <mergeCell ref="C26:D26"/>
    <mergeCell ref="F26:I26"/>
    <mergeCell ref="C27:D27"/>
    <mergeCell ref="F27:I27"/>
    <mergeCell ref="C28:D28"/>
    <mergeCell ref="F28:I28"/>
    <mergeCell ref="C29:D29"/>
    <mergeCell ref="F29:I29"/>
    <mergeCell ref="B32:V32"/>
    <mergeCell ref="B33:V33"/>
    <mergeCell ref="B34:V34"/>
    <mergeCell ref="C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D8E1"/>
    <pageSetUpPr fitToPage="false"/>
  </sheetPr>
  <dimension ref="B1:V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46"/>
    <col collapsed="false" customWidth="true" hidden="false" outlineLevel="0" max="4" min="4" style="0" width="4.4"/>
    <col collapsed="false" customWidth="true" hidden="false" outlineLevel="0" max="7" min="5" style="0" width="15"/>
    <col collapsed="false" customWidth="true" hidden="false" outlineLevel="0" max="8" min="8" style="0" width="13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330</v>
      </c>
    </row>
    <row r="3" customFormat="false" ht="24.75" hidden="false" customHeight="true" outlineLevel="0" collapsed="false">
      <c r="B3" s="15" t="s">
        <v>331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5" customFormat="false" ht="15" hidden="false" customHeight="false" outlineLevel="0" collapsed="false">
      <c r="B5" s="4" t="s">
        <v>237</v>
      </c>
    </row>
    <row r="6" customFormat="false" ht="13.5" hidden="false" customHeight="true" outlineLevel="0" collapsed="false">
      <c r="B6" s="35" t="s">
        <v>332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customFormat="false" ht="25.5" hidden="false" customHeight="true" outlineLevel="0" collapsed="false">
      <c r="B7" s="35" t="s">
        <v>333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9" customFormat="false" ht="24" hidden="false" customHeight="true" outlineLevel="0" collapsed="false">
      <c r="B9" s="5" t="s">
        <v>62</v>
      </c>
      <c r="C9" s="5" t="s">
        <v>63</v>
      </c>
      <c r="D9" s="5" t="s">
        <v>64</v>
      </c>
      <c r="E9" s="5" t="s">
        <v>334</v>
      </c>
      <c r="F9" s="5" t="s">
        <v>335</v>
      </c>
      <c r="G9" s="5" t="s">
        <v>336</v>
      </c>
      <c r="H9" s="5" t="s">
        <v>337</v>
      </c>
    </row>
    <row r="10" customFormat="false" ht="15" hidden="false" customHeight="false" outlineLevel="0" collapsed="false">
      <c r="B10" s="14" t="s">
        <v>65</v>
      </c>
      <c r="C10" s="7" t="s">
        <v>66</v>
      </c>
      <c r="D10" s="14" t="n">
        <v>1</v>
      </c>
      <c r="E10" s="42" t="n">
        <v>549087</v>
      </c>
      <c r="F10" s="42" t="n">
        <v>547612.659723277</v>
      </c>
      <c r="G10" s="42" t="n">
        <f aca="false">E10-F10</f>
        <v>1474.34027672315</v>
      </c>
      <c r="H10" s="59" t="n">
        <f aca="false">IF(E10=0,0,G10/E10)</f>
        <v>0.00268507591096337</v>
      </c>
    </row>
    <row r="11" customFormat="false" ht="15" hidden="false" customHeight="false" outlineLevel="0" collapsed="false">
      <c r="B11" s="17" t="s">
        <v>67</v>
      </c>
      <c r="C11" s="9" t="s">
        <v>68</v>
      </c>
      <c r="D11" s="17" t="n">
        <v>2</v>
      </c>
      <c r="E11" s="44" t="n">
        <v>204149</v>
      </c>
      <c r="F11" s="44" t="n">
        <v>203991.336820094</v>
      </c>
      <c r="G11" s="44" t="n">
        <f aca="false">E11-F11</f>
        <v>157.663179906202</v>
      </c>
      <c r="H11" s="60" t="n">
        <f aca="false">IF(E11=0,0,G11/E11)</f>
        <v>0.000772294647077388</v>
      </c>
    </row>
    <row r="12" customFormat="false" ht="15" hidden="false" customHeight="false" outlineLevel="0" collapsed="false">
      <c r="B12" s="14" t="s">
        <v>69</v>
      </c>
      <c r="C12" s="7" t="s">
        <v>70</v>
      </c>
      <c r="D12" s="14" t="n">
        <v>3</v>
      </c>
      <c r="E12" s="42" t="n">
        <v>42525</v>
      </c>
      <c r="F12" s="42" t="n">
        <v>42320.490853898</v>
      </c>
      <c r="G12" s="42" t="n">
        <f aca="false">E12-F12</f>
        <v>204.509146101998</v>
      </c>
      <c r="H12" s="59" t="n">
        <f aca="false">IF(E12=0,0,G12/E12)</f>
        <v>0.00480915099593177</v>
      </c>
    </row>
    <row r="13" customFormat="false" ht="15" hidden="false" customHeight="false" outlineLevel="0" collapsed="false">
      <c r="B13" s="17" t="s">
        <v>71</v>
      </c>
      <c r="C13" s="9" t="s">
        <v>72</v>
      </c>
      <c r="D13" s="17" t="n">
        <v>4</v>
      </c>
      <c r="E13" s="44" t="n">
        <v>23233</v>
      </c>
      <c r="F13" s="44" t="n">
        <v>22142.2886658386</v>
      </c>
      <c r="G13" s="44" t="n">
        <f aca="false">E13-F13</f>
        <v>1090.71133416138</v>
      </c>
      <c r="H13" s="60" t="n">
        <f aca="false">IF(E13=0,0,G13/E13)</f>
        <v>0.0469466420247657</v>
      </c>
    </row>
    <row r="14" customFormat="false" ht="15" hidden="false" customHeight="false" outlineLevel="0" collapsed="false">
      <c r="B14" s="61" t="s">
        <v>73</v>
      </c>
      <c r="C14" s="62" t="s">
        <v>74</v>
      </c>
      <c r="D14" s="61" t="n">
        <v>5</v>
      </c>
      <c r="E14" s="63" t="n">
        <v>238713</v>
      </c>
      <c r="F14" s="63" t="n">
        <v>0</v>
      </c>
      <c r="G14" s="63" t="n">
        <f aca="false">E14-F14</f>
        <v>238713</v>
      </c>
      <c r="H14" s="64" t="n">
        <f aca="false">IF(E14=0,0,G14/E14)</f>
        <v>1</v>
      </c>
    </row>
    <row r="15" customFormat="false" ht="15" hidden="false" customHeight="false" outlineLevel="0" collapsed="false">
      <c r="B15" s="17" t="s">
        <v>75</v>
      </c>
      <c r="C15" s="9" t="s">
        <v>76</v>
      </c>
      <c r="D15" s="17" t="n">
        <v>6</v>
      </c>
      <c r="E15" s="44" t="n">
        <v>156454</v>
      </c>
      <c r="F15" s="44" t="n">
        <v>151861.269050748</v>
      </c>
      <c r="G15" s="44" t="n">
        <f aca="false">E15-F15</f>
        <v>4592.73094925159</v>
      </c>
      <c r="H15" s="60" t="n">
        <f aca="false">IF(E15=0,0,G15/E15)</f>
        <v>0.0293551519887737</v>
      </c>
    </row>
    <row r="16" customFormat="false" ht="15" hidden="false" customHeight="false" outlineLevel="0" collapsed="false">
      <c r="B16" s="14" t="s">
        <v>77</v>
      </c>
      <c r="C16" s="7" t="s">
        <v>78</v>
      </c>
      <c r="D16" s="14" t="n">
        <v>7</v>
      </c>
      <c r="E16" s="42" t="n">
        <v>23631</v>
      </c>
      <c r="F16" s="42" t="n">
        <v>23155.9154513103</v>
      </c>
      <c r="G16" s="42" t="n">
        <f aca="false">E16-F16</f>
        <v>475.084548689698</v>
      </c>
      <c r="H16" s="59" t="n">
        <f aca="false">IF(E16=0,0,G16/E16)</f>
        <v>0.0201042930341373</v>
      </c>
    </row>
    <row r="17" customFormat="false" ht="15" hidden="false" customHeight="false" outlineLevel="0" collapsed="false">
      <c r="B17" s="17" t="s">
        <v>79</v>
      </c>
      <c r="C17" s="9" t="s">
        <v>80</v>
      </c>
      <c r="D17" s="17" t="n">
        <v>8</v>
      </c>
      <c r="E17" s="44" t="n">
        <v>398215</v>
      </c>
      <c r="F17" s="44" t="n">
        <v>398025.728026276</v>
      </c>
      <c r="G17" s="44" t="n">
        <f aca="false">E17-F17</f>
        <v>189.271973723837</v>
      </c>
      <c r="H17" s="60" t="n">
        <f aca="false">IF(E17=0,0,G17/E17)</f>
        <v>0.000475300964865303</v>
      </c>
    </row>
    <row r="18" customFormat="false" ht="15" hidden="false" customHeight="false" outlineLevel="0" collapsed="false">
      <c r="B18" s="14" t="s">
        <v>81</v>
      </c>
      <c r="C18" s="7" t="s">
        <v>82</v>
      </c>
      <c r="D18" s="14" t="n">
        <v>9</v>
      </c>
      <c r="E18" s="42" t="n">
        <v>71299</v>
      </c>
      <c r="F18" s="42" t="n">
        <v>70638.9777978014</v>
      </c>
      <c r="G18" s="42" t="n">
        <f aca="false">E18-F18</f>
        <v>660.022202198597</v>
      </c>
      <c r="H18" s="59" t="n">
        <f aca="false">IF(E18=0,0,G18/E18)</f>
        <v>0.00925710321601421</v>
      </c>
    </row>
    <row r="19" customFormat="false" ht="15" hidden="false" customHeight="false" outlineLevel="0" collapsed="false">
      <c r="B19" s="17" t="s">
        <v>83</v>
      </c>
      <c r="C19" s="9" t="s">
        <v>84</v>
      </c>
      <c r="D19" s="17" t="n">
        <v>10</v>
      </c>
      <c r="E19" s="44" t="n">
        <v>393619</v>
      </c>
      <c r="F19" s="44" t="n">
        <v>392784.077434326</v>
      </c>
      <c r="G19" s="44" t="n">
        <f aca="false">E19-F19</f>
        <v>834.922565674409</v>
      </c>
      <c r="H19" s="60" t="n">
        <f aca="false">IF(E19=0,0,G19/E19)</f>
        <v>0.00212114396325993</v>
      </c>
    </row>
    <row r="20" customFormat="false" ht="15" hidden="false" customHeight="false" outlineLevel="0" collapsed="false">
      <c r="B20" s="14" t="s">
        <v>85</v>
      </c>
      <c r="C20" s="7" t="s">
        <v>86</v>
      </c>
      <c r="D20" s="14" t="n">
        <v>11</v>
      </c>
      <c r="E20" s="42" t="n">
        <v>97251</v>
      </c>
      <c r="F20" s="42" t="n">
        <v>97102.5668385104</v>
      </c>
      <c r="G20" s="42" t="n">
        <f aca="false">E20-F20</f>
        <v>148.433161489593</v>
      </c>
      <c r="H20" s="59" t="n">
        <f aca="false">IF(E20=0,0,G20/E20)</f>
        <v>0.00152628930797208</v>
      </c>
    </row>
    <row r="21" customFormat="false" ht="15" hidden="false" customHeight="false" outlineLevel="0" collapsed="false">
      <c r="B21" s="17" t="s">
        <v>87</v>
      </c>
      <c r="C21" s="9" t="s">
        <v>88</v>
      </c>
      <c r="D21" s="17" t="n">
        <v>12</v>
      </c>
      <c r="E21" s="44" t="n">
        <v>17271</v>
      </c>
      <c r="F21" s="44" t="n">
        <v>17263.5232413997</v>
      </c>
      <c r="G21" s="44" t="n">
        <f aca="false">E21-F21</f>
        <v>7.47675860032177</v>
      </c>
      <c r="H21" s="60" t="n">
        <f aca="false">IF(E21=0,0,G21/E21)</f>
        <v>0.000432908262423818</v>
      </c>
    </row>
    <row r="22" customFormat="false" ht="15" hidden="false" customHeight="false" outlineLevel="0" collapsed="false">
      <c r="B22" s="14" t="s">
        <v>89</v>
      </c>
      <c r="C22" s="7" t="s">
        <v>90</v>
      </c>
      <c r="D22" s="14" t="n">
        <v>13</v>
      </c>
      <c r="E22" s="42" t="n">
        <v>56657</v>
      </c>
      <c r="F22" s="42" t="n">
        <v>56354.480625258</v>
      </c>
      <c r="G22" s="42" t="n">
        <f aca="false">E22-F22</f>
        <v>302.51937474202</v>
      </c>
      <c r="H22" s="59" t="n">
        <f aca="false">IF(E22=0,0,G22/E22)</f>
        <v>0.00533948805517447</v>
      </c>
    </row>
    <row r="23" customFormat="false" ht="15" hidden="false" customHeight="false" outlineLevel="0" collapsed="false">
      <c r="B23" s="17" t="s">
        <v>91</v>
      </c>
      <c r="C23" s="9" t="s">
        <v>92</v>
      </c>
      <c r="D23" s="17" t="n">
        <v>14</v>
      </c>
      <c r="E23" s="44" t="n">
        <v>63967</v>
      </c>
      <c r="F23" s="44" t="n">
        <v>63806.8063678585</v>
      </c>
      <c r="G23" s="44" t="n">
        <f aca="false">E23-F23</f>
        <v>160.193632141505</v>
      </c>
      <c r="H23" s="60" t="n">
        <f aca="false">IF(E23=0,0,G23/E23)</f>
        <v>0.00250431679055615</v>
      </c>
    </row>
    <row r="24" customFormat="false" ht="15" hidden="false" customHeight="false" outlineLevel="0" collapsed="false">
      <c r="B24" s="14" t="s">
        <v>93</v>
      </c>
      <c r="C24" s="7" t="s">
        <v>94</v>
      </c>
      <c r="D24" s="14" t="n">
        <v>15</v>
      </c>
      <c r="E24" s="42" t="n">
        <v>36834</v>
      </c>
      <c r="F24" s="42" t="n">
        <v>36817.1149148463</v>
      </c>
      <c r="G24" s="42" t="n">
        <f aca="false">E24-F24</f>
        <v>16.88508515375</v>
      </c>
      <c r="H24" s="59" t="n">
        <f aca="false">IF(E24=0,0,G24/E24)</f>
        <v>0.00045841030444019</v>
      </c>
    </row>
    <row r="25" customFormat="false" ht="15" hidden="false" customHeight="false" outlineLevel="0" collapsed="false">
      <c r="B25" s="17" t="s">
        <v>95</v>
      </c>
      <c r="C25" s="9" t="s">
        <v>96</v>
      </c>
      <c r="D25" s="17" t="n">
        <v>16</v>
      </c>
      <c r="E25" s="44" t="n">
        <v>39395</v>
      </c>
      <c r="F25" s="44" t="n">
        <v>39207.2589568662</v>
      </c>
      <c r="G25" s="44" t="n">
        <f aca="false">E25-F25</f>
        <v>187.741043133829</v>
      </c>
      <c r="H25" s="60" t="n">
        <f aca="false">IF(E25=0,0,G25/E25)</f>
        <v>0.00476560586708538</v>
      </c>
    </row>
    <row r="26" customFormat="false" ht="15" hidden="false" customHeight="false" outlineLevel="0" collapsed="false">
      <c r="B26" s="14" t="s">
        <v>97</v>
      </c>
      <c r="C26" s="7" t="s">
        <v>98</v>
      </c>
      <c r="D26" s="14" t="n">
        <v>17</v>
      </c>
      <c r="E26" s="42" t="n">
        <v>120555</v>
      </c>
      <c r="F26" s="42" t="n">
        <v>119635.879756902</v>
      </c>
      <c r="G26" s="42" t="n">
        <f aca="false">E26-F26</f>
        <v>919.120243097597</v>
      </c>
      <c r="H26" s="59" t="n">
        <f aca="false">IF(E26=0,0,G26/E26)</f>
        <v>0.00762407401681886</v>
      </c>
    </row>
    <row r="27" customFormat="false" ht="15" hidden="false" customHeight="false" outlineLevel="0" collapsed="false">
      <c r="B27" s="17" t="s">
        <v>99</v>
      </c>
      <c r="C27" s="9" t="s">
        <v>100</v>
      </c>
      <c r="D27" s="17" t="n">
        <v>18</v>
      </c>
      <c r="E27" s="44" t="n">
        <v>19031</v>
      </c>
      <c r="F27" s="44" t="n">
        <v>18731.7478565112</v>
      </c>
      <c r="G27" s="44" t="n">
        <f aca="false">E27-F27</f>
        <v>299.252143488779</v>
      </c>
      <c r="H27" s="60" t="n">
        <f aca="false">IF(E27=0,0,G27/E27)</f>
        <v>0.0157244571219998</v>
      </c>
    </row>
    <row r="28" customFormat="false" ht="15" hidden="false" customHeight="false" outlineLevel="0" collapsed="false">
      <c r="B28" s="14" t="s">
        <v>101</v>
      </c>
      <c r="C28" s="7" t="s">
        <v>102</v>
      </c>
      <c r="D28" s="14" t="n">
        <v>19</v>
      </c>
      <c r="E28" s="42" t="n">
        <v>445080</v>
      </c>
      <c r="F28" s="42" t="n">
        <v>433749.319318517</v>
      </c>
      <c r="G28" s="42" t="n">
        <f aca="false">E28-F28</f>
        <v>11330.6806814827</v>
      </c>
      <c r="H28" s="59" t="n">
        <f aca="false">IF(E28=0,0,G28/E28)</f>
        <v>0.0254576271265451</v>
      </c>
    </row>
    <row r="29" customFormat="false" ht="15" hidden="false" customHeight="false" outlineLevel="0" collapsed="false">
      <c r="B29" s="17" t="s">
        <v>103</v>
      </c>
      <c r="C29" s="9" t="s">
        <v>104</v>
      </c>
      <c r="D29" s="17" t="n">
        <v>20</v>
      </c>
      <c r="E29" s="44" t="n">
        <v>72877</v>
      </c>
      <c r="F29" s="44" t="n">
        <v>71404.3185604982</v>
      </c>
      <c r="G29" s="44" t="n">
        <f aca="false">E29-F29</f>
        <v>1472.68143950177</v>
      </c>
      <c r="H29" s="60" t="n">
        <f aca="false">IF(E29=0,0,G29/E29)</f>
        <v>0.0202077670527296</v>
      </c>
    </row>
    <row r="30" customFormat="false" ht="15" hidden="false" customHeight="false" outlineLevel="0" collapsed="false">
      <c r="B30" s="14" t="s">
        <v>105</v>
      </c>
      <c r="C30" s="7" t="s">
        <v>106</v>
      </c>
      <c r="D30" s="14" t="n">
        <v>21</v>
      </c>
      <c r="E30" s="42" t="n">
        <v>210605</v>
      </c>
      <c r="F30" s="42" t="n">
        <v>203574.307676952</v>
      </c>
      <c r="G30" s="42" t="n">
        <f aca="false">E30-F30</f>
        <v>7030.69232304842</v>
      </c>
      <c r="H30" s="59" t="n">
        <f aca="false">IF(E30=0,0,G30/E30)</f>
        <v>0.0333833115217988</v>
      </c>
    </row>
    <row r="31" customFormat="false" ht="15" hidden="false" customHeight="false" outlineLevel="0" collapsed="false">
      <c r="B31" s="17" t="s">
        <v>107</v>
      </c>
      <c r="C31" s="9" t="s">
        <v>108</v>
      </c>
      <c r="D31" s="17" t="n">
        <v>22</v>
      </c>
      <c r="E31" s="44" t="n">
        <v>119141</v>
      </c>
      <c r="F31" s="44" t="n">
        <v>117434.201951999</v>
      </c>
      <c r="G31" s="44" t="n">
        <f aca="false">E31-F31</f>
        <v>1706.7980480011</v>
      </c>
      <c r="H31" s="60" t="n">
        <f aca="false">IF(E31=0,0,G31/E31)</f>
        <v>0.0143258663936101</v>
      </c>
    </row>
    <row r="32" customFormat="false" ht="15" hidden="false" customHeight="false" outlineLevel="0" collapsed="false">
      <c r="B32" s="14" t="s">
        <v>109</v>
      </c>
      <c r="C32" s="7" t="s">
        <v>110</v>
      </c>
      <c r="D32" s="14" t="n">
        <v>23</v>
      </c>
      <c r="E32" s="42" t="n">
        <v>60459</v>
      </c>
      <c r="F32" s="42" t="n">
        <v>60038.717434107</v>
      </c>
      <c r="G32" s="42" t="n">
        <f aca="false">E32-F32</f>
        <v>420.282565893031</v>
      </c>
      <c r="H32" s="59" t="n">
        <f aca="false">IF(E32=0,0,G32/E32)</f>
        <v>0.00695153022532676</v>
      </c>
    </row>
    <row r="33" customFormat="false" ht="15" hidden="false" customHeight="false" outlineLevel="0" collapsed="false">
      <c r="B33" s="17" t="s">
        <v>111</v>
      </c>
      <c r="C33" s="9" t="s">
        <v>112</v>
      </c>
      <c r="D33" s="17" t="n">
        <v>24</v>
      </c>
      <c r="E33" s="44" t="n">
        <v>87234</v>
      </c>
      <c r="F33" s="44" t="n">
        <v>86746.0953047234</v>
      </c>
      <c r="G33" s="44" t="n">
        <f aca="false">E33-F33</f>
        <v>487.904695276666</v>
      </c>
      <c r="H33" s="60" t="n">
        <f aca="false">IF(E33=0,0,G33/E33)</f>
        <v>0.00559305655222351</v>
      </c>
    </row>
    <row r="34" customFormat="false" ht="15" hidden="false" customHeight="false" outlineLevel="0" collapsed="false">
      <c r="B34" s="14" t="s">
        <v>113</v>
      </c>
      <c r="C34" s="7" t="s">
        <v>114</v>
      </c>
      <c r="D34" s="14" t="n">
        <v>25</v>
      </c>
      <c r="E34" s="42" t="n">
        <v>136308</v>
      </c>
      <c r="F34" s="42" t="n">
        <v>134498.25455689</v>
      </c>
      <c r="G34" s="42" t="n">
        <f aca="false">E34-F34</f>
        <v>1809.7454431096</v>
      </c>
      <c r="H34" s="59" t="n">
        <f aca="false">IF(E34=0,0,G34/E34)</f>
        <v>0.0132768835512926</v>
      </c>
    </row>
    <row r="35" customFormat="false" ht="15" hidden="false" customHeight="false" outlineLevel="0" collapsed="false">
      <c r="B35" s="17" t="s">
        <v>115</v>
      </c>
      <c r="C35" s="9" t="s">
        <v>116</v>
      </c>
      <c r="D35" s="17" t="n">
        <v>26</v>
      </c>
      <c r="E35" s="44" t="n">
        <v>101587</v>
      </c>
      <c r="F35" s="44" t="n">
        <v>100939.023088894</v>
      </c>
      <c r="G35" s="44" t="n">
        <f aca="false">E35-F35</f>
        <v>647.976911106496</v>
      </c>
      <c r="H35" s="60" t="n">
        <f aca="false">IF(E35=0,0,G35/E35)</f>
        <v>0.00637854165500011</v>
      </c>
    </row>
    <row r="36" customFormat="false" ht="15" hidden="false" customHeight="false" outlineLevel="0" collapsed="false">
      <c r="B36" s="14" t="s">
        <v>117</v>
      </c>
      <c r="C36" s="7" t="s">
        <v>118</v>
      </c>
      <c r="D36" s="14" t="n">
        <v>27</v>
      </c>
      <c r="E36" s="42" t="n">
        <v>154385</v>
      </c>
      <c r="F36" s="42" t="n">
        <v>135469.771007842</v>
      </c>
      <c r="G36" s="42" t="n">
        <f aca="false">E36-F36</f>
        <v>18915.2289921581</v>
      </c>
      <c r="H36" s="59" t="n">
        <f aca="false">IF(E36=0,0,G36/E36)</f>
        <v>0.122519862630166</v>
      </c>
    </row>
    <row r="37" customFormat="false" ht="15" hidden="false" customHeight="false" outlineLevel="0" collapsed="false">
      <c r="B37" s="17" t="s">
        <v>119</v>
      </c>
      <c r="C37" s="9" t="s">
        <v>120</v>
      </c>
      <c r="D37" s="17" t="n">
        <v>28</v>
      </c>
      <c r="E37" s="44" t="n">
        <v>85765</v>
      </c>
      <c r="F37" s="44" t="n">
        <v>84315.3308215508</v>
      </c>
      <c r="G37" s="44" t="n">
        <f aca="false">E37-F37</f>
        <v>1449.6691784492</v>
      </c>
      <c r="H37" s="60" t="n">
        <f aca="false">IF(E37=0,0,G37/E37)</f>
        <v>0.0169028062548732</v>
      </c>
    </row>
    <row r="38" customFormat="false" ht="15" hidden="false" customHeight="false" outlineLevel="0" collapsed="false">
      <c r="B38" s="14" t="s">
        <v>121</v>
      </c>
      <c r="C38" s="7" t="s">
        <v>122</v>
      </c>
      <c r="D38" s="14" t="n">
        <v>29</v>
      </c>
      <c r="E38" s="42" t="n">
        <v>125635</v>
      </c>
      <c r="F38" s="42" t="n">
        <v>121392.806429404</v>
      </c>
      <c r="G38" s="42" t="n">
        <f aca="false">E38-F38</f>
        <v>4242.1935705962</v>
      </c>
      <c r="H38" s="59" t="n">
        <f aca="false">IF(E38=0,0,G38/E38)</f>
        <v>0.0337660171974067</v>
      </c>
    </row>
    <row r="39" customFormat="false" ht="15" hidden="false" customHeight="false" outlineLevel="0" collapsed="false">
      <c r="B39" s="17" t="s">
        <v>123</v>
      </c>
      <c r="C39" s="9" t="s">
        <v>124</v>
      </c>
      <c r="D39" s="17" t="n">
        <v>30</v>
      </c>
      <c r="E39" s="44" t="n">
        <v>116628</v>
      </c>
      <c r="F39" s="44" t="n">
        <v>115484.243048165</v>
      </c>
      <c r="G39" s="44" t="n">
        <f aca="false">E39-F39</f>
        <v>1143.7569518348</v>
      </c>
      <c r="H39" s="60" t="n">
        <f aca="false">IF(E39=0,0,G39/E39)</f>
        <v>0.00980688129638511</v>
      </c>
    </row>
    <row r="40" customFormat="false" ht="15" hidden="false" customHeight="false" outlineLevel="0" collapsed="false">
      <c r="B40" s="14" t="s">
        <v>125</v>
      </c>
      <c r="C40" s="7" t="s">
        <v>126</v>
      </c>
      <c r="D40" s="14" t="n">
        <v>31</v>
      </c>
      <c r="E40" s="42" t="n">
        <v>99669</v>
      </c>
      <c r="F40" s="42" t="n">
        <v>98229.4633077995</v>
      </c>
      <c r="G40" s="42" t="n">
        <f aca="false">E40-F40</f>
        <v>1439.53669220043</v>
      </c>
      <c r="H40" s="59" t="n">
        <f aca="false">IF(E40=0,0,G40/E40)</f>
        <v>0.0144431738273729</v>
      </c>
    </row>
    <row r="41" customFormat="false" ht="15" hidden="false" customHeight="false" outlineLevel="0" collapsed="false">
      <c r="B41" s="17" t="s">
        <v>127</v>
      </c>
      <c r="C41" s="9" t="s">
        <v>128</v>
      </c>
      <c r="D41" s="17" t="n">
        <v>32</v>
      </c>
      <c r="E41" s="44" t="n">
        <v>156205</v>
      </c>
      <c r="F41" s="44" t="n">
        <v>148115.717509032</v>
      </c>
      <c r="G41" s="44" t="n">
        <f aca="false">E41-F41</f>
        <v>8089.2824909676</v>
      </c>
      <c r="H41" s="60" t="n">
        <f aca="false">IF(E41=0,0,G41/E41)</f>
        <v>0.0517863224030447</v>
      </c>
    </row>
    <row r="42" customFormat="false" ht="15" hidden="false" customHeight="false" outlineLevel="0" collapsed="false">
      <c r="B42" s="14" t="s">
        <v>129</v>
      </c>
      <c r="C42" s="7" t="s">
        <v>130</v>
      </c>
      <c r="D42" s="14" t="n">
        <v>33</v>
      </c>
      <c r="E42" s="42" t="n">
        <v>164497</v>
      </c>
      <c r="F42" s="42" t="n">
        <v>164348.002108765</v>
      </c>
      <c r="G42" s="42" t="n">
        <f aca="false">E42-F42</f>
        <v>148.997891234991</v>
      </c>
      <c r="H42" s="59" t="n">
        <f aca="false">IF(E42=0,0,G42/E42)</f>
        <v>0.000905778775509527</v>
      </c>
    </row>
    <row r="43" customFormat="false" ht="15" hidden="false" customHeight="false" outlineLevel="0" collapsed="false">
      <c r="B43" s="17" t="s">
        <v>131</v>
      </c>
      <c r="C43" s="9" t="s">
        <v>132</v>
      </c>
      <c r="D43" s="17" t="n">
        <v>34</v>
      </c>
      <c r="E43" s="44" t="n">
        <v>100628</v>
      </c>
      <c r="F43" s="44" t="n">
        <v>99332.2340616701</v>
      </c>
      <c r="G43" s="44" t="n">
        <f aca="false">E43-F43</f>
        <v>1295.76593832995</v>
      </c>
      <c r="H43" s="60" t="n">
        <f aca="false">IF(E43=0,0,G43/E43)</f>
        <v>0.0128767931224902</v>
      </c>
    </row>
    <row r="44" customFormat="false" ht="15" hidden="false" customHeight="false" outlineLevel="0" collapsed="false">
      <c r="B44" s="14" t="s">
        <v>133</v>
      </c>
      <c r="C44" s="7" t="s">
        <v>134</v>
      </c>
      <c r="D44" s="14" t="n">
        <v>35</v>
      </c>
      <c r="E44" s="42" t="n">
        <v>41813</v>
      </c>
      <c r="F44" s="42" t="n">
        <v>41623.688159444</v>
      </c>
      <c r="G44" s="42" t="n">
        <f aca="false">E44-F44</f>
        <v>189.311840556031</v>
      </c>
      <c r="H44" s="59" t="n">
        <f aca="false">IF(E44=0,0,G44/E44)</f>
        <v>0.00452758330079236</v>
      </c>
    </row>
    <row r="45" customFormat="false" ht="15" hidden="false" customHeight="false" outlineLevel="0" collapsed="false">
      <c r="B45" s="17" t="s">
        <v>135</v>
      </c>
      <c r="C45" s="9" t="s">
        <v>136</v>
      </c>
      <c r="D45" s="17" t="n">
        <v>36</v>
      </c>
      <c r="E45" s="44" t="n">
        <v>88070</v>
      </c>
      <c r="F45" s="44" t="n">
        <v>87746.2854823669</v>
      </c>
      <c r="G45" s="44" t="n">
        <f aca="false">E45-F45</f>
        <v>323.714517633081</v>
      </c>
      <c r="H45" s="60" t="n">
        <f aca="false">IF(E45=0,0,G45/E45)</f>
        <v>0.00367565025131238</v>
      </c>
    </row>
    <row r="46" customFormat="false" ht="15" hidden="false" customHeight="false" outlineLevel="0" collapsed="false">
      <c r="B46" s="14" t="s">
        <v>137</v>
      </c>
      <c r="C46" s="7" t="s">
        <v>138</v>
      </c>
      <c r="D46" s="14" t="n">
        <v>37</v>
      </c>
      <c r="E46" s="42" t="n">
        <v>88696</v>
      </c>
      <c r="F46" s="42" t="n">
        <v>82130.4221104326</v>
      </c>
      <c r="G46" s="42" t="n">
        <f aca="false">E46-F46</f>
        <v>6565.57788956737</v>
      </c>
      <c r="H46" s="59" t="n">
        <f aca="false">IF(E46=0,0,G46/E46)</f>
        <v>0.0740233819965655</v>
      </c>
    </row>
    <row r="47" customFormat="false" ht="15" hidden="false" customHeight="false" outlineLevel="0" collapsed="false">
      <c r="B47" s="17" t="s">
        <v>139</v>
      </c>
      <c r="C47" s="9" t="s">
        <v>140</v>
      </c>
      <c r="D47" s="17" t="n">
        <v>38</v>
      </c>
      <c r="E47" s="44" t="n">
        <v>357896</v>
      </c>
      <c r="F47" s="44" t="n">
        <v>354476.033297055</v>
      </c>
      <c r="G47" s="44" t="n">
        <f aca="false">E47-F47</f>
        <v>3419.96670294472</v>
      </c>
      <c r="H47" s="60" t="n">
        <f aca="false">IF(E47=0,0,G47/E47)</f>
        <v>0.00955575559085521</v>
      </c>
    </row>
    <row r="48" customFormat="false" ht="15" hidden="false" customHeight="false" outlineLevel="0" collapsed="false">
      <c r="B48" s="14" t="s">
        <v>141</v>
      </c>
      <c r="C48" s="7" t="s">
        <v>142</v>
      </c>
      <c r="D48" s="14" t="n">
        <v>39</v>
      </c>
      <c r="E48" s="42" t="n">
        <v>96845</v>
      </c>
      <c r="F48" s="42" t="n">
        <v>95454.6272481051</v>
      </c>
      <c r="G48" s="42" t="n">
        <f aca="false">E48-F48</f>
        <v>1390.37275189484</v>
      </c>
      <c r="H48" s="59" t="n">
        <f aca="false">IF(E48=0,0,G48/E48)</f>
        <v>0.0143566807981294</v>
      </c>
    </row>
    <row r="49" customFormat="false" ht="15" hidden="false" customHeight="false" outlineLevel="0" collapsed="false">
      <c r="B49" s="17" t="s">
        <v>143</v>
      </c>
      <c r="C49" s="9" t="s">
        <v>144</v>
      </c>
      <c r="D49" s="17" t="n">
        <v>40</v>
      </c>
      <c r="E49" s="44" t="n">
        <v>612501</v>
      </c>
      <c r="F49" s="44" t="n">
        <v>609846.490816219</v>
      </c>
      <c r="G49" s="44" t="n">
        <f aca="false">E49-F49</f>
        <v>2654.50918378087</v>
      </c>
      <c r="H49" s="60" t="n">
        <f aca="false">IF(E49=0,0,G49/E49)</f>
        <v>0.00433388546921699</v>
      </c>
    </row>
    <row r="50" customFormat="false" ht="15" hidden="false" customHeight="false" outlineLevel="0" collapsed="false">
      <c r="B50" s="14" t="s">
        <v>145</v>
      </c>
      <c r="C50" s="7" t="s">
        <v>146</v>
      </c>
      <c r="D50" s="14" t="n">
        <v>41</v>
      </c>
      <c r="E50" s="42" t="n">
        <v>175550</v>
      </c>
      <c r="F50" s="42" t="n">
        <v>173527.645130753</v>
      </c>
      <c r="G50" s="42" t="n">
        <f aca="false">E50-F50</f>
        <v>2022.35486924701</v>
      </c>
      <c r="H50" s="59" t="n">
        <f aca="false">IF(E50=0,0,G50/E50)</f>
        <v>0.011520107486454</v>
      </c>
    </row>
    <row r="51" customFormat="false" ht="15" hidden="false" customHeight="false" outlineLevel="0" collapsed="false">
      <c r="B51" s="17" t="s">
        <v>147</v>
      </c>
      <c r="C51" s="9" t="s">
        <v>148</v>
      </c>
      <c r="D51" s="17" t="n">
        <v>42</v>
      </c>
      <c r="E51" s="44" t="n">
        <v>1229001</v>
      </c>
      <c r="F51" s="44" t="n">
        <v>1208864.6215285</v>
      </c>
      <c r="G51" s="44" t="n">
        <f aca="false">E51-F51</f>
        <v>20136.378471504</v>
      </c>
      <c r="H51" s="60" t="n">
        <f aca="false">IF(E51=0,0,G51/E51)</f>
        <v>0.0163843466941882</v>
      </c>
    </row>
    <row r="52" customFormat="false" ht="15" hidden="false" customHeight="false" outlineLevel="0" collapsed="false">
      <c r="B52" s="14" t="s">
        <v>149</v>
      </c>
      <c r="C52" s="7" t="s">
        <v>150</v>
      </c>
      <c r="D52" s="14" t="n">
        <v>43</v>
      </c>
      <c r="E52" s="42" t="n">
        <v>420984</v>
      </c>
      <c r="F52" s="42" t="n">
        <v>405350.031799321</v>
      </c>
      <c r="G52" s="42" t="n">
        <f aca="false">E52-F52</f>
        <v>15633.9682006791</v>
      </c>
      <c r="H52" s="59" t="n">
        <f aca="false">IF(E52=0,0,G52/E52)</f>
        <v>0.0371367277632383</v>
      </c>
    </row>
    <row r="53" customFormat="false" ht="15" hidden="false" customHeight="false" outlineLevel="0" collapsed="false">
      <c r="B53" s="17" t="s">
        <v>151</v>
      </c>
      <c r="C53" s="9" t="s">
        <v>152</v>
      </c>
      <c r="D53" s="17" t="n">
        <v>44</v>
      </c>
      <c r="E53" s="44" t="n">
        <v>30016</v>
      </c>
      <c r="F53" s="44" t="n">
        <v>21567.701566147</v>
      </c>
      <c r="G53" s="44" t="n">
        <f aca="false">E53-F53</f>
        <v>8448.29843385299</v>
      </c>
      <c r="H53" s="60" t="n">
        <f aca="false">IF(E53=0,0,G53/E53)</f>
        <v>0.281459835882629</v>
      </c>
    </row>
    <row r="54" customFormat="false" ht="15" hidden="false" customHeight="false" outlineLevel="0" collapsed="false">
      <c r="B54" s="14" t="s">
        <v>153</v>
      </c>
      <c r="C54" s="7" t="s">
        <v>154</v>
      </c>
      <c r="D54" s="14" t="n">
        <v>45</v>
      </c>
      <c r="E54" s="42" t="n">
        <v>25860</v>
      </c>
      <c r="F54" s="42" t="n">
        <v>23453.1171678541</v>
      </c>
      <c r="G54" s="42" t="n">
        <f aca="false">E54-F54</f>
        <v>2406.8828321459</v>
      </c>
      <c r="H54" s="59" t="n">
        <f aca="false">IF(E54=0,0,G54/E54)</f>
        <v>0.0930735820628732</v>
      </c>
    </row>
    <row r="55" customFormat="false" ht="15" hidden="false" customHeight="false" outlineLevel="0" collapsed="false">
      <c r="B55" s="17" t="s">
        <v>155</v>
      </c>
      <c r="C55" s="9" t="s">
        <v>156</v>
      </c>
      <c r="D55" s="17" t="n">
        <v>46</v>
      </c>
      <c r="E55" s="44" t="n">
        <v>152041</v>
      </c>
      <c r="F55" s="44" t="n">
        <v>143750.028918357</v>
      </c>
      <c r="G55" s="44" t="n">
        <f aca="false">E55-F55</f>
        <v>8290.9710816429</v>
      </c>
      <c r="H55" s="60" t="n">
        <f aca="false">IF(E55=0,0,G55/E55)</f>
        <v>0.0545311533181372</v>
      </c>
    </row>
    <row r="56" customFormat="false" ht="15" hidden="false" customHeight="false" outlineLevel="0" collapsed="false">
      <c r="B56" s="14" t="s">
        <v>157</v>
      </c>
      <c r="C56" s="7" t="s">
        <v>158</v>
      </c>
      <c r="D56" s="14" t="n">
        <v>47</v>
      </c>
      <c r="E56" s="42" t="n">
        <v>20611</v>
      </c>
      <c r="F56" s="42" t="n">
        <v>20183.6517817579</v>
      </c>
      <c r="G56" s="42" t="n">
        <f aca="false">E56-F56</f>
        <v>427.348218242081</v>
      </c>
      <c r="H56" s="59" t="n">
        <f aca="false">IF(E56=0,0,G56/E56)</f>
        <v>0.0207339875911931</v>
      </c>
    </row>
    <row r="57" customFormat="false" ht="15" hidden="false" customHeight="false" outlineLevel="0" collapsed="false">
      <c r="B57" s="17" t="s">
        <v>159</v>
      </c>
      <c r="C57" s="9" t="s">
        <v>160</v>
      </c>
      <c r="D57" s="17" t="n">
        <v>48</v>
      </c>
      <c r="E57" s="44" t="n">
        <v>242050</v>
      </c>
      <c r="F57" s="44" t="n">
        <v>241450.847889538</v>
      </c>
      <c r="G57" s="44" t="n">
        <f aca="false">E57-F57</f>
        <v>599.15211046199</v>
      </c>
      <c r="H57" s="60" t="n">
        <f aca="false">IF(E57=0,0,G57/E57)</f>
        <v>0.0024753237366742</v>
      </c>
    </row>
    <row r="58" customFormat="false" ht="15" hidden="false" customHeight="false" outlineLevel="0" collapsed="false">
      <c r="B58" s="14" t="s">
        <v>161</v>
      </c>
      <c r="C58" s="7" t="s">
        <v>162</v>
      </c>
      <c r="D58" s="14" t="n">
        <v>49</v>
      </c>
      <c r="E58" s="42" t="n">
        <v>16477</v>
      </c>
      <c r="F58" s="42" t="n">
        <v>16365.6392289429</v>
      </c>
      <c r="G58" s="42" t="n">
        <f aca="false">E58-F58</f>
        <v>111.36077105715</v>
      </c>
      <c r="H58" s="59" t="n">
        <f aca="false">IF(E58=0,0,G58/E58)</f>
        <v>0.00675855866099111</v>
      </c>
    </row>
    <row r="59" customFormat="false" ht="15" hidden="false" customHeight="false" outlineLevel="0" collapsed="false">
      <c r="B59" s="17" t="s">
        <v>163</v>
      </c>
      <c r="C59" s="9" t="s">
        <v>164</v>
      </c>
      <c r="D59" s="17" t="n">
        <v>50</v>
      </c>
      <c r="E59" s="44" t="n">
        <v>38823</v>
      </c>
      <c r="F59" s="44" t="n">
        <v>38111.0290804746</v>
      </c>
      <c r="G59" s="44" t="n">
        <f aca="false">E59-F59</f>
        <v>711.970919525396</v>
      </c>
      <c r="H59" s="60" t="n">
        <f aca="false">IF(E59=0,0,G59/E59)</f>
        <v>0.0183388949727068</v>
      </c>
    </row>
    <row r="60" customFormat="false" ht="15" hidden="false" customHeight="false" outlineLevel="0" collapsed="false">
      <c r="B60" s="14" t="s">
        <v>165</v>
      </c>
      <c r="C60" s="7" t="s">
        <v>166</v>
      </c>
      <c r="D60" s="14" t="n">
        <v>51</v>
      </c>
      <c r="E60" s="42" t="n">
        <v>171149</v>
      </c>
      <c r="F60" s="42" t="n">
        <v>169590.236162831</v>
      </c>
      <c r="G60" s="42" t="n">
        <f aca="false">E60-F60</f>
        <v>1558.76383716959</v>
      </c>
      <c r="H60" s="59" t="n">
        <f aca="false">IF(E60=0,0,G60/E60)</f>
        <v>0.00910764209647496</v>
      </c>
    </row>
    <row r="61" customFormat="false" ht="15" hidden="false" customHeight="false" outlineLevel="0" collapsed="false">
      <c r="B61" s="17" t="s">
        <v>167</v>
      </c>
      <c r="C61" s="9" t="s">
        <v>168</v>
      </c>
      <c r="D61" s="17" t="n">
        <v>52</v>
      </c>
      <c r="E61" s="44" t="n">
        <v>209199</v>
      </c>
      <c r="F61" s="44" t="n">
        <v>207454.555402225</v>
      </c>
      <c r="G61" s="44" t="n">
        <f aca="false">E61-F61</f>
        <v>1744.44459777509</v>
      </c>
      <c r="H61" s="60" t="n">
        <f aca="false">IF(E61=0,0,G61/E61)</f>
        <v>0.00833868516472396</v>
      </c>
    </row>
    <row r="62" customFormat="false" ht="15" hidden="false" customHeight="false" outlineLevel="0" collapsed="false">
      <c r="B62" s="14" t="s">
        <v>169</v>
      </c>
      <c r="C62" s="7" t="s">
        <v>170</v>
      </c>
      <c r="D62" s="14" t="n">
        <v>53</v>
      </c>
      <c r="E62" s="42" t="n">
        <v>700903.000000001</v>
      </c>
      <c r="F62" s="42" t="n">
        <v>690907.404530748</v>
      </c>
      <c r="G62" s="42" t="n">
        <f aca="false">E62-F62</f>
        <v>9995.59546925221</v>
      </c>
      <c r="H62" s="59" t="n">
        <f aca="false">IF(E62=0,0,G62/E62)</f>
        <v>0.0142610253761964</v>
      </c>
    </row>
    <row r="63" customFormat="false" ht="15" hidden="false" customHeight="false" outlineLevel="0" collapsed="false">
      <c r="B63" s="17" t="s">
        <v>171</v>
      </c>
      <c r="C63" s="9" t="s">
        <v>172</v>
      </c>
      <c r="D63" s="17" t="n">
        <v>54</v>
      </c>
      <c r="E63" s="44" t="n">
        <v>711631</v>
      </c>
      <c r="F63" s="44" t="n">
        <v>709396.585125862</v>
      </c>
      <c r="G63" s="44" t="n">
        <f aca="false">E63-F63</f>
        <v>2234.41487413831</v>
      </c>
      <c r="H63" s="60" t="n">
        <f aca="false">IF(E63=0,0,G63/E63)</f>
        <v>0.00313985039175965</v>
      </c>
    </row>
    <row r="64" customFormat="false" ht="15" hidden="false" customHeight="false" outlineLevel="0" collapsed="false">
      <c r="B64" s="14" t="s">
        <v>173</v>
      </c>
      <c r="C64" s="7" t="s">
        <v>174</v>
      </c>
      <c r="D64" s="14" t="n">
        <v>55</v>
      </c>
      <c r="E64" s="42" t="n">
        <v>246252</v>
      </c>
      <c r="F64" s="42" t="n">
        <v>232843.853241706</v>
      </c>
      <c r="G64" s="42" t="n">
        <f aca="false">E64-F64</f>
        <v>13408.1467582944</v>
      </c>
      <c r="H64" s="59" t="n">
        <f aca="false">IF(E64=0,0,G64/E64)</f>
        <v>0.0544488847127918</v>
      </c>
    </row>
    <row r="65" customFormat="false" ht="15" hidden="false" customHeight="false" outlineLevel="0" collapsed="false">
      <c r="B65" s="17" t="s">
        <v>175</v>
      </c>
      <c r="C65" s="9" t="s">
        <v>176</v>
      </c>
      <c r="D65" s="17" t="n">
        <v>56</v>
      </c>
      <c r="E65" s="44" t="n">
        <v>73176</v>
      </c>
      <c r="F65" s="44" t="n">
        <v>70528.2196375758</v>
      </c>
      <c r="G65" s="44" t="n">
        <f aca="false">E65-F65</f>
        <v>2647.78036242416</v>
      </c>
      <c r="H65" s="60" t="n">
        <f aca="false">IF(E65=0,0,G65/E65)</f>
        <v>0.0361837263914967</v>
      </c>
    </row>
    <row r="66" customFormat="false" ht="15" hidden="false" customHeight="false" outlineLevel="0" collapsed="false">
      <c r="B66" s="14" t="s">
        <v>177</v>
      </c>
      <c r="C66" s="7" t="s">
        <v>178</v>
      </c>
      <c r="D66" s="14" t="n">
        <v>57</v>
      </c>
      <c r="E66" s="42" t="n">
        <v>116737</v>
      </c>
      <c r="F66" s="42" t="n">
        <v>114255.581848831</v>
      </c>
      <c r="G66" s="42" t="n">
        <f aca="false">E66-F66</f>
        <v>2481.4181511692</v>
      </c>
      <c r="H66" s="59" t="n">
        <f aca="false">IF(E66=0,0,G66/E66)</f>
        <v>0.021256483815493</v>
      </c>
    </row>
    <row r="67" customFormat="false" ht="15" hidden="false" customHeight="false" outlineLevel="0" collapsed="false">
      <c r="B67" s="17" t="s">
        <v>179</v>
      </c>
      <c r="C67" s="9" t="s">
        <v>180</v>
      </c>
      <c r="D67" s="17" t="n">
        <v>58</v>
      </c>
      <c r="E67" s="44" t="n">
        <v>62361</v>
      </c>
      <c r="F67" s="44" t="n">
        <v>53281.9085604109</v>
      </c>
      <c r="G67" s="44" t="n">
        <f aca="false">E67-F67</f>
        <v>9079.09143958912</v>
      </c>
      <c r="H67" s="60" t="n">
        <f aca="false">IF(E67=0,0,G67/E67)</f>
        <v>0.145589253533284</v>
      </c>
    </row>
    <row r="68" customFormat="false" ht="15" hidden="false" customHeight="false" outlineLevel="0" collapsed="false">
      <c r="B68" s="14" t="s">
        <v>181</v>
      </c>
      <c r="C68" s="7" t="s">
        <v>182</v>
      </c>
      <c r="D68" s="14" t="n">
        <v>59</v>
      </c>
      <c r="E68" s="42" t="n">
        <v>277136</v>
      </c>
      <c r="F68" s="42" t="n">
        <v>273006.312983949</v>
      </c>
      <c r="G68" s="42" t="n">
        <f aca="false">E68-F68</f>
        <v>4129.68701605138</v>
      </c>
      <c r="H68" s="59" t="n">
        <f aca="false">IF(E68=0,0,G68/E68)</f>
        <v>0.0149013012241332</v>
      </c>
    </row>
    <row r="69" customFormat="false" ht="15" hidden="false" customHeight="false" outlineLevel="0" collapsed="false">
      <c r="B69" s="17" t="s">
        <v>183</v>
      </c>
      <c r="C69" s="9" t="s">
        <v>184</v>
      </c>
      <c r="D69" s="17" t="n">
        <v>60</v>
      </c>
      <c r="E69" s="44" t="n">
        <v>45995</v>
      </c>
      <c r="F69" s="44" t="n">
        <v>45142.4567555809</v>
      </c>
      <c r="G69" s="44" t="n">
        <f aca="false">E69-F69</f>
        <v>852.543244419117</v>
      </c>
      <c r="H69" s="60" t="n">
        <f aca="false">IF(E69=0,0,G69/E69)</f>
        <v>0.0185355635268859</v>
      </c>
    </row>
    <row r="70" customFormat="false" ht="15" hidden="false" customHeight="false" outlineLevel="0" collapsed="false">
      <c r="B70" s="14" t="s">
        <v>185</v>
      </c>
      <c r="C70" s="7" t="s">
        <v>186</v>
      </c>
      <c r="D70" s="14" t="n">
        <v>61</v>
      </c>
      <c r="E70" s="42" t="n">
        <v>908212</v>
      </c>
      <c r="F70" s="42" t="n">
        <v>907207.831909051</v>
      </c>
      <c r="G70" s="42" t="n">
        <f aca="false">E70-F70</f>
        <v>1004.16809094942</v>
      </c>
      <c r="H70" s="59" t="n">
        <f aca="false">IF(E70=0,0,G70/E70)</f>
        <v>0.00110565384618285</v>
      </c>
    </row>
    <row r="71" customFormat="false" ht="15" hidden="false" customHeight="false" outlineLevel="0" collapsed="false">
      <c r="B71" s="17" t="s">
        <v>187</v>
      </c>
      <c r="C71" s="9" t="s">
        <v>188</v>
      </c>
      <c r="D71" s="17" t="n">
        <v>62</v>
      </c>
      <c r="E71" s="44" t="n">
        <v>383823</v>
      </c>
      <c r="F71" s="44" t="n">
        <v>383790.000308373</v>
      </c>
      <c r="G71" s="44" t="n">
        <f aca="false">E71-F71</f>
        <v>32.9996916275122</v>
      </c>
      <c r="H71" s="60" t="n">
        <f aca="false">IF(E71=0,0,G71/E71)</f>
        <v>8.59763266597161E-005</v>
      </c>
    </row>
    <row r="72" customFormat="false" ht="15" hidden="false" customHeight="false" outlineLevel="0" collapsed="false">
      <c r="B72" s="14" t="s">
        <v>189</v>
      </c>
      <c r="C72" s="7" t="s">
        <v>190</v>
      </c>
      <c r="D72" s="14" t="n">
        <v>63</v>
      </c>
      <c r="E72" s="42" t="n">
        <v>140243</v>
      </c>
      <c r="F72" s="42" t="n">
        <v>139655.99607329</v>
      </c>
      <c r="G72" s="42" t="n">
        <f aca="false">E72-F72</f>
        <v>587.003926710109</v>
      </c>
      <c r="H72" s="59" t="n">
        <f aca="false">IF(E72=0,0,G72/E72)</f>
        <v>0.0041856201500974</v>
      </c>
    </row>
    <row r="73" customFormat="false" ht="15" hidden="false" customHeight="false" outlineLevel="0" collapsed="false">
      <c r="B73" s="17" t="s">
        <v>191</v>
      </c>
      <c r="C73" s="9" t="s">
        <v>192</v>
      </c>
      <c r="D73" s="17" t="n">
        <v>64</v>
      </c>
      <c r="E73" s="44" t="n">
        <v>245095</v>
      </c>
      <c r="F73" s="44" t="n">
        <v>245092.763895068</v>
      </c>
      <c r="G73" s="44" t="n">
        <f aca="false">E73-F73</f>
        <v>2.23610493220622</v>
      </c>
      <c r="H73" s="60" t="n">
        <f aca="false">IF(E73=0,0,G73/E73)</f>
        <v>9.12342125382491E-006</v>
      </c>
    </row>
    <row r="74" customFormat="false" ht="15" hidden="false" customHeight="false" outlineLevel="0" collapsed="false">
      <c r="B74" s="14" t="s">
        <v>193</v>
      </c>
      <c r="C74" s="7" t="s">
        <v>194</v>
      </c>
      <c r="D74" s="14" t="n">
        <v>65</v>
      </c>
      <c r="E74" s="42" t="n">
        <v>317470</v>
      </c>
      <c r="F74" s="42" t="n">
        <v>317464.531850876</v>
      </c>
      <c r="G74" s="42" t="n">
        <f aca="false">E74-F74</f>
        <v>5.46814912406262</v>
      </c>
      <c r="H74" s="59" t="n">
        <f aca="false">IF(E74=0,0,G74/E74)</f>
        <v>1.72241444043929E-005</v>
      </c>
    </row>
    <row r="75" customFormat="false" ht="15" hidden="false" customHeight="false" outlineLevel="0" collapsed="false">
      <c r="B75" s="17" t="s">
        <v>195</v>
      </c>
      <c r="C75" s="9" t="s">
        <v>196</v>
      </c>
      <c r="D75" s="17" t="n">
        <v>66</v>
      </c>
      <c r="E75" s="44" t="n">
        <v>39301</v>
      </c>
      <c r="F75" s="44" t="n">
        <v>39193.1011464042</v>
      </c>
      <c r="G75" s="44" t="n">
        <f aca="false">E75-F75</f>
        <v>107.898853595798</v>
      </c>
      <c r="H75" s="60" t="n">
        <f aca="false">IF(E75=0,0,G75/E75)</f>
        <v>0.0027454480444721</v>
      </c>
    </row>
    <row r="76" customFormat="false" ht="15" hidden="false" customHeight="false" outlineLevel="0" collapsed="false">
      <c r="B76" s="14" t="s">
        <v>197</v>
      </c>
      <c r="C76" s="7" t="s">
        <v>198</v>
      </c>
      <c r="D76" s="14" t="n">
        <v>67</v>
      </c>
      <c r="E76" s="42" t="n">
        <v>172219</v>
      </c>
      <c r="F76" s="42" t="n">
        <v>170770.332996427</v>
      </c>
      <c r="G76" s="42" t="n">
        <f aca="false">E76-F76</f>
        <v>1448.66700357289</v>
      </c>
      <c r="H76" s="59" t="n">
        <f aca="false">IF(E76=0,0,G76/E76)</f>
        <v>0.00841177224100064</v>
      </c>
    </row>
    <row r="77" customFormat="false" ht="15" hidden="false" customHeight="false" outlineLevel="0" collapsed="false">
      <c r="B77" s="17" t="s">
        <v>199</v>
      </c>
      <c r="C77" s="9" t="s">
        <v>200</v>
      </c>
      <c r="D77" s="17" t="n">
        <v>68</v>
      </c>
      <c r="E77" s="44" t="n">
        <v>59474</v>
      </c>
      <c r="F77" s="44" t="n">
        <v>59474</v>
      </c>
      <c r="G77" s="44" t="n">
        <f aca="false">E77-F77</f>
        <v>0</v>
      </c>
      <c r="H77" s="60" t="n">
        <f aca="false">IF(E77=0,0,G77/E77)</f>
        <v>0</v>
      </c>
    </row>
    <row r="78" customFormat="false" ht="15" hidden="false" customHeight="false" outlineLevel="0" collapsed="false">
      <c r="B78" s="29"/>
      <c r="C78" s="30" t="s">
        <v>219</v>
      </c>
      <c r="D78" s="29"/>
      <c r="E78" s="46" t="n">
        <f aca="false">SUM(E10:E77)</f>
        <v>13306199</v>
      </c>
      <c r="F78" s="46" t="n">
        <f aca="false">SUM(F10:F77)</f>
        <v>12869481.462203</v>
      </c>
      <c r="G78" s="46" t="n">
        <f aca="false">SUM(G10:G77)</f>
        <v>436717.537796999</v>
      </c>
      <c r="H78" s="65" t="n">
        <f aca="false">G78/E78</f>
        <v>0.0328206077330573</v>
      </c>
    </row>
    <row r="80" customFormat="false" ht="15" hidden="false" customHeight="false" outlineLevel="0" collapsed="false">
      <c r="B80" s="4" t="s">
        <v>254</v>
      </c>
    </row>
    <row r="81" customFormat="false" ht="13.5" hidden="false" customHeight="true" outlineLevel="0" collapsed="false">
      <c r="B81" s="38" t="s">
        <v>338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customFormat="false" ht="13.5" hidden="false" customHeight="true" outlineLevel="0" collapsed="false">
      <c r="B82" s="38" t="s">
        <v>339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</sheetData>
  <mergeCells count="5">
    <mergeCell ref="B3:V3"/>
    <mergeCell ref="B6:V6"/>
    <mergeCell ref="B7:V7"/>
    <mergeCell ref="B81:V81"/>
    <mergeCell ref="B82:V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D8E1"/>
    <pageSetUpPr fitToPage="false"/>
  </sheetPr>
  <dimension ref="B1:BT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" min="2" style="0" width="6.7"/>
    <col collapsed="false" customWidth="true" hidden="false" outlineLevel="0" max="3" min="3" style="0" width="46"/>
    <col collapsed="false" customWidth="true" hidden="false" outlineLevel="0" max="4" min="4" style="0" width="4.4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9" min="8" style="0" width="15"/>
    <col collapsed="false" customWidth="true" hidden="false" outlineLevel="0" max="10" min="10" style="0" width="14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340</v>
      </c>
    </row>
    <row r="3" customFormat="false" ht="24.75" hidden="false" customHeight="true" outlineLevel="0" collapsed="false">
      <c r="B3" s="15" t="s">
        <v>341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5" customFormat="false" ht="15" hidden="false" customHeight="false" outlineLevel="0" collapsed="false">
      <c r="B5" s="4" t="s">
        <v>237</v>
      </c>
    </row>
    <row r="6" customFormat="false" ht="13.5" hidden="false" customHeight="true" outlineLevel="0" collapsed="false">
      <c r="B6" s="35" t="s">
        <v>342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8" customFormat="false" ht="15" hidden="false" customHeight="false" outlineLevel="0" collapsed="false">
      <c r="B8" s="39" t="s">
        <v>343</v>
      </c>
    </row>
    <row r="9" customFormat="false" ht="20.85" hidden="false" customHeight="false" outlineLevel="0" collapsed="false">
      <c r="E9" s="18" t="s">
        <v>344</v>
      </c>
      <c r="F9" s="18" t="s">
        <v>345</v>
      </c>
      <c r="G9" s="18" t="s">
        <v>346</v>
      </c>
      <c r="H9" s="18" t="s">
        <v>347</v>
      </c>
      <c r="I9" s="18" t="s">
        <v>348</v>
      </c>
      <c r="J9" s="18" t="s">
        <v>349</v>
      </c>
      <c r="K9" s="18" t="s">
        <v>350</v>
      </c>
      <c r="L9" s="18" t="s">
        <v>351</v>
      </c>
      <c r="M9" s="18" t="s">
        <v>352</v>
      </c>
      <c r="N9" s="18" t="s">
        <v>353</v>
      </c>
      <c r="P9" s="18" t="s">
        <v>354</v>
      </c>
    </row>
    <row r="10" customFormat="false" ht="15" hidden="false" customHeight="false" outlineLevel="0" collapsed="false">
      <c r="E10" s="66" t="n">
        <v>6.5</v>
      </c>
      <c r="F10" s="66" t="n">
        <v>5.84</v>
      </c>
      <c r="G10" s="66" t="n">
        <v>5.91</v>
      </c>
      <c r="H10" s="66" t="n">
        <v>6.41</v>
      </c>
      <c r="I10" s="66" t="n">
        <v>10.67</v>
      </c>
      <c r="J10" s="66" t="n">
        <v>6.29</v>
      </c>
      <c r="K10" s="66" t="n">
        <v>2.95</v>
      </c>
      <c r="L10" s="66" t="n">
        <v>3.75</v>
      </c>
      <c r="M10" s="66" t="n">
        <v>4.31</v>
      </c>
      <c r="N10" s="66" t="n">
        <v>4.52</v>
      </c>
      <c r="P10" s="67" t="n">
        <f aca="false">(1+E10/100)*(1+F10/100)*(1+G10/100)*(1+H10/100)*(1+I10/100)*(1+J10/100)*(1+K10/100)*(1+L10/100)*(1+M10/100)*(1+N10/100)</f>
        <v>1.74012709755659</v>
      </c>
    </row>
    <row r="12" customFormat="false" ht="24" hidden="false" customHeight="true" outlineLevel="0" collapsed="false">
      <c r="B12" s="5" t="s">
        <v>62</v>
      </c>
      <c r="C12" s="5" t="s">
        <v>63</v>
      </c>
      <c r="D12" s="5" t="s">
        <v>64</v>
      </c>
      <c r="E12" s="5" t="s">
        <v>355</v>
      </c>
      <c r="F12" s="5" t="s">
        <v>356</v>
      </c>
      <c r="G12" s="5" t="s">
        <v>357</v>
      </c>
      <c r="H12" s="5" t="s">
        <v>358</v>
      </c>
      <c r="I12" s="5" t="s">
        <v>359</v>
      </c>
      <c r="J12" s="5" t="s">
        <v>360</v>
      </c>
    </row>
    <row r="13" customFormat="false" ht="15" hidden="false" customHeight="false" outlineLevel="0" collapsed="false">
      <c r="B13" s="14" t="s">
        <v>65</v>
      </c>
      <c r="C13" s="7" t="s">
        <v>66</v>
      </c>
      <c r="D13" s="14" t="n">
        <v>1</v>
      </c>
      <c r="E13" s="42" t="n">
        <f aca="false">Dados_2010!$E$7*$P$10</f>
        <v>293839.601820503</v>
      </c>
      <c r="F13" s="42" t="n">
        <f aca="false">Dados_2020!$E$7</f>
        <v>549087</v>
      </c>
      <c r="G13" s="42" t="n">
        <f aca="false">F13-E13</f>
        <v>255247.398179497</v>
      </c>
      <c r="H13" s="42" t="n">
        <f aca="false">0.5*(SUMPRODUCT(B_2020!E7:BT7,$E$88:$BT$88)-SUMPRODUCT(B_2010!E7:BT7,$E$88:$BT$88))</f>
        <v>28683.2351882759</v>
      </c>
      <c r="I13" s="42" t="n">
        <f aca="false">0.5*(SUMPRODUCT(B_2020!E7:BT7,$E$89:$BT$89)+SUMPRODUCT(B_2010!E7:BT7,$E$89:$BT$89))</f>
        <v>226564.162991221</v>
      </c>
      <c r="J13" s="42" t="n">
        <f aca="false">H13+I13-G13</f>
        <v>0</v>
      </c>
    </row>
    <row r="14" customFormat="false" ht="15" hidden="false" customHeight="false" outlineLevel="0" collapsed="false">
      <c r="B14" s="17" t="s">
        <v>67</v>
      </c>
      <c r="C14" s="9" t="s">
        <v>68</v>
      </c>
      <c r="D14" s="17" t="n">
        <v>2</v>
      </c>
      <c r="E14" s="44" t="n">
        <f aca="false">Dados_2010!$E$8*$P$10</f>
        <v>145210.126036902</v>
      </c>
      <c r="F14" s="44" t="n">
        <f aca="false">Dados_2020!$E$8</f>
        <v>204149</v>
      </c>
      <c r="G14" s="44" t="n">
        <f aca="false">F14-E14</f>
        <v>58938.8739630976</v>
      </c>
      <c r="H14" s="44" t="n">
        <f aca="false">0.5*(SUMPRODUCT(B_2020!E8:BT8,$E$88:$BT$88)-SUMPRODUCT(B_2010!E8:BT8,$E$88:$BT$88))</f>
        <v>-7216.78637585568</v>
      </c>
      <c r="I14" s="44" t="n">
        <f aca="false">0.5*(SUMPRODUCT(B_2020!E8:BT8,$E$89:$BT$89)+SUMPRODUCT(B_2010!E8:BT8,$E$89:$BT$89))</f>
        <v>66155.6603389532</v>
      </c>
      <c r="J14" s="44" t="n">
        <f aca="false">H14+I14-G14</f>
        <v>0</v>
      </c>
    </row>
    <row r="15" customFormat="false" ht="15" hidden="false" customHeight="false" outlineLevel="0" collapsed="false">
      <c r="B15" s="14" t="s">
        <v>69</v>
      </c>
      <c r="C15" s="7" t="s">
        <v>70</v>
      </c>
      <c r="D15" s="14" t="n">
        <v>3</v>
      </c>
      <c r="E15" s="42" t="n">
        <f aca="false">Dados_2010!$E$9*$P$10</f>
        <v>35380.2641475206</v>
      </c>
      <c r="F15" s="42" t="n">
        <f aca="false">Dados_2020!$E$9</f>
        <v>42525</v>
      </c>
      <c r="G15" s="42" t="n">
        <f aca="false">F15-E15</f>
        <v>7144.7358524794</v>
      </c>
      <c r="H15" s="42" t="n">
        <f aca="false">0.5*(SUMPRODUCT(B_2020!E9:BT9,$E$88:$BT$88)-SUMPRODUCT(B_2010!E9:BT9,$E$88:$BT$88))</f>
        <v>-5784.50315198127</v>
      </c>
      <c r="I15" s="42" t="n">
        <f aca="false">0.5*(SUMPRODUCT(B_2020!E9:BT9,$E$89:$BT$89)+SUMPRODUCT(B_2010!E9:BT9,$E$89:$BT$89))</f>
        <v>12929.2390044607</v>
      </c>
      <c r="J15" s="42" t="n">
        <f aca="false">H15+I15-G15</f>
        <v>0</v>
      </c>
    </row>
    <row r="16" customFormat="false" ht="15" hidden="false" customHeight="false" outlineLevel="0" collapsed="false">
      <c r="B16" s="17" t="s">
        <v>71</v>
      </c>
      <c r="C16" s="9" t="s">
        <v>72</v>
      </c>
      <c r="D16" s="17" t="n">
        <v>4</v>
      </c>
      <c r="E16" s="44" t="n">
        <f aca="false">Dados_2010!$E$10*$P$10</f>
        <v>25820.0058735447</v>
      </c>
      <c r="F16" s="44" t="n">
        <f aca="false">Dados_2020!$E$10</f>
        <v>23233</v>
      </c>
      <c r="G16" s="44" t="n">
        <f aca="false">F16-E16</f>
        <v>-2587.00587354469</v>
      </c>
      <c r="H16" s="44" t="n">
        <f aca="false">0.5*(SUMPRODUCT(B_2020!E10:BT10,$E$88:$BT$88)-SUMPRODUCT(B_2010!E10:BT10,$E$88:$BT$88))</f>
        <v>-3284.06721016922</v>
      </c>
      <c r="I16" s="44" t="n">
        <f aca="false">0.5*(SUMPRODUCT(B_2020!E10:BT10,$E$89:$BT$89)+SUMPRODUCT(B_2010!E10:BT10,$E$89:$BT$89))</f>
        <v>697.061336624531</v>
      </c>
      <c r="J16" s="44" t="n">
        <f aca="false">H16+I16-G16</f>
        <v>0</v>
      </c>
    </row>
    <row r="17" customFormat="false" ht="15" hidden="false" customHeight="false" outlineLevel="0" collapsed="false">
      <c r="B17" s="14" t="s">
        <v>73</v>
      </c>
      <c r="C17" s="7" t="s">
        <v>74</v>
      </c>
      <c r="D17" s="14" t="n">
        <v>5</v>
      </c>
      <c r="E17" s="42" t="n">
        <f aca="false">Dados_2010!$E$11*$P$10</f>
        <v>204169.112356315</v>
      </c>
      <c r="F17" s="42" t="n">
        <f aca="false">Dados_2020!$E$11</f>
        <v>238713</v>
      </c>
      <c r="G17" s="42" t="n">
        <f aca="false">F17-E17</f>
        <v>34543.8876436852</v>
      </c>
      <c r="H17" s="42" t="n">
        <f aca="false">0.5*(SUMPRODUCT(B_2020!E11:BT11,$E$88:$BT$88)-SUMPRODUCT(B_2010!E11:BT11,$E$88:$BT$88))</f>
        <v>-34662.7997377122</v>
      </c>
      <c r="I17" s="42" t="n">
        <f aca="false">0.5*(SUMPRODUCT(B_2020!E11:BT11,$E$89:$BT$89)+SUMPRODUCT(B_2010!E11:BT11,$E$89:$BT$89))</f>
        <v>69206.6873813974</v>
      </c>
      <c r="J17" s="42" t="n">
        <f aca="false">H17+I17-G17</f>
        <v>0</v>
      </c>
    </row>
    <row r="18" customFormat="false" ht="15" hidden="false" customHeight="false" outlineLevel="0" collapsed="false">
      <c r="B18" s="17" t="s">
        <v>75</v>
      </c>
      <c r="C18" s="9" t="s">
        <v>76</v>
      </c>
      <c r="D18" s="17" t="n">
        <v>6</v>
      </c>
      <c r="E18" s="44" t="n">
        <f aca="false">Dados_2010!$E$12*$P$10</f>
        <v>98360.6841893863</v>
      </c>
      <c r="F18" s="44" t="n">
        <f aca="false">Dados_2020!$E$12</f>
        <v>156454</v>
      </c>
      <c r="G18" s="44" t="n">
        <f aca="false">F18-E18</f>
        <v>58093.3158106137</v>
      </c>
      <c r="H18" s="44" t="n">
        <f aca="false">0.5*(SUMPRODUCT(B_2020!E12:BT12,$E$88:$BT$88)-SUMPRODUCT(B_2010!E12:BT12,$E$88:$BT$88))</f>
        <v>18850.8149251551</v>
      </c>
      <c r="I18" s="44" t="n">
        <f aca="false">0.5*(SUMPRODUCT(B_2020!E12:BT12,$E$89:$BT$89)+SUMPRODUCT(B_2010!E12:BT12,$E$89:$BT$89))</f>
        <v>39242.5008854586</v>
      </c>
      <c r="J18" s="44" t="n">
        <f aca="false">H18+I18-G18</f>
        <v>0</v>
      </c>
    </row>
    <row r="19" customFormat="false" ht="15" hidden="false" customHeight="false" outlineLevel="0" collapsed="false">
      <c r="B19" s="14" t="s">
        <v>77</v>
      </c>
      <c r="C19" s="7" t="s">
        <v>78</v>
      </c>
      <c r="D19" s="14" t="n">
        <v>7</v>
      </c>
      <c r="E19" s="42" t="n">
        <f aca="false">Dados_2010!$E$13*$P$10</f>
        <v>17164.6136902982</v>
      </c>
      <c r="F19" s="42" t="n">
        <f aca="false">Dados_2020!$E$13</f>
        <v>23631</v>
      </c>
      <c r="G19" s="42" t="n">
        <f aca="false">F19-E19</f>
        <v>6466.38630970179</v>
      </c>
      <c r="H19" s="42" t="n">
        <f aca="false">0.5*(SUMPRODUCT(B_2020!E13:BT13,$E$88:$BT$88)-SUMPRODUCT(B_2010!E13:BT13,$E$88:$BT$88))</f>
        <v>-2147.94721970232</v>
      </c>
      <c r="I19" s="42" t="n">
        <f aca="false">0.5*(SUMPRODUCT(B_2020!E13:BT13,$E$89:$BT$89)+SUMPRODUCT(B_2010!E13:BT13,$E$89:$BT$89))</f>
        <v>8614.33352940411</v>
      </c>
      <c r="J19" s="42" t="n">
        <f aca="false">H19+I19-G19</f>
        <v>0</v>
      </c>
    </row>
    <row r="20" customFormat="false" ht="15" hidden="false" customHeight="false" outlineLevel="0" collapsed="false">
      <c r="B20" s="17" t="s">
        <v>79</v>
      </c>
      <c r="C20" s="9" t="s">
        <v>80</v>
      </c>
      <c r="D20" s="17" t="n">
        <v>8</v>
      </c>
      <c r="E20" s="44" t="n">
        <f aca="false">Dados_2010!$E$14*$P$10</f>
        <v>239314.459345665</v>
      </c>
      <c r="F20" s="44" t="n">
        <f aca="false">Dados_2020!$E$14</f>
        <v>398215</v>
      </c>
      <c r="G20" s="44" t="n">
        <f aca="false">F20-E20</f>
        <v>158900.540654335</v>
      </c>
      <c r="H20" s="44" t="n">
        <f aca="false">0.5*(SUMPRODUCT(B_2020!E14:BT14,$E$88:$BT$88)-SUMPRODUCT(B_2010!E14:BT14,$E$88:$BT$88))</f>
        <v>14734.1692825405</v>
      </c>
      <c r="I20" s="44" t="n">
        <f aca="false">0.5*(SUMPRODUCT(B_2020!E14:BT14,$E$89:$BT$89)+SUMPRODUCT(B_2010!E14:BT14,$E$89:$BT$89))</f>
        <v>144166.371371794</v>
      </c>
      <c r="J20" s="44" t="n">
        <f aca="false">H20+I20-G20</f>
        <v>0</v>
      </c>
    </row>
    <row r="21" customFormat="false" ht="15" hidden="false" customHeight="false" outlineLevel="0" collapsed="false">
      <c r="B21" s="14" t="s">
        <v>81</v>
      </c>
      <c r="C21" s="7" t="s">
        <v>82</v>
      </c>
      <c r="D21" s="14" t="n">
        <v>9</v>
      </c>
      <c r="E21" s="42" t="n">
        <f aca="false">Dados_2010!$E$15*$P$10</f>
        <v>77299.9259276589</v>
      </c>
      <c r="F21" s="42" t="n">
        <f aca="false">Dados_2020!$E$15</f>
        <v>71299</v>
      </c>
      <c r="G21" s="42" t="n">
        <f aca="false">F21-E21</f>
        <v>-6000.92592765883</v>
      </c>
      <c r="H21" s="42" t="n">
        <f aca="false">0.5*(SUMPRODUCT(B_2020!E15:BT15,$E$88:$BT$88)-SUMPRODUCT(B_2010!E15:BT15,$E$88:$BT$88))</f>
        <v>-4110.94104127318</v>
      </c>
      <c r="I21" s="42" t="n">
        <f aca="false">0.5*(SUMPRODUCT(B_2020!E15:BT15,$E$89:$BT$89)+SUMPRODUCT(B_2010!E15:BT15,$E$89:$BT$89))</f>
        <v>-1889.98488638567</v>
      </c>
      <c r="J21" s="42" t="n">
        <f aca="false">H21+I21-G21</f>
        <v>-2.36468622460961E-011</v>
      </c>
    </row>
    <row r="22" customFormat="false" ht="15" hidden="false" customHeight="false" outlineLevel="0" collapsed="false">
      <c r="B22" s="17" t="s">
        <v>83</v>
      </c>
      <c r="C22" s="9" t="s">
        <v>84</v>
      </c>
      <c r="D22" s="17" t="n">
        <v>10</v>
      </c>
      <c r="E22" s="44" t="n">
        <f aca="false">Dados_2010!$E$16*$P$10</f>
        <v>267962.171752739</v>
      </c>
      <c r="F22" s="44" t="n">
        <f aca="false">Dados_2020!$E$16</f>
        <v>393619</v>
      </c>
      <c r="G22" s="44" t="n">
        <f aca="false">F22-E22</f>
        <v>125656.828247261</v>
      </c>
      <c r="H22" s="44" t="n">
        <f aca="false">0.5*(SUMPRODUCT(B_2020!E16:BT16,$E$88:$BT$88)-SUMPRODUCT(B_2010!E16:BT16,$E$88:$BT$88))</f>
        <v>22325.3135236494</v>
      </c>
      <c r="I22" s="44" t="n">
        <f aca="false">0.5*(SUMPRODUCT(B_2020!E16:BT16,$E$89:$BT$89)+SUMPRODUCT(B_2010!E16:BT16,$E$89:$BT$89))</f>
        <v>103331.514723612</v>
      </c>
      <c r="J22" s="44" t="n">
        <f aca="false">H22+I22-G22</f>
        <v>0</v>
      </c>
    </row>
    <row r="23" customFormat="false" ht="15" hidden="false" customHeight="false" outlineLevel="0" collapsed="false">
      <c r="B23" s="14" t="s">
        <v>85</v>
      </c>
      <c r="C23" s="7" t="s">
        <v>86</v>
      </c>
      <c r="D23" s="14" t="n">
        <v>11</v>
      </c>
      <c r="E23" s="42" t="n">
        <f aca="false">Dados_2010!$E$17*$P$10</f>
        <v>92285.9004918162</v>
      </c>
      <c r="F23" s="42" t="n">
        <f aca="false">Dados_2020!$E$17</f>
        <v>97251</v>
      </c>
      <c r="G23" s="42" t="n">
        <f aca="false">F23-E23</f>
        <v>4965.09950818379</v>
      </c>
      <c r="H23" s="42" t="n">
        <f aca="false">0.5*(SUMPRODUCT(B_2020!E17:BT17,$E$88:$BT$88)-SUMPRODUCT(B_2010!E17:BT17,$E$88:$BT$88))</f>
        <v>-4475.09062810731</v>
      </c>
      <c r="I23" s="42" t="n">
        <f aca="false">0.5*(SUMPRODUCT(B_2020!E17:BT17,$E$89:$BT$89)+SUMPRODUCT(B_2010!E17:BT17,$E$89:$BT$89))</f>
        <v>9440.19013629108</v>
      </c>
      <c r="J23" s="42" t="n">
        <f aca="false">H23+I23-G23</f>
        <v>-2.36468622460961E-011</v>
      </c>
    </row>
    <row r="24" customFormat="false" ht="15" hidden="false" customHeight="false" outlineLevel="0" collapsed="false">
      <c r="B24" s="17" t="s">
        <v>87</v>
      </c>
      <c r="C24" s="9" t="s">
        <v>88</v>
      </c>
      <c r="D24" s="17" t="n">
        <v>12</v>
      </c>
      <c r="E24" s="44" t="n">
        <f aca="false">Dados_2010!$E$18*$P$10</f>
        <v>23326.4037427461</v>
      </c>
      <c r="F24" s="44" t="n">
        <f aca="false">Dados_2020!$E$18</f>
        <v>17271</v>
      </c>
      <c r="G24" s="44" t="n">
        <f aca="false">F24-E24</f>
        <v>-6055.4037427461</v>
      </c>
      <c r="H24" s="44" t="n">
        <f aca="false">0.5*(SUMPRODUCT(B_2020!E18:BT18,$E$88:$BT$88)-SUMPRODUCT(B_2010!E18:BT18,$E$88:$BT$88))</f>
        <v>-726.774162708502</v>
      </c>
      <c r="I24" s="44" t="n">
        <f aca="false">0.5*(SUMPRODUCT(B_2020!E18:BT18,$E$89:$BT$89)+SUMPRODUCT(B_2010!E18:BT18,$E$89:$BT$89))</f>
        <v>-5328.62958003759</v>
      </c>
      <c r="J24" s="44" t="n">
        <f aca="false">H24+I24-G24</f>
        <v>0</v>
      </c>
    </row>
    <row r="25" customFormat="false" ht="15" hidden="false" customHeight="false" outlineLevel="0" collapsed="false">
      <c r="B25" s="14" t="s">
        <v>89</v>
      </c>
      <c r="C25" s="7" t="s">
        <v>90</v>
      </c>
      <c r="D25" s="14" t="n">
        <v>13</v>
      </c>
      <c r="E25" s="42" t="n">
        <f aca="false">Dados_2010!$E$19*$P$10</f>
        <v>70466.4468155541</v>
      </c>
      <c r="F25" s="42" t="n">
        <f aca="false">Dados_2020!$E$19</f>
        <v>56657</v>
      </c>
      <c r="G25" s="42" t="n">
        <f aca="false">F25-E25</f>
        <v>-13809.4468155542</v>
      </c>
      <c r="H25" s="42" t="n">
        <f aca="false">0.5*(SUMPRODUCT(B_2020!E19:BT19,$E$88:$BT$88)-SUMPRODUCT(B_2010!E19:BT19,$E$88:$BT$88))</f>
        <v>-1433.71137594331</v>
      </c>
      <c r="I25" s="42" t="n">
        <f aca="false">0.5*(SUMPRODUCT(B_2020!E19:BT19,$E$89:$BT$89)+SUMPRODUCT(B_2010!E19:BT19,$E$89:$BT$89))</f>
        <v>-12375.7354396108</v>
      </c>
      <c r="J25" s="42" t="n">
        <f aca="false">H25+I25-G25</f>
        <v>0</v>
      </c>
    </row>
    <row r="26" customFormat="false" ht="15" hidden="false" customHeight="false" outlineLevel="0" collapsed="false">
      <c r="B26" s="17" t="s">
        <v>91</v>
      </c>
      <c r="C26" s="9" t="s">
        <v>92</v>
      </c>
      <c r="D26" s="17" t="n">
        <v>14</v>
      </c>
      <c r="E26" s="44" t="n">
        <f aca="false">Dados_2010!$E$20*$P$10</f>
        <v>84383.9833418117</v>
      </c>
      <c r="F26" s="44" t="n">
        <f aca="false">Dados_2020!$E$20</f>
        <v>63967</v>
      </c>
      <c r="G26" s="44" t="n">
        <f aca="false">F26-E26</f>
        <v>-20416.9833418117</v>
      </c>
      <c r="H26" s="44" t="n">
        <f aca="false">0.5*(SUMPRODUCT(B_2020!E20:BT20,$E$88:$BT$88)-SUMPRODUCT(B_2010!E20:BT20,$E$88:$BT$88))</f>
        <v>-2142.35989556594</v>
      </c>
      <c r="I26" s="44" t="n">
        <f aca="false">0.5*(SUMPRODUCT(B_2020!E20:BT20,$E$89:$BT$89)+SUMPRODUCT(B_2010!E20:BT20,$E$89:$BT$89))</f>
        <v>-18274.6234462459</v>
      </c>
      <c r="J26" s="44" t="n">
        <f aca="false">H26+I26-G26</f>
        <v>-7.27595761418343E-011</v>
      </c>
    </row>
    <row r="27" customFormat="false" ht="15" hidden="false" customHeight="false" outlineLevel="0" collapsed="false">
      <c r="B27" s="14" t="s">
        <v>93</v>
      </c>
      <c r="C27" s="7" t="s">
        <v>94</v>
      </c>
      <c r="D27" s="14" t="n">
        <v>15</v>
      </c>
      <c r="E27" s="42" t="n">
        <f aca="false">Dados_2010!$E$21*$P$10</f>
        <v>50938.7405267741</v>
      </c>
      <c r="F27" s="42" t="n">
        <f aca="false">Dados_2020!$E$21</f>
        <v>36834</v>
      </c>
      <c r="G27" s="42" t="n">
        <f aca="false">F27-E27</f>
        <v>-14104.740526774</v>
      </c>
      <c r="H27" s="42" t="n">
        <f aca="false">0.5*(SUMPRODUCT(B_2020!E21:BT21,$E$88:$BT$88)-SUMPRODUCT(B_2010!E21:BT21,$E$88:$BT$88))</f>
        <v>-1713.96463377415</v>
      </c>
      <c r="I27" s="42" t="n">
        <f aca="false">0.5*(SUMPRODUCT(B_2020!E21:BT21,$E$89:$BT$89)+SUMPRODUCT(B_2010!E21:BT21,$E$89:$BT$89))</f>
        <v>-12390.7758929999</v>
      </c>
      <c r="J27" s="42" t="n">
        <f aca="false">H27+I27-G27</f>
        <v>0</v>
      </c>
    </row>
    <row r="28" customFormat="false" ht="15" hidden="false" customHeight="false" outlineLevel="0" collapsed="false">
      <c r="B28" s="17" t="s">
        <v>95</v>
      </c>
      <c r="C28" s="9" t="s">
        <v>96</v>
      </c>
      <c r="D28" s="17" t="n">
        <v>16</v>
      </c>
      <c r="E28" s="44" t="n">
        <f aca="false">Dados_2010!$E$22*$P$10</f>
        <v>36572.2512093469</v>
      </c>
      <c r="F28" s="44" t="n">
        <f aca="false">Dados_2020!$E$22</f>
        <v>39395</v>
      </c>
      <c r="G28" s="44" t="n">
        <f aca="false">F28-E28</f>
        <v>2822.74879065315</v>
      </c>
      <c r="H28" s="44" t="n">
        <f aca="false">0.5*(SUMPRODUCT(B_2020!E22:BT22,$E$88:$BT$88)-SUMPRODUCT(B_2010!E22:BT22,$E$88:$BT$88))</f>
        <v>-2809.49423780123</v>
      </c>
      <c r="I28" s="44" t="n">
        <f aca="false">0.5*(SUMPRODUCT(B_2020!E22:BT22,$E$89:$BT$89)+SUMPRODUCT(B_2010!E22:BT22,$E$89:$BT$89))</f>
        <v>5632.24302845437</v>
      </c>
      <c r="J28" s="44" t="n">
        <f aca="false">H28+I28-G28</f>
        <v>0</v>
      </c>
    </row>
    <row r="29" customFormat="false" ht="15" hidden="false" customHeight="false" outlineLevel="0" collapsed="false">
      <c r="B29" s="14" t="s">
        <v>97</v>
      </c>
      <c r="C29" s="7" t="s">
        <v>98</v>
      </c>
      <c r="D29" s="14" t="n">
        <v>17</v>
      </c>
      <c r="E29" s="42" t="n">
        <f aca="false">Dados_2010!$E$23*$P$10</f>
        <v>97849.0868227046</v>
      </c>
      <c r="F29" s="42" t="n">
        <f aca="false">Dados_2020!$E$23</f>
        <v>120555</v>
      </c>
      <c r="G29" s="42" t="n">
        <f aca="false">F29-E29</f>
        <v>22705.9131772954</v>
      </c>
      <c r="H29" s="42" t="n">
        <f aca="false">0.5*(SUMPRODUCT(B_2020!E23:BT23,$E$88:$BT$88)-SUMPRODUCT(B_2010!E23:BT23,$E$88:$BT$88))</f>
        <v>-6222.21801581071</v>
      </c>
      <c r="I29" s="42" t="n">
        <f aca="false">0.5*(SUMPRODUCT(B_2020!E23:BT23,$E$89:$BT$89)+SUMPRODUCT(B_2010!E23:BT23,$E$89:$BT$89))</f>
        <v>28928.131193106</v>
      </c>
      <c r="J29" s="42" t="n">
        <f aca="false">H29+I29-G29</f>
        <v>0</v>
      </c>
    </row>
    <row r="30" customFormat="false" ht="15" hidden="false" customHeight="false" outlineLevel="0" collapsed="false">
      <c r="B30" s="17" t="s">
        <v>99</v>
      </c>
      <c r="C30" s="9" t="s">
        <v>100</v>
      </c>
      <c r="D30" s="17" t="n">
        <v>18</v>
      </c>
      <c r="E30" s="44" t="n">
        <f aca="false">Dados_2010!$E$24*$P$10</f>
        <v>30144.2217109728</v>
      </c>
      <c r="F30" s="44" t="n">
        <f aca="false">Dados_2020!$E$24</f>
        <v>19031</v>
      </c>
      <c r="G30" s="44" t="n">
        <f aca="false">F30-E30</f>
        <v>-11113.2217109728</v>
      </c>
      <c r="H30" s="44" t="n">
        <f aca="false">0.5*(SUMPRODUCT(B_2020!E24:BT24,$E$88:$BT$88)-SUMPRODUCT(B_2010!E24:BT24,$E$88:$BT$88))</f>
        <v>-12195.2605555602</v>
      </c>
      <c r="I30" s="44" t="n">
        <f aca="false">0.5*(SUMPRODUCT(B_2020!E24:BT24,$E$89:$BT$89)+SUMPRODUCT(B_2010!E24:BT24,$E$89:$BT$89))</f>
        <v>1082.03884458738</v>
      </c>
      <c r="J30" s="44" t="n">
        <f aca="false">H30+I30-G30</f>
        <v>0</v>
      </c>
    </row>
    <row r="31" customFormat="false" ht="15" hidden="false" customHeight="false" outlineLevel="0" collapsed="false">
      <c r="B31" s="14" t="s">
        <v>101</v>
      </c>
      <c r="C31" s="7" t="s">
        <v>102</v>
      </c>
      <c r="D31" s="14" t="n">
        <v>19</v>
      </c>
      <c r="E31" s="42" t="n">
        <f aca="false">Dados_2010!$E$25*$P$10</f>
        <v>394909.663900785</v>
      </c>
      <c r="F31" s="42" t="n">
        <f aca="false">Dados_2020!$E$25</f>
        <v>445080</v>
      </c>
      <c r="G31" s="42" t="n">
        <f aca="false">F31-E31</f>
        <v>50170.3360992148</v>
      </c>
      <c r="H31" s="42" t="n">
        <f aca="false">0.5*(SUMPRODUCT(B_2020!E25:BT25,$E$88:$BT$88)-SUMPRODUCT(B_2010!E25:BT25,$E$88:$BT$88))</f>
        <v>-11890.5496289484</v>
      </c>
      <c r="I31" s="42" t="n">
        <f aca="false">0.5*(SUMPRODUCT(B_2020!E25:BT25,$E$89:$BT$89)+SUMPRODUCT(B_2010!E25:BT25,$E$89:$BT$89))</f>
        <v>62060.8857281629</v>
      </c>
      <c r="J31" s="42" t="n">
        <f aca="false">H31+I31-G31</f>
        <v>-3.05590219795704E-010</v>
      </c>
    </row>
    <row r="32" customFormat="false" ht="15" hidden="false" customHeight="false" outlineLevel="0" collapsed="false">
      <c r="B32" s="17" t="s">
        <v>103</v>
      </c>
      <c r="C32" s="9" t="s">
        <v>104</v>
      </c>
      <c r="D32" s="17" t="n">
        <v>20</v>
      </c>
      <c r="E32" s="44" t="n">
        <f aca="false">Dados_2010!$E$26*$P$10</f>
        <v>42326.8515209665</v>
      </c>
      <c r="F32" s="44" t="n">
        <f aca="false">Dados_2020!$E$26</f>
        <v>72877</v>
      </c>
      <c r="G32" s="44" t="n">
        <f aca="false">F32-E32</f>
        <v>30550.1484790335</v>
      </c>
      <c r="H32" s="44" t="n">
        <f aca="false">0.5*(SUMPRODUCT(B_2020!E26:BT26,$E$88:$BT$88)-SUMPRODUCT(B_2010!E26:BT26,$E$88:$BT$88))</f>
        <v>16337.527253268</v>
      </c>
      <c r="I32" s="44" t="n">
        <f aca="false">0.5*(SUMPRODUCT(B_2020!E26:BT26,$E$89:$BT$89)+SUMPRODUCT(B_2010!E26:BT26,$E$89:$BT$89))</f>
        <v>14212.6212257655</v>
      </c>
      <c r="J32" s="44" t="n">
        <f aca="false">H32+I32-G32</f>
        <v>0</v>
      </c>
    </row>
    <row r="33" customFormat="false" ht="15" hidden="false" customHeight="false" outlineLevel="0" collapsed="false">
      <c r="B33" s="14" t="s">
        <v>105</v>
      </c>
      <c r="C33" s="7" t="s">
        <v>106</v>
      </c>
      <c r="D33" s="14" t="n">
        <v>21</v>
      </c>
      <c r="E33" s="42" t="n">
        <f aca="false">Dados_2010!$E$27*$P$10</f>
        <v>154779.084946366</v>
      </c>
      <c r="F33" s="42" t="n">
        <f aca="false">Dados_2020!$E$27</f>
        <v>210605</v>
      </c>
      <c r="G33" s="42" t="n">
        <f aca="false">F33-E33</f>
        <v>55825.915053634</v>
      </c>
      <c r="H33" s="42" t="n">
        <f aca="false">0.5*(SUMPRODUCT(B_2020!E27:BT27,$E$88:$BT$88)-SUMPRODUCT(B_2010!E27:BT27,$E$88:$BT$88))</f>
        <v>19179.5680230321</v>
      </c>
      <c r="I33" s="42" t="n">
        <f aca="false">0.5*(SUMPRODUCT(B_2020!E27:BT27,$E$89:$BT$89)+SUMPRODUCT(B_2010!E27:BT27,$E$89:$BT$89))</f>
        <v>36646.3470306018</v>
      </c>
      <c r="J33" s="42" t="n">
        <f aca="false">H33+I33-G33</f>
        <v>0</v>
      </c>
    </row>
    <row r="34" customFormat="false" ht="15" hidden="false" customHeight="false" outlineLevel="0" collapsed="false">
      <c r="B34" s="17" t="s">
        <v>107</v>
      </c>
      <c r="C34" s="9" t="s">
        <v>108</v>
      </c>
      <c r="D34" s="17" t="n">
        <v>22</v>
      </c>
      <c r="E34" s="44" t="n">
        <f aca="false">Dados_2010!$E$28*$P$10</f>
        <v>81923.4436258667</v>
      </c>
      <c r="F34" s="44" t="n">
        <f aca="false">Dados_2020!$E$28</f>
        <v>119141</v>
      </c>
      <c r="G34" s="44" t="n">
        <f aca="false">F34-E34</f>
        <v>37217.5563741333</v>
      </c>
      <c r="H34" s="44" t="n">
        <f aca="false">0.5*(SUMPRODUCT(B_2020!E28:BT28,$E$88:$BT$88)-SUMPRODUCT(B_2010!E28:BT28,$E$88:$BT$88))</f>
        <v>16829.7555060626</v>
      </c>
      <c r="I34" s="44" t="n">
        <f aca="false">0.5*(SUMPRODUCT(B_2020!E28:BT28,$E$89:$BT$89)+SUMPRODUCT(B_2010!E28:BT28,$E$89:$BT$89))</f>
        <v>20387.8008680706</v>
      </c>
      <c r="J34" s="44" t="n">
        <f aca="false">H34+I34-G34</f>
        <v>0</v>
      </c>
    </row>
    <row r="35" customFormat="false" ht="15" hidden="false" customHeight="false" outlineLevel="0" collapsed="false">
      <c r="B35" s="14" t="s">
        <v>109</v>
      </c>
      <c r="C35" s="7" t="s">
        <v>110</v>
      </c>
      <c r="D35" s="14" t="n">
        <v>23</v>
      </c>
      <c r="E35" s="42" t="n">
        <f aca="false">Dados_2010!$E$29*$P$10</f>
        <v>46269.9795240297</v>
      </c>
      <c r="F35" s="42" t="n">
        <f aca="false">Dados_2020!$E$29</f>
        <v>60459</v>
      </c>
      <c r="G35" s="42" t="n">
        <f aca="false">F35-E35</f>
        <v>14189.0204759703</v>
      </c>
      <c r="H35" s="42" t="n">
        <f aca="false">0.5*(SUMPRODUCT(B_2020!E29:BT29,$E$88:$BT$88)-SUMPRODUCT(B_2010!E29:BT29,$E$88:$BT$88))</f>
        <v>2171.5609710437</v>
      </c>
      <c r="I35" s="42" t="n">
        <f aca="false">0.5*(SUMPRODUCT(B_2020!E29:BT29,$E$89:$BT$89)+SUMPRODUCT(B_2010!E29:BT29,$E$89:$BT$89))</f>
        <v>12017.4595049265</v>
      </c>
      <c r="J35" s="42" t="n">
        <f aca="false">H35+I35-G35</f>
        <v>0</v>
      </c>
    </row>
    <row r="36" customFormat="false" ht="15" hidden="false" customHeight="false" outlineLevel="0" collapsed="false">
      <c r="B36" s="17" t="s">
        <v>111</v>
      </c>
      <c r="C36" s="9" t="s">
        <v>112</v>
      </c>
      <c r="D36" s="17" t="n">
        <v>24</v>
      </c>
      <c r="E36" s="44" t="n">
        <f aca="false">Dados_2010!$E$30*$P$10</f>
        <v>70950.2021486749</v>
      </c>
      <c r="F36" s="44" t="n">
        <f aca="false">Dados_2020!$E$30</f>
        <v>87234</v>
      </c>
      <c r="G36" s="44" t="n">
        <f aca="false">F36-E36</f>
        <v>16283.7978513251</v>
      </c>
      <c r="H36" s="44" t="n">
        <f aca="false">0.5*(SUMPRODUCT(B_2020!E30:BT30,$E$88:$BT$88)-SUMPRODUCT(B_2010!E30:BT30,$E$88:$BT$88))</f>
        <v>-329.287613220658</v>
      </c>
      <c r="I36" s="44" t="n">
        <f aca="false">0.5*(SUMPRODUCT(B_2020!E30:BT30,$E$89:$BT$89)+SUMPRODUCT(B_2010!E30:BT30,$E$89:$BT$89))</f>
        <v>16613.0854645458</v>
      </c>
      <c r="J36" s="44" t="n">
        <f aca="false">H36+I36-G36</f>
        <v>0</v>
      </c>
    </row>
    <row r="37" customFormat="false" ht="15" hidden="false" customHeight="false" outlineLevel="0" collapsed="false">
      <c r="B37" s="14" t="s">
        <v>113</v>
      </c>
      <c r="C37" s="7" t="s">
        <v>114</v>
      </c>
      <c r="D37" s="14" t="n">
        <v>25</v>
      </c>
      <c r="E37" s="42" t="n">
        <f aca="false">Dados_2010!$E$31*$P$10</f>
        <v>126406.312620706</v>
      </c>
      <c r="F37" s="42" t="n">
        <f aca="false">Dados_2020!$E$31</f>
        <v>136308</v>
      </c>
      <c r="G37" s="42" t="n">
        <f aca="false">F37-E37</f>
        <v>9901.68737929418</v>
      </c>
      <c r="H37" s="42" t="n">
        <f aca="false">0.5*(SUMPRODUCT(B_2020!E31:BT31,$E$88:$BT$88)-SUMPRODUCT(B_2010!E31:BT31,$E$88:$BT$88))</f>
        <v>12841.7671695937</v>
      </c>
      <c r="I37" s="42" t="n">
        <f aca="false">0.5*(SUMPRODUCT(B_2020!E31:BT31,$E$89:$BT$89)+SUMPRODUCT(B_2010!E31:BT31,$E$89:$BT$89))</f>
        <v>-2940.07979029959</v>
      </c>
      <c r="J37" s="42" t="n">
        <f aca="false">H37+I37-G37</f>
        <v>0</v>
      </c>
    </row>
    <row r="38" customFormat="false" ht="15" hidden="false" customHeight="false" outlineLevel="0" collapsed="false">
      <c r="B38" s="17" t="s">
        <v>115</v>
      </c>
      <c r="C38" s="9" t="s">
        <v>116</v>
      </c>
      <c r="D38" s="17" t="n">
        <v>26</v>
      </c>
      <c r="E38" s="44" t="n">
        <f aca="false">Dados_2010!$E$32*$P$10</f>
        <v>111589.130385012</v>
      </c>
      <c r="F38" s="44" t="n">
        <f aca="false">Dados_2020!$E$32</f>
        <v>101587</v>
      </c>
      <c r="G38" s="44" t="n">
        <f aca="false">F38-E38</f>
        <v>-10002.1303850115</v>
      </c>
      <c r="H38" s="44" t="n">
        <f aca="false">0.5*(SUMPRODUCT(B_2020!E32:BT32,$E$88:$BT$88)-SUMPRODUCT(B_2010!E32:BT32,$E$88:$BT$88))</f>
        <v>-2680.63156748128</v>
      </c>
      <c r="I38" s="44" t="n">
        <f aca="false">0.5*(SUMPRODUCT(B_2020!E32:BT32,$E$89:$BT$89)+SUMPRODUCT(B_2010!E32:BT32,$E$89:$BT$89))</f>
        <v>-7321.49881753026</v>
      </c>
      <c r="J38" s="44" t="n">
        <f aca="false">H38+I38-G38</f>
        <v>-4.18367562815547E-011</v>
      </c>
    </row>
    <row r="39" customFormat="false" ht="15" hidden="false" customHeight="false" outlineLevel="0" collapsed="false">
      <c r="B39" s="14" t="s">
        <v>117</v>
      </c>
      <c r="C39" s="7" t="s">
        <v>118</v>
      </c>
      <c r="D39" s="14" t="n">
        <v>27</v>
      </c>
      <c r="E39" s="42" t="n">
        <f aca="false">Dados_2010!$E$33*$P$10</f>
        <v>159273.833239355</v>
      </c>
      <c r="F39" s="42" t="n">
        <f aca="false">Dados_2020!$E$33</f>
        <v>154385</v>
      </c>
      <c r="G39" s="42" t="n">
        <f aca="false">F39-E39</f>
        <v>-4888.83323935478</v>
      </c>
      <c r="H39" s="42" t="n">
        <f aca="false">0.5*(SUMPRODUCT(B_2020!E33:BT33,$E$88:$BT$88)-SUMPRODUCT(B_2010!E33:BT33,$E$88:$BT$88))</f>
        <v>-6944.77049433012</v>
      </c>
      <c r="I39" s="42" t="n">
        <f aca="false">0.5*(SUMPRODUCT(B_2020!E33:BT33,$E$89:$BT$89)+SUMPRODUCT(B_2010!E33:BT33,$E$89:$BT$89))</f>
        <v>2055.9372549754</v>
      </c>
      <c r="J39" s="42" t="n">
        <f aca="false">H39+I39-G39</f>
        <v>5.63886715099216E-011</v>
      </c>
    </row>
    <row r="40" customFormat="false" ht="15" hidden="false" customHeight="false" outlineLevel="0" collapsed="false">
      <c r="B40" s="17" t="s">
        <v>119</v>
      </c>
      <c r="C40" s="9" t="s">
        <v>120</v>
      </c>
      <c r="D40" s="17" t="n">
        <v>28</v>
      </c>
      <c r="E40" s="44" t="n">
        <f aca="false">Dados_2010!$E$34*$P$10</f>
        <v>65745.4819998831</v>
      </c>
      <c r="F40" s="44" t="n">
        <f aca="false">Dados_2020!$E$34</f>
        <v>85765</v>
      </c>
      <c r="G40" s="44" t="n">
        <f aca="false">F40-E40</f>
        <v>20019.5180001169</v>
      </c>
      <c r="H40" s="44" t="n">
        <f aca="false">0.5*(SUMPRODUCT(B_2020!E34:BT34,$E$88:$BT$88)-SUMPRODUCT(B_2010!E34:BT34,$E$88:$BT$88))</f>
        <v>8461.82291340837</v>
      </c>
      <c r="I40" s="44" t="n">
        <f aca="false">0.5*(SUMPRODUCT(B_2020!E34:BT34,$E$89:$BT$89)+SUMPRODUCT(B_2010!E34:BT34,$E$89:$BT$89))</f>
        <v>11557.6950867085</v>
      </c>
      <c r="J40" s="44" t="n">
        <f aca="false">H40+I40-G40</f>
        <v>0</v>
      </c>
    </row>
    <row r="41" customFormat="false" ht="15" hidden="false" customHeight="false" outlineLevel="0" collapsed="false">
      <c r="B41" s="14" t="s">
        <v>121</v>
      </c>
      <c r="C41" s="7" t="s">
        <v>122</v>
      </c>
      <c r="D41" s="14" t="n">
        <v>29</v>
      </c>
      <c r="E41" s="42" t="n">
        <f aca="false">Dados_2010!$E$35*$P$10</f>
        <v>132091.307848423</v>
      </c>
      <c r="F41" s="42" t="n">
        <f aca="false">Dados_2020!$E$35</f>
        <v>125635</v>
      </c>
      <c r="G41" s="42" t="n">
        <f aca="false">F41-E41</f>
        <v>-6456.30784842323</v>
      </c>
      <c r="H41" s="42" t="n">
        <f aca="false">0.5*(SUMPRODUCT(B_2020!E35:BT35,$E$88:$BT$88)-SUMPRODUCT(B_2010!E35:BT35,$E$88:$BT$88))</f>
        <v>3906.56695208512</v>
      </c>
      <c r="I41" s="42" t="n">
        <f aca="false">0.5*(SUMPRODUCT(B_2020!E35:BT35,$E$89:$BT$89)+SUMPRODUCT(B_2010!E35:BT35,$E$89:$BT$89))</f>
        <v>-10362.8748005083</v>
      </c>
      <c r="J41" s="42" t="n">
        <f aca="false">H41+I41-G41</f>
        <v>0</v>
      </c>
    </row>
    <row r="42" customFormat="false" ht="15" hidden="false" customHeight="false" outlineLevel="0" collapsed="false">
      <c r="B42" s="17" t="s">
        <v>123</v>
      </c>
      <c r="C42" s="9" t="s">
        <v>124</v>
      </c>
      <c r="D42" s="17" t="n">
        <v>30</v>
      </c>
      <c r="E42" s="44" t="n">
        <f aca="false">Dados_2010!$E$36*$P$10</f>
        <v>112098.987624596</v>
      </c>
      <c r="F42" s="44" t="n">
        <f aca="false">Dados_2020!$E$36</f>
        <v>116628</v>
      </c>
      <c r="G42" s="44" t="n">
        <f aca="false">F42-E42</f>
        <v>4529.01237540445</v>
      </c>
      <c r="H42" s="44" t="n">
        <f aca="false">0.5*(SUMPRODUCT(B_2020!E36:BT36,$E$88:$BT$88)-SUMPRODUCT(B_2010!E36:BT36,$E$88:$BT$88))</f>
        <v>1288.54525047235</v>
      </c>
      <c r="I42" s="44" t="n">
        <f aca="false">0.5*(SUMPRODUCT(B_2020!E36:BT36,$E$89:$BT$89)+SUMPRODUCT(B_2010!E36:BT36,$E$89:$BT$89))</f>
        <v>3240.46712493206</v>
      </c>
      <c r="J42" s="44" t="n">
        <f aca="false">H42+I42-G42</f>
        <v>-3.18323145620525E-011</v>
      </c>
    </row>
    <row r="43" customFormat="false" ht="15" hidden="false" customHeight="false" outlineLevel="0" collapsed="false">
      <c r="B43" s="14" t="s">
        <v>125</v>
      </c>
      <c r="C43" s="7" t="s">
        <v>126</v>
      </c>
      <c r="D43" s="14" t="n">
        <v>31</v>
      </c>
      <c r="E43" s="42" t="n">
        <f aca="false">Dados_2010!$E$37*$P$10</f>
        <v>101999.289950377</v>
      </c>
      <c r="F43" s="42" t="n">
        <f aca="false">Dados_2020!$E$37</f>
        <v>99669</v>
      </c>
      <c r="G43" s="42" t="n">
        <f aca="false">F43-E43</f>
        <v>-2330.28995037712</v>
      </c>
      <c r="H43" s="42" t="n">
        <f aca="false">0.5*(SUMPRODUCT(B_2020!E37:BT37,$E$88:$BT$88)-SUMPRODUCT(B_2010!E37:BT37,$E$88:$BT$88))</f>
        <v>6497.0372215918</v>
      </c>
      <c r="I43" s="42" t="n">
        <f aca="false">0.5*(SUMPRODUCT(B_2020!E37:BT37,$E$89:$BT$89)+SUMPRODUCT(B_2010!E37:BT37,$E$89:$BT$89))</f>
        <v>-8827.32717196895</v>
      </c>
      <c r="J43" s="42" t="n">
        <f aca="false">H43+I43-G43</f>
        <v>-2.5465851649642E-011</v>
      </c>
    </row>
    <row r="44" customFormat="false" ht="15" hidden="false" customHeight="false" outlineLevel="0" collapsed="false">
      <c r="B44" s="17" t="s">
        <v>127</v>
      </c>
      <c r="C44" s="9" t="s">
        <v>128</v>
      </c>
      <c r="D44" s="17" t="n">
        <v>32</v>
      </c>
      <c r="E44" s="44" t="n">
        <f aca="false">Dados_2010!$E$38*$P$10</f>
        <v>170690.807126424</v>
      </c>
      <c r="F44" s="44" t="n">
        <f aca="false">Dados_2020!$E$38</f>
        <v>156205</v>
      </c>
      <c r="G44" s="44" t="n">
        <f aca="false">F44-E44</f>
        <v>-14485.8071264235</v>
      </c>
      <c r="H44" s="44" t="n">
        <f aca="false">0.5*(SUMPRODUCT(B_2020!E38:BT38,$E$88:$BT$88)-SUMPRODUCT(B_2010!E38:BT38,$E$88:$BT$88))</f>
        <v>-4022.75167881645</v>
      </c>
      <c r="I44" s="44" t="n">
        <f aca="false">0.5*(SUMPRODUCT(B_2020!E38:BT38,$E$89:$BT$89)+SUMPRODUCT(B_2010!E38:BT38,$E$89:$BT$89))</f>
        <v>-10463.0554476071</v>
      </c>
      <c r="J44" s="44" t="n">
        <f aca="false">H44+I44-G44</f>
        <v>-6.18456397205591E-011</v>
      </c>
    </row>
    <row r="45" customFormat="false" ht="15" hidden="false" customHeight="false" outlineLevel="0" collapsed="false">
      <c r="B45" s="14" t="s">
        <v>129</v>
      </c>
      <c r="C45" s="7" t="s">
        <v>130</v>
      </c>
      <c r="D45" s="14" t="n">
        <v>33</v>
      </c>
      <c r="E45" s="42" t="n">
        <f aca="false">Dados_2010!$E$39*$P$10</f>
        <v>272954.596395629</v>
      </c>
      <c r="F45" s="42" t="n">
        <f aca="false">Dados_2020!$E$39</f>
        <v>164497</v>
      </c>
      <c r="G45" s="42" t="n">
        <f aca="false">F45-E45</f>
        <v>-108457.596395629</v>
      </c>
      <c r="H45" s="42" t="n">
        <f aca="false">0.5*(SUMPRODUCT(B_2020!E39:BT39,$E$88:$BT$88)-SUMPRODUCT(B_2010!E39:BT39,$E$88:$BT$88))</f>
        <v>823.724958238861</v>
      </c>
      <c r="I45" s="42" t="n">
        <f aca="false">0.5*(SUMPRODUCT(B_2020!E39:BT39,$E$89:$BT$89)+SUMPRODUCT(B_2010!E39:BT39,$E$89:$BT$89))</f>
        <v>-109281.321353868</v>
      </c>
      <c r="J45" s="42" t="n">
        <f aca="false">H45+I45-G45</f>
        <v>0</v>
      </c>
    </row>
    <row r="46" customFormat="false" ht="15" hidden="false" customHeight="false" outlineLevel="0" collapsed="false">
      <c r="B46" s="17" t="s">
        <v>131</v>
      </c>
      <c r="C46" s="9" t="s">
        <v>132</v>
      </c>
      <c r="D46" s="17" t="n">
        <v>34</v>
      </c>
      <c r="E46" s="44" t="n">
        <f aca="false">Dados_2010!$E$40*$P$10</f>
        <v>140722.338252304</v>
      </c>
      <c r="F46" s="44" t="n">
        <f aca="false">Dados_2020!$E$40</f>
        <v>100628</v>
      </c>
      <c r="G46" s="44" t="n">
        <f aca="false">F46-E46</f>
        <v>-40094.3382523039</v>
      </c>
      <c r="H46" s="44" t="n">
        <f aca="false">0.5*(SUMPRODUCT(B_2020!E40:BT40,$E$88:$BT$88)-SUMPRODUCT(B_2010!E40:BT40,$E$88:$BT$88))</f>
        <v>11030.8894737807</v>
      </c>
      <c r="I46" s="44" t="n">
        <f aca="false">0.5*(SUMPRODUCT(B_2020!E40:BT40,$E$89:$BT$89)+SUMPRODUCT(B_2010!E40:BT40,$E$89:$BT$89))</f>
        <v>-51125.2277260847</v>
      </c>
      <c r="J46" s="44" t="n">
        <f aca="false">H46+I46-G46</f>
        <v>0</v>
      </c>
    </row>
    <row r="47" customFormat="false" ht="15" hidden="false" customHeight="false" outlineLevel="0" collapsed="false">
      <c r="B47" s="14" t="s">
        <v>133</v>
      </c>
      <c r="C47" s="7" t="s">
        <v>134</v>
      </c>
      <c r="D47" s="14" t="n">
        <v>35</v>
      </c>
      <c r="E47" s="42" t="n">
        <f aca="false">Dados_2010!$E$41*$P$10</f>
        <v>57278.0235431727</v>
      </c>
      <c r="F47" s="42" t="n">
        <f aca="false">Dados_2020!$E$41</f>
        <v>41813</v>
      </c>
      <c r="G47" s="42" t="n">
        <f aca="false">F47-E47</f>
        <v>-15465.0235431727</v>
      </c>
      <c r="H47" s="42" t="n">
        <f aca="false">0.5*(SUMPRODUCT(B_2020!E41:BT41,$E$88:$BT$88)-SUMPRODUCT(B_2010!E41:BT41,$E$88:$BT$88))</f>
        <v>-5463.02251874957</v>
      </c>
      <c r="I47" s="42" t="n">
        <f aca="false">0.5*(SUMPRODUCT(B_2020!E41:BT41,$E$89:$BT$89)+SUMPRODUCT(B_2010!E41:BT41,$E$89:$BT$89))</f>
        <v>-10002.0010244232</v>
      </c>
      <c r="J47" s="42" t="n">
        <f aca="false">H47+I47-G47</f>
        <v>0</v>
      </c>
    </row>
    <row r="48" customFormat="false" ht="15" hidden="false" customHeight="false" outlineLevel="0" collapsed="false">
      <c r="B48" s="17" t="s">
        <v>135</v>
      </c>
      <c r="C48" s="9" t="s">
        <v>136</v>
      </c>
      <c r="D48" s="17" t="n">
        <v>36</v>
      </c>
      <c r="E48" s="44" t="n">
        <f aca="false">Dados_2010!$E$42*$P$10</f>
        <v>88055.6515176562</v>
      </c>
      <c r="F48" s="44" t="n">
        <f aca="false">Dados_2020!$E$42</f>
        <v>88070</v>
      </c>
      <c r="G48" s="44" t="n">
        <f aca="false">F48-E48</f>
        <v>14.3484823438484</v>
      </c>
      <c r="H48" s="44" t="n">
        <f aca="false">0.5*(SUMPRODUCT(B_2020!E42:BT42,$E$88:$BT$88)-SUMPRODUCT(B_2010!E42:BT42,$E$88:$BT$88))</f>
        <v>-1632.87558252807</v>
      </c>
      <c r="I48" s="44" t="n">
        <f aca="false">0.5*(SUMPRODUCT(B_2020!E42:BT42,$E$89:$BT$89)+SUMPRODUCT(B_2010!E42:BT42,$E$89:$BT$89))</f>
        <v>1647.22406487191</v>
      </c>
      <c r="J48" s="44" t="n">
        <f aca="false">H48+I48-G48</f>
        <v>-4.09272615797818E-012</v>
      </c>
    </row>
    <row r="49" customFormat="false" ht="15" hidden="false" customHeight="false" outlineLevel="0" collapsed="false">
      <c r="B49" s="14" t="s">
        <v>137</v>
      </c>
      <c r="C49" s="7" t="s">
        <v>138</v>
      </c>
      <c r="D49" s="14" t="n">
        <v>37</v>
      </c>
      <c r="E49" s="42" t="n">
        <f aca="false">Dados_2010!$E$43*$P$10</f>
        <v>73534.2908885464</v>
      </c>
      <c r="F49" s="42" t="n">
        <f aca="false">Dados_2020!$E$43</f>
        <v>88696</v>
      </c>
      <c r="G49" s="42" t="n">
        <f aca="false">F49-E49</f>
        <v>15161.7091114536</v>
      </c>
      <c r="H49" s="42" t="n">
        <f aca="false">0.5*(SUMPRODUCT(B_2020!E43:BT43,$E$88:$BT$88)-SUMPRODUCT(B_2010!E43:BT43,$E$88:$BT$88))</f>
        <v>5668.65521614481</v>
      </c>
      <c r="I49" s="42" t="n">
        <f aca="false">0.5*(SUMPRODUCT(B_2020!E43:BT43,$E$89:$BT$89)+SUMPRODUCT(B_2010!E43:BT43,$E$89:$BT$89))</f>
        <v>9493.05389530878</v>
      </c>
      <c r="J49" s="42" t="n">
        <f aca="false">H49+I49-G49</f>
        <v>0</v>
      </c>
    </row>
    <row r="50" customFormat="false" ht="15" hidden="false" customHeight="false" outlineLevel="0" collapsed="false">
      <c r="B50" s="17" t="s">
        <v>139</v>
      </c>
      <c r="C50" s="9" t="s">
        <v>140</v>
      </c>
      <c r="D50" s="17" t="n">
        <v>38</v>
      </c>
      <c r="E50" s="44" t="n">
        <f aca="false">Dados_2010!$E$44*$P$10</f>
        <v>265675.64474655</v>
      </c>
      <c r="F50" s="44" t="n">
        <f aca="false">Dados_2020!$E$44</f>
        <v>357896</v>
      </c>
      <c r="G50" s="44" t="n">
        <f aca="false">F50-E50</f>
        <v>92220.35525345</v>
      </c>
      <c r="H50" s="44" t="n">
        <f aca="false">0.5*(SUMPRODUCT(B_2020!E44:BT44,$E$88:$BT$88)-SUMPRODUCT(B_2010!E44:BT44,$E$88:$BT$88))</f>
        <v>19235.2477575236</v>
      </c>
      <c r="I50" s="44" t="n">
        <f aca="false">0.5*(SUMPRODUCT(B_2020!E44:BT44,$E$89:$BT$89)+SUMPRODUCT(B_2010!E44:BT44,$E$89:$BT$89))</f>
        <v>72985.1074959263</v>
      </c>
      <c r="J50" s="44" t="n">
        <f aca="false">H50+I50-G50</f>
        <v>0</v>
      </c>
    </row>
    <row r="51" customFormat="false" ht="15" hidden="false" customHeight="false" outlineLevel="0" collapsed="false">
      <c r="B51" s="14" t="s">
        <v>141</v>
      </c>
      <c r="C51" s="7" t="s">
        <v>142</v>
      </c>
      <c r="D51" s="14" t="n">
        <v>39</v>
      </c>
      <c r="E51" s="42" t="n">
        <f aca="false">Dados_2010!$E$45*$P$10</f>
        <v>74888.1097704454</v>
      </c>
      <c r="F51" s="42" t="n">
        <f aca="false">Dados_2020!$E$45</f>
        <v>96845</v>
      </c>
      <c r="G51" s="42" t="n">
        <f aca="false">F51-E51</f>
        <v>21956.8902295546</v>
      </c>
      <c r="H51" s="42" t="n">
        <f aca="false">0.5*(SUMPRODUCT(B_2020!E45:BT45,$E$88:$BT$88)-SUMPRODUCT(B_2010!E45:BT45,$E$88:$BT$88))</f>
        <v>5415.98797109758</v>
      </c>
      <c r="I51" s="42" t="n">
        <f aca="false">0.5*(SUMPRODUCT(B_2020!E45:BT45,$E$89:$BT$89)+SUMPRODUCT(B_2010!E45:BT45,$E$89:$BT$89))</f>
        <v>16540.9022584569</v>
      </c>
      <c r="J51" s="42" t="n">
        <f aca="false">H51+I51-G51</f>
        <v>0</v>
      </c>
    </row>
    <row r="52" customFormat="false" ht="15" hidden="false" customHeight="false" outlineLevel="0" collapsed="false">
      <c r="B52" s="17" t="s">
        <v>143</v>
      </c>
      <c r="C52" s="9" t="s">
        <v>144</v>
      </c>
      <c r="D52" s="17" t="n">
        <v>40</v>
      </c>
      <c r="E52" s="44" t="n">
        <f aca="false">Dados_2010!$E$46*$P$10</f>
        <v>778076.950147259</v>
      </c>
      <c r="F52" s="44" t="n">
        <f aca="false">Dados_2020!$E$46</f>
        <v>612501</v>
      </c>
      <c r="G52" s="44" t="n">
        <f aca="false">F52-E52</f>
        <v>-165575.950147259</v>
      </c>
      <c r="H52" s="44" t="n">
        <f aca="false">0.5*(SUMPRODUCT(B_2020!E46:BT46,$E$88:$BT$88)-SUMPRODUCT(B_2010!E46:BT46,$E$88:$BT$88))</f>
        <v>-13775.0673495419</v>
      </c>
      <c r="I52" s="44" t="n">
        <f aca="false">0.5*(SUMPRODUCT(B_2020!E46:BT46,$E$89:$BT$89)+SUMPRODUCT(B_2010!E46:BT46,$E$89:$BT$89))</f>
        <v>-151800.882797717</v>
      </c>
      <c r="J52" s="44" t="n">
        <f aca="false">H52+I52-G52</f>
        <v>0</v>
      </c>
    </row>
    <row r="53" customFormat="false" ht="15" hidden="false" customHeight="false" outlineLevel="0" collapsed="false">
      <c r="B53" s="14" t="s">
        <v>145</v>
      </c>
      <c r="C53" s="7" t="s">
        <v>146</v>
      </c>
      <c r="D53" s="14" t="n">
        <v>41</v>
      </c>
      <c r="E53" s="42" t="n">
        <f aca="false">Dados_2010!$E$47*$P$10</f>
        <v>186731.2987117</v>
      </c>
      <c r="F53" s="42" t="n">
        <f aca="false">Dados_2020!$E$47</f>
        <v>175550</v>
      </c>
      <c r="G53" s="42" t="n">
        <f aca="false">F53-E53</f>
        <v>-11181.2987117002</v>
      </c>
      <c r="H53" s="42" t="n">
        <f aca="false">0.5*(SUMPRODUCT(B_2020!E47:BT47,$E$88:$BT$88)-SUMPRODUCT(B_2010!E47:BT47,$E$88:$BT$88))</f>
        <v>-4799.34454701431</v>
      </c>
      <c r="I53" s="42" t="n">
        <f aca="false">0.5*(SUMPRODUCT(B_2020!E47:BT47,$E$89:$BT$89)+SUMPRODUCT(B_2010!E47:BT47,$E$89:$BT$89))</f>
        <v>-6381.954164686</v>
      </c>
      <c r="J53" s="42" t="n">
        <f aca="false">H53+I53-G53</f>
        <v>-1.12777343019843E-010</v>
      </c>
    </row>
    <row r="54" customFormat="false" ht="15" hidden="false" customHeight="false" outlineLevel="0" collapsed="false">
      <c r="B54" s="17" t="s">
        <v>147</v>
      </c>
      <c r="C54" s="9" t="s">
        <v>148</v>
      </c>
      <c r="D54" s="17" t="n">
        <v>42</v>
      </c>
      <c r="E54" s="44" t="n">
        <f aca="false">Dados_2010!$E$48*$P$10</f>
        <v>938567.132227806</v>
      </c>
      <c r="F54" s="44" t="n">
        <f aca="false">Dados_2020!$E$48</f>
        <v>1229001</v>
      </c>
      <c r="G54" s="44" t="n">
        <f aca="false">F54-E54</f>
        <v>290433.867772194</v>
      </c>
      <c r="H54" s="44" t="n">
        <f aca="false">0.5*(SUMPRODUCT(B_2020!E48:BT48,$E$88:$BT$88)-SUMPRODUCT(B_2010!E48:BT48,$E$88:$BT$88))</f>
        <v>119377.392488451</v>
      </c>
      <c r="I54" s="44" t="n">
        <f aca="false">0.5*(SUMPRODUCT(B_2020!E48:BT48,$E$89:$BT$89)+SUMPRODUCT(B_2010!E48:BT48,$E$89:$BT$89))</f>
        <v>171056.475283744</v>
      </c>
      <c r="J54" s="44" t="n">
        <f aca="false">H54+I54-G54</f>
        <v>0</v>
      </c>
    </row>
    <row r="55" customFormat="false" ht="15" hidden="false" customHeight="false" outlineLevel="0" collapsed="false">
      <c r="B55" s="14" t="s">
        <v>149</v>
      </c>
      <c r="C55" s="7" t="s">
        <v>150</v>
      </c>
      <c r="D55" s="14" t="n">
        <v>43</v>
      </c>
      <c r="E55" s="42" t="n">
        <f aca="false">Dados_2010!$E$49*$P$10</f>
        <v>369065.296247875</v>
      </c>
      <c r="F55" s="42" t="n">
        <f aca="false">Dados_2020!$E$49</f>
        <v>420984</v>
      </c>
      <c r="G55" s="42" t="n">
        <f aca="false">F55-E55</f>
        <v>51918.7037521252</v>
      </c>
      <c r="H55" s="42" t="n">
        <f aca="false">0.5*(SUMPRODUCT(B_2020!E49:BT49,$E$88:$BT$88)-SUMPRODUCT(B_2010!E49:BT49,$E$88:$BT$88))</f>
        <v>40767.0419443651</v>
      </c>
      <c r="I55" s="42" t="n">
        <f aca="false">0.5*(SUMPRODUCT(B_2020!E49:BT49,$E$89:$BT$89)+SUMPRODUCT(B_2010!E49:BT49,$E$89:$BT$89))</f>
        <v>11151.66180776</v>
      </c>
      <c r="J55" s="42" t="n">
        <f aca="false">H55+I55-G55</f>
        <v>0</v>
      </c>
    </row>
    <row r="56" customFormat="false" ht="15" hidden="false" customHeight="false" outlineLevel="0" collapsed="false">
      <c r="B56" s="17" t="s">
        <v>151</v>
      </c>
      <c r="C56" s="9" t="s">
        <v>152</v>
      </c>
      <c r="D56" s="17" t="n">
        <v>44</v>
      </c>
      <c r="E56" s="44" t="n">
        <f aca="false">Dados_2010!$E$50*$P$10</f>
        <v>18600.2185457824</v>
      </c>
      <c r="F56" s="44" t="n">
        <f aca="false">Dados_2020!$E$50</f>
        <v>30016</v>
      </c>
      <c r="G56" s="44" t="n">
        <f aca="false">F56-E56</f>
        <v>11415.7814542176</v>
      </c>
      <c r="H56" s="44" t="n">
        <f aca="false">0.5*(SUMPRODUCT(B_2020!E50:BT50,$E$88:$BT$88)-SUMPRODUCT(B_2010!E50:BT50,$E$88:$BT$88))</f>
        <v>7059.37810130128</v>
      </c>
      <c r="I56" s="44" t="n">
        <f aca="false">0.5*(SUMPRODUCT(B_2020!E50:BT50,$E$89:$BT$89)+SUMPRODUCT(B_2010!E50:BT50,$E$89:$BT$89))</f>
        <v>4356.40335291632</v>
      </c>
      <c r="J56" s="44" t="n">
        <f aca="false">H56+I56-G56</f>
        <v>0</v>
      </c>
    </row>
    <row r="57" customFormat="false" ht="15" hidden="false" customHeight="false" outlineLevel="0" collapsed="false">
      <c r="B57" s="14" t="s">
        <v>153</v>
      </c>
      <c r="C57" s="7" t="s">
        <v>154</v>
      </c>
      <c r="D57" s="14" t="n">
        <v>45</v>
      </c>
      <c r="E57" s="42" t="n">
        <f aca="false">Dados_2010!$E$51*$P$10</f>
        <v>43416.1710840369</v>
      </c>
      <c r="F57" s="42" t="n">
        <f aca="false">Dados_2020!$E$51</f>
        <v>25860</v>
      </c>
      <c r="G57" s="42" t="n">
        <f aca="false">F57-E57</f>
        <v>-17556.1710840369</v>
      </c>
      <c r="H57" s="42" t="n">
        <f aca="false">0.5*(SUMPRODUCT(B_2020!E51:BT51,$E$88:$BT$88)-SUMPRODUCT(B_2010!E51:BT51,$E$88:$BT$88))</f>
        <v>-17038.8138227294</v>
      </c>
      <c r="I57" s="42" t="n">
        <f aca="false">0.5*(SUMPRODUCT(B_2020!E51:BT51,$E$89:$BT$89)+SUMPRODUCT(B_2010!E51:BT51,$E$89:$BT$89))</f>
        <v>-517.357261307544</v>
      </c>
      <c r="J57" s="42" t="n">
        <f aca="false">H57+I57-G57</f>
        <v>0</v>
      </c>
    </row>
    <row r="58" customFormat="false" ht="15" hidden="false" customHeight="false" outlineLevel="0" collapsed="false">
      <c r="B58" s="17" t="s">
        <v>155</v>
      </c>
      <c r="C58" s="9" t="s">
        <v>156</v>
      </c>
      <c r="D58" s="17" t="n">
        <v>46</v>
      </c>
      <c r="E58" s="44" t="n">
        <f aca="false">Dados_2010!$E$52*$P$10</f>
        <v>117561.246583826</v>
      </c>
      <c r="F58" s="44" t="n">
        <f aca="false">Dados_2020!$E$52</f>
        <v>152041</v>
      </c>
      <c r="G58" s="44" t="n">
        <f aca="false">F58-E58</f>
        <v>34479.7534161743</v>
      </c>
      <c r="H58" s="44" t="n">
        <f aca="false">0.5*(SUMPRODUCT(B_2020!E52:BT52,$E$88:$BT$88)-SUMPRODUCT(B_2010!E52:BT52,$E$88:$BT$88))</f>
        <v>10976.3207014312</v>
      </c>
      <c r="I58" s="44" t="n">
        <f aca="false">0.5*(SUMPRODUCT(B_2020!E52:BT52,$E$89:$BT$89)+SUMPRODUCT(B_2010!E52:BT52,$E$89:$BT$89))</f>
        <v>23503.432714743</v>
      </c>
      <c r="J58" s="44" t="n">
        <f aca="false">H58+I58-G58</f>
        <v>0</v>
      </c>
    </row>
    <row r="59" customFormat="false" ht="15" hidden="false" customHeight="false" outlineLevel="0" collapsed="false">
      <c r="B59" s="14" t="s">
        <v>157</v>
      </c>
      <c r="C59" s="7" t="s">
        <v>158</v>
      </c>
      <c r="D59" s="14" t="n">
        <v>47</v>
      </c>
      <c r="E59" s="42" t="n">
        <f aca="false">Dados_2010!$E$53*$P$10</f>
        <v>26221.9752330803</v>
      </c>
      <c r="F59" s="42" t="n">
        <f aca="false">Dados_2020!$E$53</f>
        <v>20611</v>
      </c>
      <c r="G59" s="42" t="n">
        <f aca="false">F59-E59</f>
        <v>-5610.97523308026</v>
      </c>
      <c r="H59" s="42" t="n">
        <f aca="false">0.5*(SUMPRODUCT(B_2020!E53:BT53,$E$88:$BT$88)-SUMPRODUCT(B_2010!E53:BT53,$E$88:$BT$88))</f>
        <v>-5360.24600531066</v>
      </c>
      <c r="I59" s="42" t="n">
        <f aca="false">0.5*(SUMPRODUCT(B_2020!E53:BT53,$E$89:$BT$89)+SUMPRODUCT(B_2010!E53:BT53,$E$89:$BT$89))</f>
        <v>-250.729227769614</v>
      </c>
      <c r="J59" s="42" t="n">
        <f aca="false">H59+I59-G59</f>
        <v>0</v>
      </c>
    </row>
    <row r="60" customFormat="false" ht="15" hidden="false" customHeight="false" outlineLevel="0" collapsed="false">
      <c r="B60" s="17" t="s">
        <v>159</v>
      </c>
      <c r="C60" s="9" t="s">
        <v>160</v>
      </c>
      <c r="D60" s="17" t="n">
        <v>48</v>
      </c>
      <c r="E60" s="44" t="n">
        <f aca="false">Dados_2010!$E$54*$P$10</f>
        <v>218547.782563425</v>
      </c>
      <c r="F60" s="44" t="n">
        <f aca="false">Dados_2020!$E$54</f>
        <v>242050</v>
      </c>
      <c r="G60" s="44" t="n">
        <f aca="false">F60-E60</f>
        <v>23502.2174365751</v>
      </c>
      <c r="H60" s="44" t="n">
        <f aca="false">0.5*(SUMPRODUCT(B_2020!E54:BT54,$E$88:$BT$88)-SUMPRODUCT(B_2010!E54:BT54,$E$88:$BT$88))</f>
        <v>-4934.82498838208</v>
      </c>
      <c r="I60" s="44" t="n">
        <f aca="false">0.5*(SUMPRODUCT(B_2020!E54:BT54,$E$89:$BT$89)+SUMPRODUCT(B_2010!E54:BT54,$E$89:$BT$89))</f>
        <v>28437.0424249572</v>
      </c>
      <c r="J60" s="44" t="n">
        <f aca="false">H60+I60-G60</f>
        <v>0</v>
      </c>
    </row>
    <row r="61" customFormat="false" ht="15" hidden="false" customHeight="false" outlineLevel="0" collapsed="false">
      <c r="B61" s="14" t="s">
        <v>161</v>
      </c>
      <c r="C61" s="7" t="s">
        <v>162</v>
      </c>
      <c r="D61" s="14" t="n">
        <v>49</v>
      </c>
      <c r="E61" s="42" t="n">
        <f aca="false">Dados_2010!$E$55*$P$10</f>
        <v>39749.7232894852</v>
      </c>
      <c r="F61" s="42" t="n">
        <f aca="false">Dados_2020!$E$55</f>
        <v>16477</v>
      </c>
      <c r="G61" s="42" t="n">
        <f aca="false">F61-E61</f>
        <v>-23272.7232894852</v>
      </c>
      <c r="H61" s="42" t="n">
        <f aca="false">0.5*(SUMPRODUCT(B_2020!E55:BT55,$E$88:$BT$88)-SUMPRODUCT(B_2010!E55:BT55,$E$88:$BT$88))</f>
        <v>-9986.14662653943</v>
      </c>
      <c r="I61" s="42" t="n">
        <f aca="false">0.5*(SUMPRODUCT(B_2020!E55:BT55,$E$89:$BT$89)+SUMPRODUCT(B_2010!E55:BT55,$E$89:$BT$89))</f>
        <v>-13286.5766629458</v>
      </c>
      <c r="J61" s="42" t="n">
        <f aca="false">H61+I61-G61</f>
        <v>0</v>
      </c>
    </row>
    <row r="62" customFormat="false" ht="15" hidden="false" customHeight="false" outlineLevel="0" collapsed="false">
      <c r="B62" s="17" t="s">
        <v>163</v>
      </c>
      <c r="C62" s="9" t="s">
        <v>164</v>
      </c>
      <c r="D62" s="17" t="n">
        <v>50</v>
      </c>
      <c r="E62" s="44" t="n">
        <f aca="false">Dados_2010!$E$56*$P$10</f>
        <v>49028.0809736569</v>
      </c>
      <c r="F62" s="44" t="n">
        <f aca="false">Dados_2020!$E$56</f>
        <v>38823</v>
      </c>
      <c r="G62" s="44" t="n">
        <f aca="false">F62-E62</f>
        <v>-10205.080973657</v>
      </c>
      <c r="H62" s="44" t="n">
        <f aca="false">0.5*(SUMPRODUCT(B_2020!E56:BT56,$E$88:$BT$88)-SUMPRODUCT(B_2010!E56:BT56,$E$88:$BT$88))</f>
        <v>-13985.7298091858</v>
      </c>
      <c r="I62" s="44" t="n">
        <f aca="false">0.5*(SUMPRODUCT(B_2020!E56:BT56,$E$89:$BT$89)+SUMPRODUCT(B_2010!E56:BT56,$E$89:$BT$89))</f>
        <v>3780.64883552881</v>
      </c>
      <c r="J62" s="44" t="n">
        <f aca="false">H62+I62-G62</f>
        <v>0</v>
      </c>
    </row>
    <row r="63" customFormat="false" ht="15" hidden="false" customHeight="false" outlineLevel="0" collapsed="false">
      <c r="B63" s="14" t="s">
        <v>165</v>
      </c>
      <c r="C63" s="7" t="s">
        <v>166</v>
      </c>
      <c r="D63" s="14" t="n">
        <v>51</v>
      </c>
      <c r="E63" s="42" t="n">
        <f aca="false">Dados_2010!$E$57*$P$10</f>
        <v>230805.237838614</v>
      </c>
      <c r="F63" s="42" t="n">
        <f aca="false">Dados_2020!$E$57</f>
        <v>171149</v>
      </c>
      <c r="G63" s="42" t="n">
        <f aca="false">F63-E63</f>
        <v>-59656.2378386135</v>
      </c>
      <c r="H63" s="42" t="n">
        <f aca="false">0.5*(SUMPRODUCT(B_2020!E57:BT57,$E$88:$BT$88)-SUMPRODUCT(B_2010!E57:BT57,$E$88:$BT$88))</f>
        <v>-47180.0179637898</v>
      </c>
      <c r="I63" s="42" t="n">
        <f aca="false">0.5*(SUMPRODUCT(B_2020!E57:BT57,$E$89:$BT$89)+SUMPRODUCT(B_2010!E57:BT57,$E$89:$BT$89))</f>
        <v>-12476.2198748237</v>
      </c>
      <c r="J63" s="42" t="n">
        <f aca="false">H63+I63-G63</f>
        <v>0</v>
      </c>
    </row>
    <row r="64" customFormat="false" ht="15" hidden="false" customHeight="false" outlineLevel="0" collapsed="false">
      <c r="B64" s="17" t="s">
        <v>167</v>
      </c>
      <c r="C64" s="9" t="s">
        <v>168</v>
      </c>
      <c r="D64" s="17" t="n">
        <v>52</v>
      </c>
      <c r="E64" s="44" t="n">
        <f aca="false">Dados_2010!$E$58*$P$10</f>
        <v>117587.348490289</v>
      </c>
      <c r="F64" s="44" t="n">
        <f aca="false">Dados_2020!$E$58</f>
        <v>209199</v>
      </c>
      <c r="G64" s="44" t="n">
        <f aca="false">F64-E64</f>
        <v>91611.651509711</v>
      </c>
      <c r="H64" s="44" t="n">
        <f aca="false">0.5*(SUMPRODUCT(B_2020!E58:BT58,$E$88:$BT$88)-SUMPRODUCT(B_2010!E58:BT58,$E$88:$BT$88))</f>
        <v>34864.5258400813</v>
      </c>
      <c r="I64" s="44" t="n">
        <f aca="false">0.5*(SUMPRODUCT(B_2020!E58:BT58,$E$89:$BT$89)+SUMPRODUCT(B_2010!E58:BT58,$E$89:$BT$89))</f>
        <v>56747.1256696296</v>
      </c>
      <c r="J64" s="44" t="n">
        <f aca="false">H64+I64-G64</f>
        <v>0</v>
      </c>
    </row>
    <row r="65" customFormat="false" ht="15" hidden="false" customHeight="false" outlineLevel="0" collapsed="false">
      <c r="B65" s="14" t="s">
        <v>169</v>
      </c>
      <c r="C65" s="7" t="s">
        <v>170</v>
      </c>
      <c r="D65" s="14" t="n">
        <v>53</v>
      </c>
      <c r="E65" s="42" t="n">
        <f aca="false">Dados_2010!$E$59*$P$10</f>
        <v>631130.177266995</v>
      </c>
      <c r="F65" s="42" t="n">
        <f aca="false">Dados_2020!$E$59</f>
        <v>700903</v>
      </c>
      <c r="G65" s="42" t="n">
        <f aca="false">F65-E65</f>
        <v>69772.822733005</v>
      </c>
      <c r="H65" s="42" t="n">
        <f aca="false">0.5*(SUMPRODUCT(B_2020!E59:BT59,$E$88:$BT$88)-SUMPRODUCT(B_2010!E59:BT59,$E$88:$BT$88))</f>
        <v>-24066.142510841</v>
      </c>
      <c r="I65" s="42" t="n">
        <f aca="false">0.5*(SUMPRODUCT(B_2020!E59:BT59,$E$89:$BT$89)+SUMPRODUCT(B_2010!E59:BT59,$E$89:$BT$89))</f>
        <v>93838.9652438463</v>
      </c>
      <c r="J65" s="42" t="n">
        <f aca="false">H65+I65-G65</f>
        <v>0</v>
      </c>
    </row>
    <row r="66" customFormat="false" ht="15" hidden="false" customHeight="false" outlineLevel="0" collapsed="false">
      <c r="B66" s="17" t="s">
        <v>171</v>
      </c>
      <c r="C66" s="9" t="s">
        <v>172</v>
      </c>
      <c r="D66" s="17" t="n">
        <v>54</v>
      </c>
      <c r="E66" s="44" t="n">
        <f aca="false">Dados_2010!$E$60*$P$10</f>
        <v>515434.34693175</v>
      </c>
      <c r="F66" s="44" t="n">
        <f aca="false">Dados_2020!$E$60</f>
        <v>711631</v>
      </c>
      <c r="G66" s="44" t="n">
        <f aca="false">F66-E66</f>
        <v>196196.65306825</v>
      </c>
      <c r="H66" s="44" t="n">
        <f aca="false">0.5*(SUMPRODUCT(B_2020!E60:BT60,$E$88:$BT$88)-SUMPRODUCT(B_2010!E60:BT60,$E$88:$BT$88))</f>
        <v>13131.4807847665</v>
      </c>
      <c r="I66" s="44" t="n">
        <f aca="false">0.5*(SUMPRODUCT(B_2020!E60:BT60,$E$89:$BT$89)+SUMPRODUCT(B_2010!E60:BT60,$E$89:$BT$89))</f>
        <v>183065.172283483</v>
      </c>
      <c r="J66" s="44" t="n">
        <f aca="false">H66+I66-G66</f>
        <v>0</v>
      </c>
    </row>
    <row r="67" customFormat="false" ht="15" hidden="false" customHeight="false" outlineLevel="0" collapsed="false">
      <c r="B67" s="14" t="s">
        <v>173</v>
      </c>
      <c r="C67" s="7" t="s">
        <v>174</v>
      </c>
      <c r="D67" s="14" t="n">
        <v>55</v>
      </c>
      <c r="E67" s="42" t="n">
        <f aca="false">Dados_2010!$E$61*$P$10</f>
        <v>198464.975730524</v>
      </c>
      <c r="F67" s="42" t="n">
        <f aca="false">Dados_2020!$E$61</f>
        <v>246252</v>
      </c>
      <c r="G67" s="42" t="n">
        <f aca="false">F67-E67</f>
        <v>47787.0242694758</v>
      </c>
      <c r="H67" s="42" t="n">
        <f aca="false">0.5*(SUMPRODUCT(B_2020!E61:BT61,$E$88:$BT$88)-SUMPRODUCT(B_2010!E61:BT61,$E$88:$BT$88))</f>
        <v>13062.6653673175</v>
      </c>
      <c r="I67" s="42" t="n">
        <f aca="false">0.5*(SUMPRODUCT(B_2020!E61:BT61,$E$89:$BT$89)+SUMPRODUCT(B_2010!E61:BT61,$E$89:$BT$89))</f>
        <v>34724.3589021581</v>
      </c>
      <c r="J67" s="42" t="n">
        <f aca="false">H67+I67-G67</f>
        <v>0</v>
      </c>
    </row>
    <row r="68" customFormat="false" ht="15" hidden="false" customHeight="false" outlineLevel="0" collapsed="false">
      <c r="B68" s="17" t="s">
        <v>175</v>
      </c>
      <c r="C68" s="9" t="s">
        <v>176</v>
      </c>
      <c r="D68" s="17" t="n">
        <v>56</v>
      </c>
      <c r="E68" s="44" t="n">
        <f aca="false">Dados_2010!$E$62*$P$10</f>
        <v>81547.5761727945</v>
      </c>
      <c r="F68" s="44" t="n">
        <f aca="false">Dados_2020!$E$62</f>
        <v>73176</v>
      </c>
      <c r="G68" s="44" t="n">
        <f aca="false">F68-E68</f>
        <v>-8371.57617279451</v>
      </c>
      <c r="H68" s="44" t="n">
        <f aca="false">0.5*(SUMPRODUCT(B_2020!E62:BT62,$E$88:$BT$88)-SUMPRODUCT(B_2010!E62:BT62,$E$88:$BT$88))</f>
        <v>-19825.5839685961</v>
      </c>
      <c r="I68" s="44" t="n">
        <f aca="false">0.5*(SUMPRODUCT(B_2020!E62:BT62,$E$89:$BT$89)+SUMPRODUCT(B_2010!E62:BT62,$E$89:$BT$89))</f>
        <v>11454.0077958016</v>
      </c>
      <c r="J68" s="44" t="n">
        <f aca="false">H68+I68-G68</f>
        <v>-4.36557456851006E-011</v>
      </c>
    </row>
    <row r="69" customFormat="false" ht="15" hidden="false" customHeight="false" outlineLevel="0" collapsed="false">
      <c r="B69" s="14" t="s">
        <v>177</v>
      </c>
      <c r="C69" s="7" t="s">
        <v>178</v>
      </c>
      <c r="D69" s="14" t="n">
        <v>57</v>
      </c>
      <c r="E69" s="42" t="n">
        <f aca="false">Dados_2010!$E$63*$P$10</f>
        <v>101068.321953184</v>
      </c>
      <c r="F69" s="42" t="n">
        <f aca="false">Dados_2020!$E$63</f>
        <v>116737</v>
      </c>
      <c r="G69" s="42" t="n">
        <f aca="false">F69-E69</f>
        <v>15668.6780468157</v>
      </c>
      <c r="H69" s="42" t="n">
        <f aca="false">0.5*(SUMPRODUCT(B_2020!E63:BT63,$E$88:$BT$88)-SUMPRODUCT(B_2010!E63:BT63,$E$88:$BT$88))</f>
        <v>1784.71798511301</v>
      </c>
      <c r="I69" s="42" t="n">
        <f aca="false">0.5*(SUMPRODUCT(B_2020!E63:BT63,$E$89:$BT$89)+SUMPRODUCT(B_2010!E63:BT63,$E$89:$BT$89))</f>
        <v>13883.9600617026</v>
      </c>
      <c r="J69" s="42" t="n">
        <f aca="false">H69+I69-G69</f>
        <v>0</v>
      </c>
    </row>
    <row r="70" customFormat="false" ht="15" hidden="false" customHeight="false" outlineLevel="0" collapsed="false">
      <c r="B70" s="17" t="s">
        <v>179</v>
      </c>
      <c r="C70" s="9" t="s">
        <v>180</v>
      </c>
      <c r="D70" s="17" t="n">
        <v>58</v>
      </c>
      <c r="E70" s="44" t="n">
        <f aca="false">Dados_2010!$E$64*$P$10</f>
        <v>43962.5709926697</v>
      </c>
      <c r="F70" s="44" t="n">
        <f aca="false">Dados_2020!$E$64</f>
        <v>62361</v>
      </c>
      <c r="G70" s="44" t="n">
        <f aca="false">F70-E70</f>
        <v>18398.4290073303</v>
      </c>
      <c r="H70" s="44" t="n">
        <f aca="false">0.5*(SUMPRODUCT(B_2020!E64:BT64,$E$88:$BT$88)-SUMPRODUCT(B_2010!E64:BT64,$E$88:$BT$88))</f>
        <v>9725.34279078052</v>
      </c>
      <c r="I70" s="44" t="n">
        <f aca="false">0.5*(SUMPRODUCT(B_2020!E64:BT64,$E$89:$BT$89)+SUMPRODUCT(B_2010!E64:BT64,$E$89:$BT$89))</f>
        <v>8673.08621654976</v>
      </c>
      <c r="J70" s="44" t="n">
        <f aca="false">H70+I70-G70</f>
        <v>0</v>
      </c>
    </row>
    <row r="71" customFormat="false" ht="15" hidden="false" customHeight="false" outlineLevel="0" collapsed="false">
      <c r="B71" s="14" t="s">
        <v>181</v>
      </c>
      <c r="C71" s="7" t="s">
        <v>182</v>
      </c>
      <c r="D71" s="14" t="n">
        <v>59</v>
      </c>
      <c r="E71" s="42" t="n">
        <f aca="false">Dados_2010!$E$65*$P$10</f>
        <v>216809.395592966</v>
      </c>
      <c r="F71" s="42" t="n">
        <f aca="false">Dados_2020!$E$65</f>
        <v>277136</v>
      </c>
      <c r="G71" s="42" t="n">
        <f aca="false">F71-E71</f>
        <v>60326.6044070341</v>
      </c>
      <c r="H71" s="42" t="n">
        <f aca="false">0.5*(SUMPRODUCT(B_2020!E65:BT65,$E$88:$BT$88)-SUMPRODUCT(B_2010!E65:BT65,$E$88:$BT$88))</f>
        <v>25944.4163716093</v>
      </c>
      <c r="I71" s="42" t="n">
        <f aca="false">0.5*(SUMPRODUCT(B_2020!E65:BT65,$E$89:$BT$89)+SUMPRODUCT(B_2010!E65:BT65,$E$89:$BT$89))</f>
        <v>34382.1880354248</v>
      </c>
      <c r="J71" s="42" t="n">
        <f aca="false">H71+I71-G71</f>
        <v>0</v>
      </c>
    </row>
    <row r="72" customFormat="false" ht="15" hidden="false" customHeight="false" outlineLevel="0" collapsed="false">
      <c r="B72" s="17" t="s">
        <v>183</v>
      </c>
      <c r="C72" s="9" t="s">
        <v>184</v>
      </c>
      <c r="D72" s="17" t="n">
        <v>60</v>
      </c>
      <c r="E72" s="44" t="n">
        <f aca="false">Dados_2010!$E$66*$P$10</f>
        <v>36091.9761304212</v>
      </c>
      <c r="F72" s="44" t="n">
        <f aca="false">Dados_2020!$E$66</f>
        <v>45995</v>
      </c>
      <c r="G72" s="44" t="n">
        <f aca="false">F72-E72</f>
        <v>9903.02386957876</v>
      </c>
      <c r="H72" s="44" t="n">
        <f aca="false">0.5*(SUMPRODUCT(B_2020!E66:BT66,$E$88:$BT$88)-SUMPRODUCT(B_2010!E66:BT66,$E$88:$BT$88))</f>
        <v>4596.40414580463</v>
      </c>
      <c r="I72" s="44" t="n">
        <f aca="false">0.5*(SUMPRODUCT(B_2020!E66:BT66,$E$89:$BT$89)+SUMPRODUCT(B_2010!E66:BT66,$E$89:$BT$89))</f>
        <v>5306.61972377411</v>
      </c>
      <c r="J72" s="44" t="n">
        <f aca="false">H72+I72-G72</f>
        <v>0</v>
      </c>
    </row>
    <row r="73" customFormat="false" ht="15" hidden="false" customHeight="false" outlineLevel="0" collapsed="false">
      <c r="B73" s="14" t="s">
        <v>185</v>
      </c>
      <c r="C73" s="7" t="s">
        <v>186</v>
      </c>
      <c r="D73" s="14" t="n">
        <v>61</v>
      </c>
      <c r="E73" s="42" t="n">
        <f aca="false">Dados_2010!$E$67*$P$10</f>
        <v>842891.464149949</v>
      </c>
      <c r="F73" s="42" t="n">
        <f aca="false">Dados_2020!$E$67</f>
        <v>908212</v>
      </c>
      <c r="G73" s="42" t="n">
        <f aca="false">F73-E73</f>
        <v>65320.5358500509</v>
      </c>
      <c r="H73" s="42" t="n">
        <f aca="false">0.5*(SUMPRODUCT(B_2020!E67:BT67,$E$88:$BT$88)-SUMPRODUCT(B_2010!E67:BT67,$E$88:$BT$88))</f>
        <v>-2510.26443722169</v>
      </c>
      <c r="I73" s="42" t="n">
        <f aca="false">0.5*(SUMPRODUCT(B_2020!E67:BT67,$E$89:$BT$89)+SUMPRODUCT(B_2010!E67:BT67,$E$89:$BT$89))</f>
        <v>67830.8002872729</v>
      </c>
      <c r="J73" s="42" t="n">
        <f aca="false">H73+I73-G73</f>
        <v>3.20142135024071E-010</v>
      </c>
    </row>
    <row r="74" customFormat="false" ht="15" hidden="false" customHeight="false" outlineLevel="0" collapsed="false">
      <c r="B74" s="17" t="s">
        <v>187</v>
      </c>
      <c r="C74" s="9" t="s">
        <v>188</v>
      </c>
      <c r="D74" s="17" t="n">
        <v>62</v>
      </c>
      <c r="E74" s="44" t="n">
        <f aca="false">Dados_2010!$E$68*$P$10</f>
        <v>276977.77024518</v>
      </c>
      <c r="F74" s="44" t="n">
        <f aca="false">Dados_2020!$E$68</f>
        <v>383823</v>
      </c>
      <c r="G74" s="44" t="n">
        <f aca="false">F74-E74</f>
        <v>106845.22975482</v>
      </c>
      <c r="H74" s="44" t="n">
        <f aca="false">0.5*(SUMPRODUCT(B_2020!E68:BT68,$E$88:$BT$88)-SUMPRODUCT(B_2010!E68:BT68,$E$88:$BT$88))</f>
        <v>-1005.68883025268</v>
      </c>
      <c r="I74" s="44" t="n">
        <f aca="false">0.5*(SUMPRODUCT(B_2020!E68:BT68,$E$89:$BT$89)+SUMPRODUCT(B_2010!E68:BT68,$E$89:$BT$89))</f>
        <v>107850.918585073</v>
      </c>
      <c r="J74" s="44" t="n">
        <f aca="false">H74+I74-G74</f>
        <v>0</v>
      </c>
    </row>
    <row r="75" customFormat="false" ht="15" hidden="false" customHeight="false" outlineLevel="0" collapsed="false">
      <c r="B75" s="14" t="s">
        <v>189</v>
      </c>
      <c r="C75" s="7" t="s">
        <v>190</v>
      </c>
      <c r="D75" s="14" t="n">
        <v>63</v>
      </c>
      <c r="E75" s="42" t="n">
        <f aca="false">Dados_2010!$E$69*$P$10</f>
        <v>99230.7477381646</v>
      </c>
      <c r="F75" s="42" t="n">
        <f aca="false">Dados_2020!$E$69</f>
        <v>140243</v>
      </c>
      <c r="G75" s="42" t="n">
        <f aca="false">F75-E75</f>
        <v>41012.2522618354</v>
      </c>
      <c r="H75" s="42" t="n">
        <f aca="false">0.5*(SUMPRODUCT(B_2020!E69:BT69,$E$88:$BT$88)-SUMPRODUCT(B_2010!E69:BT69,$E$88:$BT$88))</f>
        <v>3215.64862915016</v>
      </c>
      <c r="I75" s="42" t="n">
        <f aca="false">0.5*(SUMPRODUCT(B_2020!E69:BT69,$E$89:$BT$89)+SUMPRODUCT(B_2010!E69:BT69,$E$89:$BT$89))</f>
        <v>37796.6036326853</v>
      </c>
      <c r="J75" s="42" t="n">
        <f aca="false">H75+I75-G75</f>
        <v>0</v>
      </c>
    </row>
    <row r="76" customFormat="false" ht="15" hidden="false" customHeight="false" outlineLevel="0" collapsed="false">
      <c r="B76" s="17" t="s">
        <v>191</v>
      </c>
      <c r="C76" s="9" t="s">
        <v>192</v>
      </c>
      <c r="D76" s="17" t="n">
        <v>64</v>
      </c>
      <c r="E76" s="44" t="n">
        <f aca="false">Dados_2010!$E$70*$P$10</f>
        <v>179845.615786669</v>
      </c>
      <c r="F76" s="44" t="n">
        <f aca="false">Dados_2020!$E$70</f>
        <v>245095</v>
      </c>
      <c r="G76" s="44" t="n">
        <f aca="false">F76-E76</f>
        <v>65249.3842133312</v>
      </c>
      <c r="H76" s="44" t="n">
        <f aca="false">0.5*(SUMPRODUCT(B_2020!E70:BT70,$E$88:$BT$88)-SUMPRODUCT(B_2010!E70:BT70,$E$88:$BT$88))</f>
        <v>-289.315763986349</v>
      </c>
      <c r="I76" s="44" t="n">
        <f aca="false">0.5*(SUMPRODUCT(B_2020!E70:BT70,$E$89:$BT$89)+SUMPRODUCT(B_2010!E70:BT70,$E$89:$BT$89))</f>
        <v>65538.6999773177</v>
      </c>
      <c r="J76" s="44" t="n">
        <f aca="false">H76+I76-G76</f>
        <v>0</v>
      </c>
    </row>
    <row r="77" customFormat="false" ht="15" hidden="false" customHeight="false" outlineLevel="0" collapsed="false">
      <c r="B77" s="14" t="s">
        <v>193</v>
      </c>
      <c r="C77" s="7" t="s">
        <v>194</v>
      </c>
      <c r="D77" s="14" t="n">
        <v>65</v>
      </c>
      <c r="E77" s="42" t="n">
        <f aca="false">Dados_2010!$E$71*$P$10</f>
        <v>199105.342502425</v>
      </c>
      <c r="F77" s="42" t="n">
        <f aca="false">Dados_2020!$E$71</f>
        <v>317470</v>
      </c>
      <c r="G77" s="42" t="n">
        <f aca="false">F77-E77</f>
        <v>118364.657497575</v>
      </c>
      <c r="H77" s="42" t="n">
        <f aca="false">0.5*(SUMPRODUCT(B_2020!E71:BT71,$E$88:$BT$88)-SUMPRODUCT(B_2010!E71:BT71,$E$88:$BT$88))</f>
        <v>5989.23164332353</v>
      </c>
      <c r="I77" s="42" t="n">
        <f aca="false">0.5*(SUMPRODUCT(B_2020!E71:BT71,$E$89:$BT$89)+SUMPRODUCT(B_2010!E71:BT71,$E$89:$BT$89))</f>
        <v>112375.425854251</v>
      </c>
      <c r="J77" s="42" t="n">
        <f aca="false">H77+I77-G77</f>
        <v>0</v>
      </c>
    </row>
    <row r="78" customFormat="false" ht="15" hidden="false" customHeight="false" outlineLevel="0" collapsed="false">
      <c r="B78" s="17" t="s">
        <v>195</v>
      </c>
      <c r="C78" s="9" t="s">
        <v>196</v>
      </c>
      <c r="D78" s="17" t="n">
        <v>66</v>
      </c>
      <c r="E78" s="44" t="n">
        <f aca="false">Dados_2010!$E$72*$P$10</f>
        <v>40543.221245971</v>
      </c>
      <c r="F78" s="44" t="n">
        <f aca="false">Dados_2020!$E$72</f>
        <v>39301</v>
      </c>
      <c r="G78" s="44" t="n">
        <f aca="false">F78-E78</f>
        <v>-1242.22124597101</v>
      </c>
      <c r="H78" s="44" t="n">
        <f aca="false">0.5*(SUMPRODUCT(B_2020!E72:BT72,$E$88:$BT$88)-SUMPRODUCT(B_2010!E72:BT72,$E$88:$BT$88))</f>
        <v>-1183.00829594564</v>
      </c>
      <c r="I78" s="44" t="n">
        <f aca="false">0.5*(SUMPRODUCT(B_2020!E72:BT72,$E$89:$BT$89)+SUMPRODUCT(B_2010!E72:BT72,$E$89:$BT$89))</f>
        <v>-59.2129500253557</v>
      </c>
      <c r="J78" s="44" t="n">
        <f aca="false">H78+I78-G78</f>
        <v>9.32232069317251E-012</v>
      </c>
    </row>
    <row r="79" customFormat="false" ht="15" hidden="false" customHeight="false" outlineLevel="0" collapsed="false">
      <c r="B79" s="14" t="s">
        <v>197</v>
      </c>
      <c r="C79" s="7" t="s">
        <v>198</v>
      </c>
      <c r="D79" s="14" t="n">
        <v>67</v>
      </c>
      <c r="E79" s="42" t="n">
        <f aca="false">Dados_2010!$E$73*$P$10</f>
        <v>181458.713606104</v>
      </c>
      <c r="F79" s="42" t="n">
        <f aca="false">Dados_2020!$E$73</f>
        <v>172219</v>
      </c>
      <c r="G79" s="42" t="n">
        <f aca="false">F79-E79</f>
        <v>-9239.7136061037</v>
      </c>
      <c r="H79" s="42" t="n">
        <f aca="false">0.5*(SUMPRODUCT(B_2020!E73:BT73,$E$88:$BT$88)-SUMPRODUCT(B_2010!E73:BT73,$E$88:$BT$88))</f>
        <v>1598.50947613802</v>
      </c>
      <c r="I79" s="42" t="n">
        <f aca="false">0.5*(SUMPRODUCT(B_2020!E73:BT73,$E$89:$BT$89)+SUMPRODUCT(B_2010!E73:BT73,$E$89:$BT$89))</f>
        <v>-10838.2230822417</v>
      </c>
      <c r="J79" s="42" t="n">
        <f aca="false">H79+I79-G79</f>
        <v>0</v>
      </c>
    </row>
    <row r="80" customFormat="false" ht="15" hidden="false" customHeight="false" outlineLevel="0" collapsed="false">
      <c r="B80" s="17" t="s">
        <v>199</v>
      </c>
      <c r="C80" s="9" t="s">
        <v>200</v>
      </c>
      <c r="D80" s="17" t="n">
        <v>68</v>
      </c>
      <c r="E80" s="44" t="n">
        <f aca="false">Dados_2010!$E$74*$P$10</f>
        <v>70186.2863528475</v>
      </c>
      <c r="F80" s="44" t="n">
        <f aca="false">Dados_2020!$E$74</f>
        <v>59474</v>
      </c>
      <c r="G80" s="44" t="n">
        <f aca="false">F80-E80</f>
        <v>-10712.2863528475</v>
      </c>
      <c r="H80" s="44" t="n">
        <f aca="false">0.5*(SUMPRODUCT(B_2020!E74:BT74,$E$88:$BT$88)-SUMPRODUCT(B_2010!E74:BT74,$E$88:$BT$88))</f>
        <v>0</v>
      </c>
      <c r="I80" s="44" t="n">
        <f aca="false">0.5*(SUMPRODUCT(B_2020!E74:BT74,$E$89:$BT$89)+SUMPRODUCT(B_2010!E74:BT74,$E$89:$BT$89))</f>
        <v>-10712.2863528475</v>
      </c>
      <c r="J80" s="44" t="n">
        <f aca="false">H80+I80-G80</f>
        <v>0</v>
      </c>
    </row>
    <row r="81" customFormat="false" ht="15" hidden="false" customHeight="false" outlineLevel="0" collapsed="false">
      <c r="B81" s="29"/>
      <c r="C81" s="30" t="s">
        <v>219</v>
      </c>
      <c r="D81" s="29"/>
      <c r="E81" s="46" t="n">
        <f aca="false">SUM(E13:E80)</f>
        <v>11483357.9957135</v>
      </c>
      <c r="F81" s="46" t="n">
        <f aca="false">SUM(F13:F80)</f>
        <v>13306199</v>
      </c>
      <c r="G81" s="46" t="n">
        <f aca="false">SUM(G13:G80)</f>
        <v>1822841.00428652</v>
      </c>
      <c r="H81" s="46" t="n">
        <f aca="false">SUM(H13:H80)</f>
        <v>218545.26358122</v>
      </c>
      <c r="I81" s="46" t="n">
        <f aca="false">SUM(I13:I80)</f>
        <v>1604295.7407053</v>
      </c>
      <c r="J81" s="46" t="n">
        <f aca="false">SUM(J13:J80)</f>
        <v>-3.61296770279296E-010</v>
      </c>
    </row>
    <row r="83" customFormat="false" ht="15" hidden="false" customHeight="false" outlineLevel="0" collapsed="false">
      <c r="B83" s="4" t="s">
        <v>254</v>
      </c>
    </row>
    <row r="84" customFormat="false" ht="27" hidden="false" customHeight="true" outlineLevel="0" collapsed="false">
      <c r="B84" s="38" t="s">
        <v>361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customFormat="false" ht="13.5" hidden="false" customHeight="true" outlineLevel="0" collapsed="false">
      <c r="B85" s="38" t="s">
        <v>362</v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customFormat="false" ht="13.5" hidden="false" customHeight="true" outlineLevel="0" collapsed="false">
      <c r="B86" s="38" t="s">
        <v>363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8" customFormat="false" ht="15" hidden="false" customHeight="false" outlineLevel="0" collapsed="false">
      <c r="C88" s="41" t="s">
        <v>364</v>
      </c>
      <c r="E88" s="47" t="n">
        <f aca="false">Dados_2010!$P$7*$P$10+Dados_2020!$P$7</f>
        <v>435711.608800203</v>
      </c>
      <c r="F88" s="47" t="n">
        <f aca="false">Dados_2010!$P$8*$P$10+Dados_2020!$P$8</f>
        <v>110792.326365887</v>
      </c>
      <c r="G88" s="47" t="n">
        <f aca="false">Dados_2010!$P$9*$P$10+Dados_2020!$P$9</f>
        <v>39614.1186208279</v>
      </c>
      <c r="H88" s="47" t="n">
        <f aca="false">Dados_2010!$P$10*$P$10+Dados_2020!$P$10</f>
        <v>3571.35969975856</v>
      </c>
      <c r="I88" s="47" t="n">
        <f aca="false">Dados_2010!$P$11*$P$10+Dados_2020!$P$11</f>
        <v>168800.952104686</v>
      </c>
      <c r="J88" s="47" t="n">
        <f aca="false">Dados_2010!$P$12*$P$10+Dados_2020!$P$12</f>
        <v>193132.598135152</v>
      </c>
      <c r="K88" s="47" t="n">
        <f aca="false">Dados_2010!$P$13*$P$10+Dados_2020!$P$13</f>
        <v>15749.6582953773</v>
      </c>
      <c r="L88" s="47" t="n">
        <f aca="false">Dados_2010!$P$14*$P$10+Dados_2020!$P$14</f>
        <v>513672.373744536</v>
      </c>
      <c r="M88" s="47" t="n">
        <f aca="false">Dados_2010!$P$15*$P$10+Dados_2020!$P$15</f>
        <v>100859.502726539</v>
      </c>
      <c r="N88" s="47" t="n">
        <f aca="false">Dados_2010!$P$16*$P$10+Dados_2020!$P$16</f>
        <v>437916.672062443</v>
      </c>
      <c r="O88" s="47" t="n">
        <f aca="false">Dados_2010!$P$17*$P$10+Dados_2020!$P$17</f>
        <v>115934.100210356</v>
      </c>
      <c r="P88" s="47" t="n">
        <f aca="false">Dados_2010!$P$18*$P$10+Dados_2020!$P$18</f>
        <v>38077.3696645471</v>
      </c>
      <c r="Q88" s="47" t="n">
        <f aca="false">Dados_2010!$P$19*$P$10+Dados_2020!$P$19</f>
        <v>51306.8399769111</v>
      </c>
      <c r="R88" s="47" t="n">
        <f aca="false">Dados_2010!$P$20*$P$10+Dados_2020!$P$20</f>
        <v>132692.827412102</v>
      </c>
      <c r="S88" s="47" t="n">
        <f aca="false">Dados_2010!$P$21*$P$10+Dados_2020!$P$21</f>
        <v>76672.9554481273</v>
      </c>
      <c r="T88" s="47" t="n">
        <f aca="false">Dados_2010!$P$22*$P$10+Dados_2020!$P$22</f>
        <v>21733.9148167768</v>
      </c>
      <c r="U88" s="47" t="n">
        <f aca="false">Dados_2010!$P$23*$P$10+Dados_2020!$P$23</f>
        <v>77954.0816852489</v>
      </c>
      <c r="V88" s="47" t="n">
        <f aca="false">Dados_2010!$P$24*$P$10+Dados_2020!$P$24</f>
        <v>2040.88010910845</v>
      </c>
      <c r="W88" s="47" t="n">
        <f aca="false">Dados_2010!$P$25*$P$10+Dados_2020!$P$25</f>
        <v>245970.636981086</v>
      </c>
      <c r="X88" s="47" t="n">
        <f aca="false">Dados_2010!$P$26*$P$10+Dados_2020!$P$26</f>
        <v>62785.0486893698</v>
      </c>
      <c r="Y88" s="47" t="n">
        <f aca="false">Dados_2010!$P$27*$P$10+Dados_2020!$P$27</f>
        <v>40277.9749973094</v>
      </c>
      <c r="Z88" s="47" t="n">
        <f aca="false">Dados_2010!$P$28*$P$10+Dados_2020!$P$28</f>
        <v>24210.7578972601</v>
      </c>
      <c r="AA88" s="47" t="n">
        <f aca="false">Dados_2010!$P$29*$P$10+Dados_2020!$P$29</f>
        <v>79954.1536600895</v>
      </c>
      <c r="AB88" s="47" t="n">
        <f aca="false">Dados_2010!$P$30*$P$10+Dados_2020!$P$30</f>
        <v>112068.019033951</v>
      </c>
      <c r="AC88" s="47" t="n">
        <f aca="false">Dados_2010!$P$31*$P$10+Dados_2020!$P$31</f>
        <v>53215.5392962267</v>
      </c>
      <c r="AD88" s="47" t="n">
        <f aca="false">Dados_2010!$P$32*$P$10+Dados_2020!$P$32</f>
        <v>22931.8076188084</v>
      </c>
      <c r="AE88" s="47" t="n">
        <f aca="false">Dados_2010!$P$33*$P$10+Dados_2020!$P$33</f>
        <v>67038.7471663584</v>
      </c>
      <c r="AF88" s="47" t="n">
        <f aca="false">Dados_2010!$P$34*$P$10+Dados_2020!$P$34</f>
        <v>47079.2090897439</v>
      </c>
      <c r="AG88" s="47" t="n">
        <f aca="false">Dados_2010!$P$35*$P$10+Dados_2020!$P$35</f>
        <v>66923.8679680082</v>
      </c>
      <c r="AH88" s="47" t="n">
        <f aca="false">Dados_2010!$P$36*$P$10+Dados_2020!$P$36</f>
        <v>156788.722990355</v>
      </c>
      <c r="AI88" s="47" t="n">
        <f aca="false">Dados_2010!$P$37*$P$10+Dados_2020!$P$37</f>
        <v>102744.399496432</v>
      </c>
      <c r="AJ88" s="47" t="n">
        <f aca="false">Dados_2010!$P$38*$P$10+Dados_2020!$P$38</f>
        <v>214797.24688994</v>
      </c>
      <c r="AK88" s="47" t="n">
        <f aca="false">Dados_2010!$P$39*$P$10+Dados_2020!$P$39</f>
        <v>414977.019728819</v>
      </c>
      <c r="AL88" s="47" t="n">
        <f aca="false">Dados_2010!$P$40*$P$10+Dados_2020!$P$40</f>
        <v>39961.6497309698</v>
      </c>
      <c r="AM88" s="47" t="n">
        <f aca="false">Dados_2010!$P$41*$P$10+Dados_2020!$P$41</f>
        <v>76297.3363143542</v>
      </c>
      <c r="AN88" s="47" t="n">
        <f aca="false">Dados_2010!$P$42*$P$10+Dados_2020!$P$42</f>
        <v>129320.253463269</v>
      </c>
      <c r="AO88" s="47" t="n">
        <f aca="false">Dados_2010!$P$43*$P$10+Dados_2020!$P$43</f>
        <v>25016.604556266</v>
      </c>
      <c r="AP88" s="47" t="n">
        <f aca="false">Dados_2010!$P$44*$P$10+Dados_2020!$P$44</f>
        <v>208670.357559835</v>
      </c>
      <c r="AQ88" s="47" t="n">
        <f aca="false">Dados_2010!$P$45*$P$10+Dados_2020!$P$45</f>
        <v>69350.3811548756</v>
      </c>
      <c r="AR88" s="47" t="n">
        <f aca="false">Dados_2010!$P$46*$P$10+Dados_2020!$P$46</f>
        <v>1146829.32574286</v>
      </c>
      <c r="AS88" s="47" t="n">
        <f aca="false">Dados_2010!$P$47*$P$10+Dados_2020!$P$47</f>
        <v>240000.56143277</v>
      </c>
      <c r="AT88" s="47" t="n">
        <f aca="false">Dados_2010!$P$48*$P$10+Dados_2020!$P$48</f>
        <v>256066.405604265</v>
      </c>
      <c r="AU88" s="47" t="n">
        <f aca="false">Dados_2010!$P$49*$P$10+Dados_2020!$P$49</f>
        <v>166654.147633741</v>
      </c>
      <c r="AV88" s="47" t="n">
        <f aca="false">Dados_2010!$P$50*$P$10+Dados_2020!$P$50</f>
        <v>15847.1156588175</v>
      </c>
      <c r="AW88" s="47" t="n">
        <f aca="false">Dados_2010!$P$51*$P$10+Dados_2020!$P$51</f>
        <v>23639.0177844792</v>
      </c>
      <c r="AX88" s="47" t="n">
        <f aca="false">Dados_2010!$P$52*$P$10+Dados_2020!$P$52</f>
        <v>74424.9901184329</v>
      </c>
      <c r="AY88" s="47" t="n">
        <f aca="false">Dados_2010!$P$53*$P$10+Dados_2020!$P$53</f>
        <v>15421.6386404538</v>
      </c>
      <c r="AZ88" s="47" t="n">
        <f aca="false">Dados_2010!$P$54*$P$10+Dados_2020!$P$54</f>
        <v>379118.123719522</v>
      </c>
      <c r="BA88" s="47" t="n">
        <f aca="false">Dados_2010!$P$55*$P$10+Dados_2020!$P$55</f>
        <v>29682.5494500265</v>
      </c>
      <c r="BB88" s="47" t="n">
        <f aca="false">Dados_2010!$P$56*$P$10+Dados_2020!$P$56</f>
        <v>4434.22341978616</v>
      </c>
      <c r="BC88" s="47" t="n">
        <f aca="false">Dados_2010!$P$57*$P$10+Dados_2020!$P$57</f>
        <v>229276.94682823</v>
      </c>
      <c r="BD88" s="47" t="n">
        <f aca="false">Dados_2010!$P$58*$P$10+Dados_2020!$P$58</f>
        <v>152586.724680844</v>
      </c>
      <c r="BE88" s="47" t="n">
        <f aca="false">Dados_2010!$P$59*$P$10+Dados_2020!$P$59</f>
        <v>632533.294142125</v>
      </c>
      <c r="BF88" s="47" t="n">
        <f aca="false">Dados_2010!$P$60*$P$10+Dados_2020!$P$60</f>
        <v>1047054.39557717</v>
      </c>
      <c r="BG88" s="47" t="n">
        <f aca="false">Dados_2010!$P$61*$P$10+Dados_2020!$P$61</f>
        <v>58221.3632708332</v>
      </c>
      <c r="BH88" s="47" t="n">
        <f aca="false">Dados_2010!$P$62*$P$10+Dados_2020!$P$62</f>
        <v>50516.5516330146</v>
      </c>
      <c r="BI88" s="47" t="n">
        <f aca="false">Dados_2010!$P$63*$P$10+Dados_2020!$P$63</f>
        <v>8353.2554303478</v>
      </c>
      <c r="BJ88" s="47" t="n">
        <f aca="false">Dados_2010!$P$64*$P$10+Dados_2020!$P$64</f>
        <v>10606.0187988526</v>
      </c>
      <c r="BK88" s="47" t="n">
        <f aca="false">Dados_2010!$P$65*$P$10+Dados_2020!$P$65</f>
        <v>97311.1539430274</v>
      </c>
      <c r="BL88" s="47" t="n">
        <f aca="false">Dados_2010!$P$66*$P$10+Dados_2020!$P$66</f>
        <v>922.544784025036</v>
      </c>
      <c r="BM88" s="47" t="n">
        <f aca="false">Dados_2010!$P$67*$P$10+Dados_2020!$P$67</f>
        <v>1697831.40201223</v>
      </c>
      <c r="BN88" s="47" t="n">
        <f aca="false">Dados_2010!$P$68*$P$10+Dados_2020!$P$68</f>
        <v>657318.43660438</v>
      </c>
      <c r="BO88" s="47" t="n">
        <f aca="false">Dados_2010!$P$69*$P$10+Dados_2020!$P$69</f>
        <v>208999.96977917</v>
      </c>
      <c r="BP88" s="47" t="n">
        <f aca="false">Dados_2010!$P$70*$P$10+Dados_2020!$P$70</f>
        <v>423944.804531633</v>
      </c>
      <c r="BQ88" s="47" t="n">
        <f aca="false">Dados_2010!$P$71*$P$10+Dados_2020!$P$71</f>
        <v>456060.907733078</v>
      </c>
      <c r="BR88" s="47" t="n">
        <f aca="false">Dados_2010!$P$72*$P$10+Dados_2020!$P$72</f>
        <v>64718.1930400442</v>
      </c>
      <c r="BS88" s="47" t="n">
        <f aca="false">Dados_2010!$P$73*$P$10+Dados_2020!$P$73</f>
        <v>296462.884778649</v>
      </c>
      <c r="BT88" s="47" t="n">
        <f aca="false">Dados_2010!$P$74*$P$10+Dados_2020!$P$74</f>
        <v>129660.286352848</v>
      </c>
    </row>
    <row r="89" customFormat="false" ht="15" hidden="false" customHeight="false" outlineLevel="0" collapsed="false">
      <c r="C89" s="41" t="s">
        <v>365</v>
      </c>
      <c r="E89" s="47" t="n">
        <f aca="false">Dados_2020!$P$7-Dados_2010!$P$7*$P$10</f>
        <v>183014.978263531</v>
      </c>
      <c r="F89" s="47" t="n">
        <f aca="false">Dados_2020!$P$8-Dados_2010!$P$8*$P$10</f>
        <v>15146.292008884</v>
      </c>
      <c r="G89" s="47" t="n">
        <f aca="false">Dados_2020!$P$9-Dados_2010!$P$9*$P$10</f>
        <v>8049.90171508561</v>
      </c>
      <c r="H89" s="47" t="n">
        <f aca="false">Dados_2020!$P$10-Dados_2010!$P$10*$P$10</f>
        <v>824.641639846539</v>
      </c>
      <c r="I89" s="47" t="n">
        <f aca="false">Dados_2020!$P$11-Dados_2010!$P$11*$P$10</f>
        <v>47061.1647950714</v>
      </c>
      <c r="J89" s="47" t="n">
        <f aca="false">Dados_2020!$P$12-Dados_2010!$P$12*$P$10</f>
        <v>37950.3215468684</v>
      </c>
      <c r="K89" s="47" t="n">
        <f aca="false">Dados_2020!$P$13-Dados_2010!$P$13*$P$10</f>
        <v>6713.89687088267</v>
      </c>
      <c r="L89" s="47" t="n">
        <f aca="false">Dados_2020!$P$14-Dados_2010!$P$14*$P$10</f>
        <v>126542.659764557</v>
      </c>
      <c r="M89" s="47" t="n">
        <f aca="false">Dados_2020!$P$15-Dados_2010!$P$15*$P$10</f>
        <v>-6246.22402954959</v>
      </c>
      <c r="N89" s="47" t="n">
        <f aca="false">Dados_2020!$P$16-Dados_2010!$P$16*$P$10</f>
        <v>70720.1062600563</v>
      </c>
      <c r="O89" s="47" t="n">
        <f aca="false">Dados_2020!$P$17-Dados_2010!$P$17*$P$10</f>
        <v>4956.45251525177</v>
      </c>
      <c r="P89" s="47" t="n">
        <f aca="false">Dados_2020!$P$18-Dados_2010!$P$18*$P$10</f>
        <v>-5072.15005251844</v>
      </c>
      <c r="Q89" s="47" t="n">
        <f aca="false">Dados_2020!$P$19-Dados_2010!$P$19*$P$10</f>
        <v>-5512.75258050621</v>
      </c>
      <c r="R89" s="47" t="n">
        <f aca="false">Dados_2020!$P$20-Dados_2010!$P$20*$P$10</f>
        <v>-18304.9863649778</v>
      </c>
      <c r="S89" s="47" t="n">
        <f aca="false">Dados_2020!$P$21-Dados_2010!$P$21*$P$10</f>
        <v>-11201.3458116313</v>
      </c>
      <c r="T89" s="47" t="n">
        <f aca="false">Dados_2020!$P$22-Dados_2010!$P$22*$P$10</f>
        <v>5006.08367347003</v>
      </c>
      <c r="U89" s="47" t="n">
        <f aca="false">Dados_2020!$P$23-Dados_2010!$P$23*$P$10</f>
        <v>18664.1035336215</v>
      </c>
      <c r="V89" s="47" t="n">
        <f aca="false">Dados_2020!$P$24-Dados_2010!$P$24*$P$10</f>
        <v>-931.698477489792</v>
      </c>
      <c r="W89" s="47" t="n">
        <f aca="false">Dados_2020!$P$25-Dados_2010!$P$25*$P$10</f>
        <v>23587.5002870384</v>
      </c>
      <c r="X89" s="47" t="n">
        <f aca="false">Dados_2020!$P$26-Dados_2010!$P$26*$P$10</f>
        <v>10122.5777609679</v>
      </c>
      <c r="Y89" s="47" t="n">
        <f aca="false">Dados_2020!$P$27-Dados_2010!$P$27*$P$10</f>
        <v>-721.78935609417</v>
      </c>
      <c r="Z89" s="47" t="n">
        <f aca="false">Dados_2020!$P$28-Dados_2010!$P$28*$P$10</f>
        <v>2353.74743234893</v>
      </c>
      <c r="AA89" s="47" t="n">
        <f aca="false">Dados_2020!$P$29-Dados_2010!$P$29*$P$10</f>
        <v>9993.36098655907</v>
      </c>
      <c r="AB89" s="47" t="n">
        <f aca="false">Dados_2020!$P$30-Dados_2010!$P$30*$P$10</f>
        <v>9366.52894213807</v>
      </c>
      <c r="AC89" s="47" t="n">
        <f aca="false">Dados_2020!$P$31-Dados_2010!$P$31*$P$10</f>
        <v>-122.939617135333</v>
      </c>
      <c r="AD89" s="47" t="n">
        <f aca="false">Dados_2020!$P$32-Dados_2010!$P$32*$P$10</f>
        <v>1539.44665676974</v>
      </c>
      <c r="AE89" s="47" t="n">
        <f aca="false">Dados_2020!$P$33-Dados_2010!$P$33*$P$10</f>
        <v>14154.16505223</v>
      </c>
      <c r="AF89" s="47" t="n">
        <f aca="false">Dados_2020!$P$34-Dados_2010!$P$34*$P$10</f>
        <v>13361.1171794955</v>
      </c>
      <c r="AG89" s="47" t="n">
        <f aca="false">Dados_2020!$P$35-Dados_2010!$P$35*$P$10</f>
        <v>-6480.50708382923</v>
      </c>
      <c r="AH89" s="47" t="n">
        <f aca="false">Dados_2020!$P$36-Dados_2010!$P$36*$P$10</f>
        <v>587.815382120374</v>
      </c>
      <c r="AI89" s="47" t="n">
        <f aca="false">Dados_2020!$P$37-Dados_2010!$P$37*$P$10</f>
        <v>-6772.35685812439</v>
      </c>
      <c r="AJ89" s="47" t="n">
        <f aca="false">Dados_2020!$P$38-Dados_2010!$P$38*$P$10</f>
        <v>-12249.4820636744</v>
      </c>
      <c r="AK89" s="47" t="n">
        <f aca="false">Dados_2020!$P$39-Dados_2010!$P$39*$P$10</f>
        <v>-105421.687460338</v>
      </c>
      <c r="AL89" s="47" t="n">
        <f aca="false">Dados_2020!$P$40-Dados_2010!$P$40*$P$10</f>
        <v>-20443.4827162263</v>
      </c>
      <c r="AM89" s="47" t="n">
        <f aca="false">Dados_2020!$P$41-Dados_2010!$P$41*$P$10</f>
        <v>-8582.1517881343</v>
      </c>
      <c r="AN89" s="47" t="n">
        <f aca="false">Dados_2020!$P$42-Dados_2010!$P$42*$P$10</f>
        <v>-2698.52346155133</v>
      </c>
      <c r="AO89" s="47" t="n">
        <f aca="false">Dados_2020!$P$43-Dados_2010!$P$43*$P$10</f>
        <v>2425.10026450158</v>
      </c>
      <c r="AP89" s="47" t="n">
        <f aca="false">Dados_2020!$P$44-Dados_2010!$P$44*$P$10</f>
        <v>33491.2184425123</v>
      </c>
      <c r="AQ89" s="47" t="n">
        <f aca="false">Dados_2020!$P$45-Dados_2010!$P$45*$P$10</f>
        <v>10646.8692478575</v>
      </c>
      <c r="AR89" s="47" t="n">
        <f aca="false">Dados_2020!$P$46-Dados_2010!$P$46*$P$10</f>
        <v>-145278.710192693</v>
      </c>
      <c r="AS89" s="47" t="n">
        <f aca="false">Dados_2020!$P$47-Dados_2010!$P$47*$P$10</f>
        <v>-11437.8516343917</v>
      </c>
      <c r="AT89" s="47" t="n">
        <f aca="false">Dados_2020!$P$48-Dados_2010!$P$48*$P$10</f>
        <v>47289.3287341575</v>
      </c>
      <c r="AU89" s="47" t="n">
        <f aca="false">Dados_2020!$P$49-Dados_2010!$P$49*$P$10</f>
        <v>-28198.7337866588</v>
      </c>
      <c r="AV89" s="47" t="n">
        <f aca="false">Dados_2020!$P$50-Dados_2010!$P$50*$P$10</f>
        <v>774.587816720725</v>
      </c>
      <c r="AW89" s="47" t="n">
        <f aca="false">Dados_2020!$P$51-Dados_2010!$P$51*$P$10</f>
        <v>-2476.47295559523</v>
      </c>
      <c r="AX89" s="47" t="n">
        <f aca="false">Dados_2020!$P$52-Dados_2010!$P$52*$P$10</f>
        <v>12404.9722300198</v>
      </c>
      <c r="AY89" s="47" t="n">
        <f aca="false">Dados_2020!$P$53-Dados_2010!$P$53*$P$10</f>
        <v>-964.242151347371</v>
      </c>
      <c r="AZ89" s="47" t="n">
        <f aca="false">Dados_2020!$P$54-Dados_2010!$P$54*$P$10</f>
        <v>23628.6877398944</v>
      </c>
      <c r="BA89" s="47" t="n">
        <f aca="false">Dados_2020!$P$55-Dados_2010!$P$55*$P$10</f>
        <v>-15890.8600481164</v>
      </c>
      <c r="BB89" s="47" t="n">
        <f aca="false">Dados_2020!$P$56-Dados_2010!$P$56*$P$10</f>
        <v>-397.946963410909</v>
      </c>
      <c r="BC89" s="47" t="n">
        <f aca="false">Dados_2020!$P$57-Dados_2010!$P$57*$P$10</f>
        <v>-17267.3012739187</v>
      </c>
      <c r="BD89" s="47" t="n">
        <f aca="false">Dados_2020!$P$58-Dados_2010!$P$58*$P$10</f>
        <v>44958.9234865828</v>
      </c>
      <c r="BE89" s="47" t="n">
        <f aca="false">Dados_2020!$P$59-Dados_2010!$P$59*$P$10</f>
        <v>49380.5273105354</v>
      </c>
      <c r="BF89" s="47" t="n">
        <f aca="false">Dados_2020!$P$60-Dados_2010!$P$60*$P$10</f>
        <v>171223.718091359</v>
      </c>
      <c r="BG89" s="47" t="n">
        <f aca="false">Dados_2020!$P$61-Dados_2010!$P$61*$P$10</f>
        <v>10428.2912561955</v>
      </c>
      <c r="BH89" s="47" t="n">
        <f aca="false">Dados_2020!$P$62-Dados_2010!$P$62*$P$10</f>
        <v>6383.06052809027</v>
      </c>
      <c r="BI89" s="47" t="n">
        <f aca="false">Dados_2020!$P$63-Dados_2010!$P$63*$P$10</f>
        <v>3742.10675648265</v>
      </c>
      <c r="BJ89" s="47" t="n">
        <f aca="false">Dados_2020!$P$64-Dados_2010!$P$64*$P$10</f>
        <v>3104.79835908745</v>
      </c>
      <c r="BK89" s="47" t="n">
        <f aca="false">Dados_2020!$P$65-Dados_2010!$P$65*$P$10</f>
        <v>8831.42284241485</v>
      </c>
      <c r="BL89" s="47" t="n">
        <f aca="false">Dados_2020!$P$66-Dados_2010!$P$66*$P$10</f>
        <v>171.996072975136</v>
      </c>
      <c r="BM89" s="47" t="n">
        <f aca="false">Dados_2020!$P$67-Dados_2010!$P$67*$P$10</f>
        <v>64656.9432329729</v>
      </c>
      <c r="BN89" s="47" t="n">
        <f aca="false">Dados_2020!$P$68-Dados_2010!$P$68*$P$10</f>
        <v>107684.585689194</v>
      </c>
      <c r="BO89" s="47" t="n">
        <f aca="false">Dados_2020!$P$69-Dados_2010!$P$69*$P$10</f>
        <v>35656.9521966685</v>
      </c>
      <c r="BP89" s="47" t="n">
        <f aca="false">Dados_2020!$P$70-Dados_2010!$P$70*$P$10</f>
        <v>65349.7571007874</v>
      </c>
      <c r="BQ89" s="47" t="n">
        <f aca="false">Dados_2020!$P$71-Dados_2010!$P$71*$P$10</f>
        <v>99689.3656827812</v>
      </c>
      <c r="BR89" s="47" t="n">
        <f aca="false">Dados_2020!$P$72-Dados_2010!$P$72*$P$10</f>
        <v>-504.604870341405</v>
      </c>
      <c r="BS89" s="47" t="n">
        <f aca="false">Dados_2020!$P$73-Dados_2010!$P$73*$P$10</f>
        <v>-14870.6814194223</v>
      </c>
      <c r="BT89" s="47" t="n">
        <f aca="false">Dados_2020!$P$74-Dados_2010!$P$74*$P$10</f>
        <v>-10712.2863528475</v>
      </c>
    </row>
  </sheetData>
  <mergeCells count="5">
    <mergeCell ref="B3:V3"/>
    <mergeCell ref="B6:V6"/>
    <mergeCell ref="B84:V84"/>
    <mergeCell ref="B85:V85"/>
    <mergeCell ref="B86:V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2026-07-24T01:33:07Z</dcterms:created>
  <dc:creator>openpyxl</dc:creator>
  <dc:description/>
  <dc:language>en-US</dc:language>
  <cp:lastModifiedBy/>
  <dcterms:modified xsi:type="dcterms:W3CDTF">2026-07-24T01:33:08Z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