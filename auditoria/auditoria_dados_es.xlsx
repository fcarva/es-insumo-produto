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apa" sheetId="1" state="visible" r:id="rId3"/>
    <sheet name="01_Setores" sheetId="2" state="visible" r:id="rId4"/>
    <sheet name="02_Multiplicadores" sheetId="3" state="visible" r:id="rId5"/>
    <sheet name="03_DemandaFinal" sheetId="4" state="visible" r:id="rId6"/>
    <sheet name="04_Cluster" sheetId="5" state="visible" r:id="rId7"/>
    <sheet name="05_Estados" sheetId="6" state="visible" r:id="rId8"/>
    <sheet name="06_Spillover" sheetId="7" state="visible" r:id="rId9"/>
    <sheet name="07_Destino" sheetId="8" state="visible" r:id="rId10"/>
    <sheet name="08_Micro" sheetId="9" state="visible" r:id="rId11"/>
    <sheet name="09_Micro_LQ" sheetId="10" state="visible" r:id="rId12"/>
    <sheet name="10_Trajetoria" sheetId="11" state="visible" r:id="rId13"/>
    <sheet name="11_Camada2015" sheetId="12" state="visible" r:id="rId14"/>
    <sheet name="12_Verificacao" sheetId="13" state="visible" r:id="rId15"/>
    <sheet name="13_Integridade" sheetId="14" state="visible" r:id="rId16"/>
    <sheet name="14_Referencias" sheetId="15" state="visible" r:id="rId17"/>
    <sheet name="15_Defeitos" sheetId="16" state="visible" r:id="rId18"/>
    <sheet name="16_Provenienci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<sst xmlns="http://schemas.openxmlformats.org/spreadsheetml/2006/main" count="853" uniqueCount="594">
  <si>
    <t xml:space="preserve">Auditoria dos dados do artigo</t>
  </si>
  <si>
    <t xml:space="preserve">Estrutura Produtiva do Espírito Santo: uma análise de insumo-produto</t>
  </si>
  <si>
    <t xml:space="preserve">Autor</t>
  </si>
  <si>
    <t xml:space="preserve">Felipe Carvalho — PPGEco/UFES</t>
  </si>
  <si>
    <t xml:space="preserve">Orientador</t>
  </si>
  <si>
    <t xml:space="preserve">Prof. Dr. Celso Bissoli Sessa</t>
  </si>
  <si>
    <t xml:space="preserve">Disciplina</t>
  </si>
  <si>
    <t xml:space="preserve">Análise de Insumo-Produto — 2026/1</t>
  </si>
  <si>
    <t xml:space="preserve">Data</t>
  </si>
  <si>
    <t xml:space="preserve">julho de 2026</t>
  </si>
  <si>
    <t xml:space="preserve">Objeto</t>
  </si>
  <si>
    <t xml:space="preserve">MIP inter-regional ES × restante do Brasil (2008); matriz interestadual 27 UFs (2008); série nacional Nível 68 (2010–2021); sistema inter-regional das 10 microrregiões de planejamento (2015)</t>
  </si>
  <si>
    <t xml:space="preserve">Convenção</t>
  </si>
  <si>
    <t xml:space="preserve">spillover/feedback de Isard–Miller-Blair, variante V3 (inversa particionada)</t>
  </si>
  <si>
    <t xml:space="preserve">Proveniência dos dados</t>
  </si>
  <si>
    <t xml:space="preserve">Todos os números do artigo são reproduzíveis a partir dos CSVs de resultado em pesquisa/outputs/ (versionados no git), transcritos aqui aba a aba, e recomputados por fórmula na aba 12_Verificacao. As matrizes-fonte cruas (MIP ES–RB 2008/2015, séries do Nível 68, planilhas do IJSN/CECEG) NÃO estão no repositório — ficam na máquina do autor. Portanto esta auditoria confere os resultados publicados contra os artefatos derivados versionados; a re-execução do zero dos scripts exige re-suprir as matrizes-fonte.</t>
  </si>
  <si>
    <t xml:space="preserve">Guia das abas</t>
  </si>
  <si>
    <t xml:space="preserve">Aba</t>
  </si>
  <si>
    <t xml:space="preserve">Conteúdo</t>
  </si>
  <si>
    <t xml:space="preserve">01_Setores</t>
  </si>
  <si>
    <t xml:space="preserve">Resultados setoriais do ES: multiplicador, vazamentos e ligações R-H (26 setores)</t>
  </si>
  <si>
    <t xml:space="preserve">02_Multiplicadores</t>
  </si>
  <si>
    <t xml:space="preserve">Multiplicadores tipos I e II, ligações e ligações puras (26 setores)</t>
  </si>
  <si>
    <t xml:space="preserve">03_DemandaFinal</t>
  </si>
  <si>
    <t xml:space="preserve">Decomposição da produção e do emprego pelos componentes da demanda final</t>
  </si>
  <si>
    <t xml:space="preserve">04_Cluster</t>
  </si>
  <si>
    <t xml:space="preserve">O ES entre os estados de crescimento dinâmico e o núcleo SP/RJ</t>
  </si>
  <si>
    <t xml:space="preserve">05_Estados</t>
  </si>
  <si>
    <t xml:space="preserve">As 27 UFs: cluster, vazamento e abertura; métricas-resumo</t>
  </si>
  <si>
    <t xml:space="preserve">06_Spillover</t>
  </si>
  <si>
    <t xml:space="preserve">Injeção, spillover, feedback e produção retida (agregados)</t>
  </si>
  <si>
    <t xml:space="preserve">07_Destino</t>
  </si>
  <si>
    <t xml:space="preserve">Destino interestadual do spillover (26 UFs) e concentração no Sudeste</t>
  </si>
  <si>
    <t xml:space="preserve">08_Micro</t>
  </si>
  <si>
    <t xml:space="preserve">Multiplicadores e retenção por microrregião (2015) + extração hipotética</t>
  </si>
  <si>
    <t xml:space="preserve">09_Micro_LQ</t>
  </si>
  <si>
    <t xml:space="preserve">Quocientes locacionais: 35 setores × 10 microrregiões (2015)</t>
  </si>
  <si>
    <t xml:space="preserve">10_Trajetoria</t>
  </si>
  <si>
    <t xml:space="preserve">Setores de base na estrutura nacional, 2010–2021 (série Nível 68)</t>
  </si>
  <si>
    <t xml:space="preserve">11_Camada2015</t>
  </si>
  <si>
    <t xml:space="preserve">Camada 2015 — regionalização CILQ: registro documental</t>
  </si>
  <si>
    <t xml:space="preserve">12_Verificacao</t>
  </si>
  <si>
    <t xml:space="preserve">Verificação número-a-número: artigo ↔ fonte, com recomputação viva</t>
  </si>
  <si>
    <t xml:space="preserve">13_Integridade</t>
  </si>
  <si>
    <t xml:space="preserve">Integridade contábil e reprodutibilidade</t>
  </si>
  <si>
    <t xml:space="preserve">14_Referencias</t>
  </si>
  <si>
    <t xml:space="preserve">Integridade das referências bibliográficas</t>
  </si>
  <si>
    <t xml:space="preserve">15_Defeitos</t>
  </si>
  <si>
    <t xml:space="preserve">Defeitos encontrados na auditoria e status das correções</t>
  </si>
  <si>
    <t xml:space="preserve">16_Proveniencia</t>
  </si>
  <si>
    <t xml:space="preserve">Mapa script → output → o que computa</t>
  </si>
  <si>
    <t xml:space="preserve">Legenda de células</t>
  </si>
  <si>
    <t xml:space="preserve">célula</t>
  </si>
  <si>
    <t xml:space="preserve">Amarelo-pastel, texto azul — entrada editável (parâmetros de cenário)</t>
  </si>
  <si>
    <t xml:space="preserve">Cinza-quente — parâmetro lido da MIP ou do CSV de origem</t>
  </si>
  <si>
    <t xml:space="preserve">Verde-pastel — linhas-síntese, totais e médias</t>
  </si>
  <si>
    <t xml:space="preserve">Sem preenchimento — fórmula viva sobre as abas de dados</t>
  </si>
  <si>
    <t xml:space="preserve">Resultados setoriais do ES (26 setores, 2008)</t>
  </si>
  <si>
    <t xml:space="preserve">Fonte: 01_es_br_base.py → outputs/es_setores_resultados.csv. Vazamento = parcela do multiplicador que se realiza fora do ES. Ligações de Rasmussen-Hirschman: para trás pela inversa de Leontief, para frente pela inversa de Ghosh.</t>
  </si>
  <si>
    <t xml:space="preserve">Síntese</t>
  </si>
  <si>
    <t xml:space="preserve">•  As duas últimas linhas são fórmulas: média simples e média ponderada pelo VBP.</t>
  </si>
  <si>
    <t xml:space="preserve">•  Vazamento médio de produção: 24,9% (simples) e 22,9% (ponderado) — os dois valores do artigo.</t>
  </si>
  <si>
    <t xml:space="preserve">Setor</t>
  </si>
  <si>
    <t xml:space="preserve">Mult. produção</t>
  </si>
  <si>
    <t xml:space="preserve">Retido no ES</t>
  </si>
  <si>
    <t xml:space="preserve">Vazado p/ RB</t>
  </si>
  <si>
    <t xml:space="preserve">Vazam. produção (%)</t>
  </si>
  <si>
    <t xml:space="preserve">Mult. emprego</t>
  </si>
  <si>
    <t xml:space="preserve">Vazam. emprego (%)</t>
  </si>
  <si>
    <t xml:space="preserve">Ligação trás</t>
  </si>
  <si>
    <t xml:space="preserve">Ligação frente</t>
  </si>
  <si>
    <t xml:space="preserve">VBP (R$ mi)</t>
  </si>
  <si>
    <t xml:space="preserve">Agricultura, silvicultura, exploração florestal</t>
  </si>
  <si>
    <t xml:space="preserve">Pecuária e pesca</t>
  </si>
  <si>
    <t xml:space="preserve">Mineração</t>
  </si>
  <si>
    <t xml:space="preserve">Alimentos, bebidas e fumo</t>
  </si>
  <si>
    <t xml:space="preserve">Têxtil, vestuário e calçados</t>
  </si>
  <si>
    <t xml:space="preserve">Madeira, papel e impressão</t>
  </si>
  <si>
    <t xml:space="preserve">Refino de petróleo, coque e álcool</t>
  </si>
  <si>
    <t xml:space="preserve">Outros produtos químicos e farmacêuticos</t>
  </si>
  <si>
    <t xml:space="preserve">Artigos de borracha e plástico</t>
  </si>
  <si>
    <t xml:space="preserve">Cimento e outros produtos de minerais não-metálicos</t>
  </si>
  <si>
    <t xml:space="preserve">Metalurgia</t>
  </si>
  <si>
    <t xml:space="preserve">Máquinas e equipamentos</t>
  </si>
  <si>
    <t xml:space="preserve">Material elétrico e eletrônicos</t>
  </si>
  <si>
    <t xml:space="preserve">Material de transporte</t>
  </si>
  <si>
    <t xml:space="preserve">Indústrias diversas</t>
  </si>
  <si>
    <t xml:space="preserve">Eletricidade e gás, água, esgoto e limpeza urbana</t>
  </si>
  <si>
    <t xml:space="preserve">Construção</t>
  </si>
  <si>
    <t xml:space="preserve">Comércio</t>
  </si>
  <si>
    <t xml:space="preserve">Transporte, armazenagem e correio</t>
  </si>
  <si>
    <t xml:space="preserve">Serviços privados</t>
  </si>
  <si>
    <t xml:space="preserve">Intermediação financeira e seguros</t>
  </si>
  <si>
    <t xml:space="preserve">Serviços imobiliários e aluguel</t>
  </si>
  <si>
    <t xml:space="preserve">Serviços de alojamento e alimentação</t>
  </si>
  <si>
    <t xml:space="preserve">Educação mercantil e pública</t>
  </si>
  <si>
    <t xml:space="preserve">Saúde mercantil e pública</t>
  </si>
  <si>
    <t xml:space="preserve">Administração pública e seguridade social</t>
  </si>
  <si>
    <t xml:space="preserve">Média (simples)</t>
  </si>
  <si>
    <t xml:space="preserve">Média (ponderada pelo VBP)</t>
  </si>
  <si>
    <t xml:space="preserve">Multiplicadores dos 26 setores do ES, tipos I e II (2008)</t>
  </si>
  <si>
    <t xml:space="preserve">Fonte: 17_caracterizacao_es_2008.py → outputs/es_caracterizacao_2008.csv. Tipo II fecha o modelo para as famílias do ES. Emprego em ocupações por R$ 1 milhão de demanda final; renda em R$ por R$ 1. PTL = ligação pura total padronizada pela média dos 26 setores.</t>
  </si>
  <si>
    <t xml:space="preserve">•  Fonte da Tabela 1 do artigo, gerada por 27_tab_multiplicadores.py.</t>
  </si>
  <si>
    <t xml:space="preserve">•  A linha de média é fórmula: produção 1,76/2,45; emprego 27,9/40,4; renda 0,289/0,362.</t>
  </si>
  <si>
    <t xml:space="preserve">Produção I</t>
  </si>
  <si>
    <t xml:space="preserve">Produção II</t>
  </si>
  <si>
    <t xml:space="preserve">Emprego I</t>
  </si>
  <si>
    <t xml:space="preserve">Emprego II</t>
  </si>
  <si>
    <t xml:space="preserve">Renda I</t>
  </si>
  <si>
    <t xml:space="preserve">Renda II</t>
  </si>
  <si>
    <t xml:space="preserve">PTL (padron.)</t>
  </si>
  <si>
    <t xml:space="preserve">Setor-chave</t>
  </si>
  <si>
    <t xml:space="preserve">—</t>
  </si>
  <si>
    <t xml:space="preserve">sim</t>
  </si>
  <si>
    <t xml:space="preserve">Quem puxa a economia: decomposição pela demanda final (2008)</t>
  </si>
  <si>
    <t xml:space="preserve">Fonte: 25_decomposicao_fd.py → outputs/decomposicao_fd.csv, via x⁽ᵏ⁾ = B·y⁽ᵏ⁾. A aditividade é exata: a soma dos componentes reproduz produção e emprego totais.</t>
  </si>
  <si>
    <t xml:space="preserve">•  A linha TOTAL e a linha-síntese são fórmulas, não constantes copiadas.</t>
  </si>
  <si>
    <t xml:space="preserve">•  Demanda externa ao estado = 61,75% da produção e 47,50% do emprego (headline do artigo: 61,7 e 47,5).</t>
  </si>
  <si>
    <t xml:space="preserve">Componente da demanda final</t>
  </si>
  <si>
    <t xml:space="preserve">Produção (R$ mi)</t>
  </si>
  <si>
    <t xml:space="preserve">Produção (%)</t>
  </si>
  <si>
    <t xml:space="preserve">Emprego (ocupações)</t>
  </si>
  <si>
    <t xml:space="preserve">Emprego (%)</t>
  </si>
  <si>
    <t xml:space="preserve">Demanda final do restante do Brasil</t>
  </si>
  <si>
    <t xml:space="preserve">Exportações (resto do mundo)</t>
  </si>
  <si>
    <t xml:space="preserve">Consumo das famílias ES</t>
  </si>
  <si>
    <t xml:space="preserve">Governo + ISFLSF ES</t>
  </si>
  <si>
    <t xml:space="preserve">Formação bruta de capital ES</t>
  </si>
  <si>
    <t xml:space="preserve">Variação de estoques ES</t>
  </si>
  <si>
    <t xml:space="preserve">TOTAL</t>
  </si>
  <si>
    <t xml:space="preserve">Demanda externa ao estado (linhas 10+11)</t>
  </si>
  <si>
    <t xml:space="preserve">Benchmark: o ES entre os estados de crescimento dinâmico (2008)</t>
  </si>
  <si>
    <t xml:space="preserve">Fonte da Tabela 3 do artigo: 10_cluster_setorial.py → outputs/cluster_setorial.csv (PIB, vazamento, setor dominante) unido por UF a 22_benchmark_caracterizacao.py → outputs/benchmark_caracterizacao.csv (base, multiplicadores, ligação, líder÷média). Os indicadores do benchmark são médias PONDERADAS PELA PRODUÇÃO sobre a matriz INTERESTADUAL; diferem, por isso, das médias simples bi-regionais da aba 01 (1,76 e 27,9). 'Base/commodity' inclui Alimentos — escolha declarada, que eleva a parcela de todos os estados.</t>
  </si>
  <si>
    <t xml:space="preserve">•  O ES é o 2º mais intensivo em setores de base (36,42%), atrás só de Mato Grosso.</t>
  </si>
  <si>
    <t xml:space="preserve">•  Nos indicadores neutros à composição o ES é exatamente mediano: mult. de produção 1,6582 e ligação para trás 0,9211 são a própria mediana das 27 UFs.</t>
  </si>
  <si>
    <t xml:space="preserve">Estado</t>
  </si>
  <si>
    <t xml:space="preserve">Grupo</t>
  </si>
  <si>
    <t xml:space="preserve">PIB (%)</t>
  </si>
  <si>
    <t xml:space="preserve">Vazamento (%)</t>
  </si>
  <si>
    <t xml:space="preserve">Base/commodity (%)</t>
  </si>
  <si>
    <t xml:space="preserve">Mult. produção (pond.)</t>
  </si>
  <si>
    <t xml:space="preserve">Mult. emprego (pond.)</t>
  </si>
  <si>
    <t xml:space="preserve">Ligação trás (pond.)</t>
  </si>
  <si>
    <t xml:space="preserve">Líder ÷ média</t>
  </si>
  <si>
    <t xml:space="preserve">Setor dominante</t>
  </si>
  <si>
    <t xml:space="preserve">ES</t>
  </si>
  <si>
    <t xml:space="preserve">cluster</t>
  </si>
  <si>
    <t xml:space="preserve">MG</t>
  </si>
  <si>
    <t xml:space="preserve">SC</t>
  </si>
  <si>
    <t xml:space="preserve">Alimentos</t>
  </si>
  <si>
    <t xml:space="preserve">PR</t>
  </si>
  <si>
    <t xml:space="preserve">RS</t>
  </si>
  <si>
    <t xml:space="preserve">GO</t>
  </si>
  <si>
    <t xml:space="preserve">MT</t>
  </si>
  <si>
    <t xml:space="preserve">Agricultura</t>
  </si>
  <si>
    <t xml:space="preserve">MS</t>
  </si>
  <si>
    <t xml:space="preserve">SP</t>
  </si>
  <si>
    <t xml:space="preserve">nucleo</t>
  </si>
  <si>
    <t xml:space="preserve">Serv. privados</t>
  </si>
  <si>
    <t xml:space="preserve">RJ</t>
  </si>
  <si>
    <t xml:space="preserve">As 27 UFs: cluster, vazamento e abertura (2008)</t>
  </si>
  <si>
    <t xml:space="preserve">Fontes: 04_cluster.py e 02_interestadual.py → outputs/cluster.csv, estados_abertura.csv e cluster_resumo.csv. 'es_spillover_%' é a parcela do spillover do ES absorvida por cada UF.</t>
  </si>
  <si>
    <t xml:space="preserve">•  O ES não recebe spillover de si mesmo — a linha do ES tem 0 na última coluna.</t>
  </si>
  <si>
    <t xml:space="preserve">•  Métricas-resumo do cluster na tabela lateral, à direita.</t>
  </si>
  <si>
    <t xml:space="preserve">Cluster</t>
  </si>
  <si>
    <t xml:space="preserve">PIB 2008 (%)</t>
  </si>
  <si>
    <t xml:space="preserve">Rank abertura</t>
  </si>
  <si>
    <t xml:space="preserve">Spillover do ES (%)</t>
  </si>
  <si>
    <t xml:space="preserve">Métrica-resumo do cluster</t>
  </si>
  <si>
    <t xml:space="preserve">Valor</t>
  </si>
  <si>
    <t xml:space="preserve">AC</t>
  </si>
  <si>
    <t xml:space="preserve">ES → demais pares do cluster (%)</t>
  </si>
  <si>
    <t xml:space="preserve">AP</t>
  </si>
  <si>
    <t xml:space="preserve">ES → núcleo SP+RJ (%)</t>
  </si>
  <si>
    <t xml:space="preserve">AM</t>
  </si>
  <si>
    <t xml:space="preserve">ES → resto do país (%)</t>
  </si>
  <si>
    <t xml:space="preserve">PA</t>
  </si>
  <si>
    <t xml:space="preserve">Bloco: dentro do cluster (%)</t>
  </si>
  <si>
    <t xml:space="preserve">RO</t>
  </si>
  <si>
    <t xml:space="preserve">Bloco: núcleo (%)</t>
  </si>
  <si>
    <t xml:space="preserve">RR</t>
  </si>
  <si>
    <t xml:space="preserve">Bloco: resto (%)</t>
  </si>
  <si>
    <t xml:space="preserve">TO</t>
  </si>
  <si>
    <t xml:space="preserve">PIB do cluster 2008 (%)</t>
  </si>
  <si>
    <t xml:space="preserve">AL</t>
  </si>
  <si>
    <t xml:space="preserve">PIB do núcleo 2008 (%)</t>
  </si>
  <si>
    <t xml:space="preserve">BA</t>
  </si>
  <si>
    <t xml:space="preserve">Spillover total do ES (R$ mi)</t>
  </si>
  <si>
    <t xml:space="preserve">CE</t>
  </si>
  <si>
    <t xml:space="preserve">Produção retida no ES (R$ mi)</t>
  </si>
  <si>
    <t xml:space="preserve">MA</t>
  </si>
  <si>
    <t xml:space="preserve">PB</t>
  </si>
  <si>
    <t xml:space="preserve">PE</t>
  </si>
  <si>
    <t xml:space="preserve">PI</t>
  </si>
  <si>
    <t xml:space="preserve">SE</t>
  </si>
  <si>
    <t xml:space="preserve">RN</t>
  </si>
  <si>
    <t xml:space="preserve">DF</t>
  </si>
  <si>
    <t xml:space="preserve">Mediana (27 UFs)</t>
  </si>
  <si>
    <t xml:space="preserve">Assimetria spillover / feedback — agregados (2008)</t>
  </si>
  <si>
    <t xml:space="preserve">Fontes: 01_es_br_base.py e 13_audit_contrafactual.py → outputs/audit_contrafactual.csv (cenário Baseline) e cluster_resumo.csv. Valores em R$ milhões de 2008.</t>
  </si>
  <si>
    <t xml:space="preserve">•  As três últimas linhas são razões calculadas por fórmula sobre as de cima.</t>
  </si>
  <si>
    <t xml:space="preserve">•  O feedback é 0,32% da injeção — a interdependência é quase unilateral.</t>
  </si>
  <si>
    <t xml:space="preserve">Métrica</t>
  </si>
  <si>
    <t xml:space="preserve">Observação</t>
  </si>
  <si>
    <t xml:space="preserve">Injeção na demanda final do ES (R$ mi)</t>
  </si>
  <si>
    <t xml:space="preserve">f^ES por produtos do ES (cenário Baseline)</t>
  </si>
  <si>
    <t xml:space="preserve">Spillover — produção induzida no RB (R$ mi)</t>
  </si>
  <si>
    <t xml:space="preserve">recorte bi-regional</t>
  </si>
  <si>
    <t xml:space="preserve">Spillover total do ES (R$ mi) — recorte interestadual</t>
  </si>
  <si>
    <t xml:space="preserve">cluster_resumo; é o valor do Sankey</t>
  </si>
  <si>
    <t xml:space="preserve">cluster_resumo</t>
  </si>
  <si>
    <t xml:space="preserve">Feedback — retorno ao ES via RB (R$ mi)</t>
  </si>
  <si>
    <t xml:space="preserve">ordens de grandeza abaixo do spillover</t>
  </si>
  <si>
    <t xml:space="preserve">Feedback ÷ injeção (%)</t>
  </si>
  <si>
    <t xml:space="preserve">headline do artigo: 0,32%</t>
  </si>
  <si>
    <t xml:space="preserve">Spillover ÷ injeção (%)</t>
  </si>
  <si>
    <t xml:space="preserve">headline do artigo: 35% da injeção</t>
  </si>
  <si>
    <t xml:space="preserve">Produção retida (%) = retido ÷ (retido + spillover total)</t>
  </si>
  <si>
    <t xml:space="preserve">78% fica no ES / 22% vaza</t>
  </si>
  <si>
    <t xml:space="preserve">Destino interestadual do spillover do ES (2008)</t>
  </si>
  <si>
    <t xml:space="preserve">Fonte: 02_interestadual.py → outputs/es_spillover_destino.csv. As 26 UFs receptoras (o ES não figura, por não receber spillover de si mesmo). 'Pegada total' inclui os efeitos de segunda ordem.</t>
  </si>
  <si>
    <t xml:space="preserve">•  As duas linhas-síntese somam por fórmula as UFs do Sudeste e do núcleo SP–RJ.</t>
  </si>
  <si>
    <t xml:space="preserve">•  Sudeste (excl. ES) absorve 65,44%; o núcleo São Paulo–Rio, 52,50%.</t>
  </si>
  <si>
    <t xml:space="preserve">UF de destino</t>
  </si>
  <si>
    <t xml:space="preserve">Spillover (R$ mi)</t>
  </si>
  <si>
    <t xml:space="preserve">% do spillover</t>
  </si>
  <si>
    <t xml:space="preserve">Pegada total (R$ mi)</t>
  </si>
  <si>
    <t xml:space="preserve">Sudeste excl. ES (MG+RJ+SP)</t>
  </si>
  <si>
    <t xml:space="preserve">Núcleo SP+RJ</t>
  </si>
  <si>
    <t xml:space="preserve">Multiplicadores e retenção territorial por microrregião (2015)</t>
  </si>
  <si>
    <t xml:space="preserve">Fontes: 24_micro_mult_chave.py → outputs/micro_multiplicadores.csv e a extração hipotética de outputs/extracao_hipotetica.csv. Retenção = parcela do multiplicador que se realiza dentro da própria microrregião, pela razão das somas ponderadas.</t>
  </si>
  <si>
    <t xml:space="preserve">•  A metrópole retém 90,88% do multiplicador; o Litoral Sul extrativo, 66,2%.</t>
  </si>
  <si>
    <t xml:space="preserve">•  Removida a Metropolitana do sistema, a produção das demais cairia 12,98%.</t>
  </si>
  <si>
    <t xml:space="preserve">Região</t>
  </si>
  <si>
    <t xml:space="preserve">Microrregião</t>
  </si>
  <si>
    <t xml:space="preserve">% do VBP do ES</t>
  </si>
  <si>
    <t xml:space="preserve">Mult. produção (simples)</t>
  </si>
  <si>
    <t xml:space="preserve">Mult. produção (ponderado)</t>
  </si>
  <si>
    <t xml:space="preserve">Retenção intra (%)</t>
  </si>
  <si>
    <t xml:space="preserve">Mult. renda (ponderado)</t>
  </si>
  <si>
    <t xml:space="preserve">R1</t>
  </si>
  <si>
    <t xml:space="preserve">Metropolitana</t>
  </si>
  <si>
    <t xml:space="preserve">R7</t>
  </si>
  <si>
    <t xml:space="preserve">Rio Doce</t>
  </si>
  <si>
    <t xml:space="preserve">R5</t>
  </si>
  <si>
    <t xml:space="preserve">Central Sul</t>
  </si>
  <si>
    <t xml:space="preserve">R9</t>
  </si>
  <si>
    <t xml:space="preserve">Nordeste</t>
  </si>
  <si>
    <t xml:space="preserve">R8</t>
  </si>
  <si>
    <t xml:space="preserve">Centro-Oeste</t>
  </si>
  <si>
    <t xml:space="preserve">R4</t>
  </si>
  <si>
    <t xml:space="preserve">Litoral Sul</t>
  </si>
  <si>
    <t xml:space="preserve">R10</t>
  </si>
  <si>
    <t xml:space="preserve">Noroeste</t>
  </si>
  <si>
    <t xml:space="preserve">R6</t>
  </si>
  <si>
    <t xml:space="preserve">Caparaó</t>
  </si>
  <si>
    <t xml:space="preserve">R3</t>
  </si>
  <si>
    <t xml:space="preserve">Sudoeste Serrana</t>
  </si>
  <si>
    <t xml:space="preserve">R2</t>
  </si>
  <si>
    <t xml:space="preserve">Central Serrana</t>
  </si>
  <si>
    <t xml:space="preserve">Extração hipotética da Região Metropolitana</t>
  </si>
  <si>
    <t xml:space="preserve">Experimento</t>
  </si>
  <si>
    <t xml:space="preserve">Região extraída</t>
  </si>
  <si>
    <t xml:space="preserve">Injeção (R$ mi)</t>
  </si>
  <si>
    <t xml:space="preserve">Perda na periferia (%)</t>
  </si>
  <si>
    <t xml:space="preserve">HEM da metropole sob demanda final intra-ES</t>
  </si>
  <si>
    <t xml:space="preserve">R1 Metropolitana</t>
  </si>
  <si>
    <t xml:space="preserve">Quociente locacional por setor e microrregião (2015)</t>
  </si>
  <si>
    <t xml:space="preserve">Fonte: 20_caracterizacao_micro.py → outputs/micro_LQ.csv. LQ acima da unidade indica que o setor se concentra no território mais do que na média estadual. Base da Figura 3 do artigo.</t>
  </si>
  <si>
    <t xml:space="preserve">•  As especializações citadas no artigo: celulose no Rio Doce, minério no Litoral Sul, têxtil no Centro-Oeste, pecuária na Central Serrana.</t>
  </si>
  <si>
    <t xml:space="preserve">•  'Rochas ornamentais' do texto corresponde a Minerais não-metálicos no Central Sul.</t>
  </si>
  <si>
    <t xml:space="preserve">Pecuária</t>
  </si>
  <si>
    <t xml:space="preserve">Florestal/pesca</t>
  </si>
  <si>
    <t xml:space="preserve">Extr. carvão/não-met.</t>
  </si>
  <si>
    <t xml:space="preserve">Extr. petróleo e gás</t>
  </si>
  <si>
    <t xml:space="preserve">Extr. minério de ferro</t>
  </si>
  <si>
    <t xml:space="preserve">Alimentos e bebidas</t>
  </si>
  <si>
    <t xml:space="preserve">Têxtil/vestuário</t>
  </si>
  <si>
    <t xml:space="preserve">Madeira e móveis</t>
  </si>
  <si>
    <t xml:space="preserve">Celulose e papel</t>
  </si>
  <si>
    <t xml:space="preserve">Refino de petróleo</t>
  </si>
  <si>
    <t xml:space="preserve">Químicos/borracha/plást.</t>
  </si>
  <si>
    <t xml:space="preserve">Minerais não-metálicos</t>
  </si>
  <si>
    <t xml:space="preserve">Prod. de metal/máq.</t>
  </si>
  <si>
    <t xml:space="preserve">Automóveis/caminhões</t>
  </si>
  <si>
    <t xml:space="preserve">Eletricidade e gás</t>
  </si>
  <si>
    <t xml:space="preserve">Transporte</t>
  </si>
  <si>
    <t xml:space="preserve">Armaz./aux. transp.</t>
  </si>
  <si>
    <t xml:space="preserve">Alojam./alimentação</t>
  </si>
  <si>
    <t xml:space="preserve">Informação</t>
  </si>
  <si>
    <t xml:space="preserve">Financeiro/seguros</t>
  </si>
  <si>
    <t xml:space="preserve">Imobiliárias</t>
  </si>
  <si>
    <t xml:space="preserve">Prof./cient./técn.</t>
  </si>
  <si>
    <t xml:space="preserve">Administrativas</t>
  </si>
  <si>
    <t xml:space="preserve">Administração pública</t>
  </si>
  <si>
    <t xml:space="preserve">Educação pública</t>
  </si>
  <si>
    <t xml:space="preserve">Educação privada</t>
  </si>
  <si>
    <t xml:space="preserve">Saúde pública</t>
  </si>
  <si>
    <t xml:space="preserve">Saúde privada</t>
  </si>
  <si>
    <t xml:space="preserve">Artísticas/criativas</t>
  </si>
  <si>
    <t xml:space="preserve">Associativas</t>
  </si>
  <si>
    <t xml:space="preserve">Serviços domésticos</t>
  </si>
  <si>
    <t xml:space="preserve">Setores de base do ES na estrutura nacional, 2010–2021</t>
  </si>
  <si>
    <t xml:space="preserve">Fonte: 18_trajetoria_n68.py → outputs/trajetoria_n68.csv (série Nível 68, preços correntes). É a tendência DOS SETORES no país, não da estrutura capixaba: o ES tem apenas as âncoras de 2008 e 2015. Base da Figura 2 do artigo.</t>
  </si>
  <si>
    <t xml:space="preserve">•  Celulose e papel é o setor-chave mais consistente: ligação para trás de 1,4073 a 1,5056.</t>
  </si>
  <si>
    <t xml:space="preserve">•  Petróleo/gás e minério de ferro ficam abaixo da unidade em quase todo o período — enclaves.</t>
  </si>
  <si>
    <t xml:space="preserve">Setor (ligação para trás)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</si>
  <si>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</si>
  <si>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</si>
  <si>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</si>
  <si>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</si>
  <si>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</si>
  <si>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</si>
  <si>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</si>
  <si>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</si>
  <si>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</si>
  <si>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</si>
  <si>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</si>
  <si>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</si>
  <si>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Celulose/papel</t>
  </si>
  <si>
    <t xml:space="preserve">Metalurgia/sider.</t>
  </si>
  <si>
    <t xml:space="preserve">Refino</t>
  </si>
  <si>
    <t xml:space="preserve">Petróleo/gás</t>
  </si>
  <si>
    <t xml:space="preserve">Minério de ferro</t>
  </si>
  <si>
    <t xml:space="preserve">Setor (multiplicador de produção)</t>
  </si>
  <si>
    <t xml:space="preserve">Camada de atualização 2015 — regionalização CILQ (registro de auditoria)</t>
  </si>
  <si>
    <t xml:space="preserve">Fonte: dados/README.md (nota metodológica + auditoria jun/2026). Os dados brutos de 2015 estão ausentes do repositório: esta aba é registro documental, não recomputação.</t>
  </si>
  <si>
    <t xml:space="preserve">Item</t>
  </si>
  <si>
    <t xml:space="preserve">Descrição</t>
  </si>
  <si>
    <t xml:space="preserve">Status/valor</t>
  </si>
  <si>
    <t xml:space="preserve">Método</t>
  </si>
  <si>
    <t xml:space="preserve">CILQ (Guilhoto &amp; Sesso Filho, 2005) sobre os totais domésticos ES e RB; só o split de origem é estimado; SLQ para a demanda final</t>
  </si>
  <si>
    <t xml:space="preserve">Dimensão</t>
  </si>
  <si>
    <t xml:space="preserve">matriz 70×70 (35 setores × 2 regiões), não negativa</t>
  </si>
  <si>
    <t xml:space="preserve">OK</t>
  </si>
  <si>
    <t xml:space="preserve">Soma de A por coluna</t>
  </si>
  <si>
    <t xml:space="preserve">∈ [0; 0,97] — &lt; 1, condição de Hawkins-Simon</t>
  </si>
  <si>
    <t xml:space="preserve">Inversa de Leontief</t>
  </si>
  <si>
    <t xml:space="preserve">B = (I−A)⁻¹ ≥ 0</t>
  </si>
  <si>
    <t xml:space="preserve">Validação externa</t>
  </si>
  <si>
    <t xml:space="preserve">Z_LM estimado (ES→uso intermediário no RB) vs 'Exportação Regional' observada na planilha do ES</t>
  </si>
  <si>
    <t xml:space="preserve">correlação 0,97</t>
  </si>
  <si>
    <t xml:space="preserve">Vazamento médio (colunas ES, ponderado)</t>
  </si>
  <si>
    <t xml:space="preserve">12,8%</t>
  </si>
  <si>
    <t xml:space="preserve">resultado 2015</t>
  </si>
  <si>
    <t xml:space="preserve">Comparador 2008 correto</t>
  </si>
  <si>
    <t xml:space="preserve">22,9% ponderado (mesma agregação, modelo bi-regional) — NÃO os 24,9% (média simples)</t>
  </si>
  <si>
    <t xml:space="preserve">correção hard-mode</t>
  </si>
  <si>
    <t xml:space="preserve">Viés do CILQ puro</t>
  </si>
  <si>
    <t xml:space="preserve">sem a correção FLQ (Flegg, Webber &amp; Elliott 1995; Flegg &amp; Webber 2000) o CILQ subestima o vazamento quanto menor a região; ES ~2% do PIB → 12,8% é limite inferior</t>
  </si>
  <si>
    <t xml:space="preserve">limitação declarada</t>
  </si>
  <si>
    <t xml:space="preserve">Situação dos dados</t>
  </si>
  <si>
    <t xml:space="preserve">as matrizes brutas de 2015 NÃO estão no container — registro documental da auditoria</t>
  </si>
  <si>
    <t xml:space="preserve">documental</t>
  </si>
  <si>
    <t xml:space="preserve">Verificação número-a-número: artigo ↔ fonte</t>
  </si>
  <si>
    <t xml:space="preserve">Cada afirmação do artigo, o valor publicado, a aba-fonte, o valor RECOMPUTADO POR FÓRMULA sobre essa aba, o desvio e o status. Critério: ✓ bate (|Δ| ≤ 0,05) · ~ arredondamento (|Δ| ≤ 0,6, esperado por casas decimais ou por duas agregações) · ⚑ verificar.</t>
  </si>
  <si>
    <t xml:space="preserve">•  As colunas 'Recomputado', 'Δ' e 'Status' são fórmulas vivas: mudando a aba-fonte, mudam aqui.</t>
  </si>
  <si>
    <t xml:space="preserve">•  Seções conforme a revisão final: §4 retrato · §5 panorama · §6 território · §7 plataforma.</t>
  </si>
  <si>
    <t xml:space="preserve">Local</t>
  </si>
  <si>
    <t xml:space="preserve">Afirmação no artigo</t>
  </si>
  <si>
    <t xml:space="preserve">Valor no artigo</t>
  </si>
  <si>
    <t xml:space="preserve">Aba-fonte e fórmula</t>
  </si>
  <si>
    <t xml:space="preserve">Recomputado</t>
  </si>
  <si>
    <t xml:space="preserve">Δ</t>
  </si>
  <si>
    <t xml:space="preserve">Status</t>
  </si>
  <si>
    <t xml:space="preserve">§7</t>
  </si>
  <si>
    <t xml:space="preserve">Vazamento médio de produção (média simples)</t>
  </si>
  <si>
    <t xml:space="preserve">01_Setores · AVERAGE da coluna F</t>
  </si>
  <si>
    <t xml:space="preserve">Vazamento médio de produção (ponderado pelo VBP)</t>
  </si>
  <si>
    <t xml:space="preserve">01_Setores · SUMPRODUCT(F;VBP)/SUM(VBP)</t>
  </si>
  <si>
    <t xml:space="preserve">Serviços imobiliários — vazamento de produção</t>
  </si>
  <si>
    <t xml:space="preserve">01_Setores · linha do setor</t>
  </si>
  <si>
    <t xml:space="preserve">Alimentos — vazamento de produção</t>
  </si>
  <si>
    <t xml:space="preserve">Refino — vazamento de emprego</t>
  </si>
  <si>
    <t xml:space="preserve">Metalurgia — vazamento de emprego</t>
  </si>
  <si>
    <t xml:space="preserve">§4 / Tab.1</t>
  </si>
  <si>
    <t xml:space="preserve">Multiplicador de produção médio, tipo I</t>
  </si>
  <si>
    <t xml:space="preserve">02_Multiplicadores · AVERAGE</t>
  </si>
  <si>
    <t xml:space="preserve">Multiplicador de produção médio, tipo II</t>
  </si>
  <si>
    <t xml:space="preserve">Multiplicador de emprego médio, tipo I</t>
  </si>
  <si>
    <t xml:space="preserve">Multiplicador de emprego médio, tipo II</t>
  </si>
  <si>
    <t xml:space="preserve">§4</t>
  </si>
  <si>
    <t xml:space="preserve">Mineração — ligação pura total padronizada</t>
  </si>
  <si>
    <t xml:space="preserve">02_Multiplicadores · coluna PTL</t>
  </si>
  <si>
    <t xml:space="preserve">Metalurgia — ligação pura total padronizada</t>
  </si>
  <si>
    <t xml:space="preserve">§4 / Tab.2</t>
  </si>
  <si>
    <t xml:space="preserve">Demanda externa ao estado — % da produção</t>
  </si>
  <si>
    <t xml:space="preserve">03_DemandaFinal · linha-síntese</t>
  </si>
  <si>
    <t xml:space="preserve">Demanda externa ao estado — % do emprego</t>
  </si>
  <si>
    <t xml:space="preserve">Produção total do ES (R$ bi)</t>
  </si>
  <si>
    <t xml:space="preserve">03_DemandaFinal · TOTAL ÷ 1000</t>
  </si>
  <si>
    <t xml:space="preserve">Emprego total do ES (mil ocupações)</t>
  </si>
  <si>
    <t xml:space="preserve">§4 / Tab.3</t>
  </si>
  <si>
    <t xml:space="preserve">ES — base/commodity (%)</t>
  </si>
  <si>
    <t xml:space="preserve">04_Cluster · linha do ES</t>
  </si>
  <si>
    <t xml:space="preserve">ES — mult. de produção ponderado (interestadual)</t>
  </si>
  <si>
    <t xml:space="preserve">ES — mult. de emprego ponderado</t>
  </si>
  <si>
    <t xml:space="preserve">ES — ligação para trás ponderada</t>
  </si>
  <si>
    <t xml:space="preserve">ES — emprego do líder ÷ média do estado</t>
  </si>
  <si>
    <t xml:space="preserve">Mediana das 27 UFs — base/commodity (%)</t>
  </si>
  <si>
    <t xml:space="preserve">05_Estados · MEDIAN da coluna</t>
  </si>
  <si>
    <t xml:space="preserve">Mediana das 27 UFs — mult. de emprego</t>
  </si>
  <si>
    <t xml:space="preserve">Mediana das 27 UFs — líder ÷ média</t>
  </si>
  <si>
    <t xml:space="preserve">Sudeste excl. ES absorve (%)</t>
  </si>
  <si>
    <t xml:space="preserve">07_Destino · MG+RJ+SP</t>
  </si>
  <si>
    <t xml:space="preserve">Núcleo SP+RJ absorve (%)</t>
  </si>
  <si>
    <t xml:space="preserve">07_Destino · RJ+SP</t>
  </si>
  <si>
    <t xml:space="preserve">06_Spillover · razão calculada</t>
  </si>
  <si>
    <t xml:space="preserve">§6 / Tab.5</t>
  </si>
  <si>
    <t xml:space="preserve">Metropolitana — retenção do multiplicador (%)</t>
  </si>
  <si>
    <t xml:space="preserve">08_Micro · linha R1</t>
  </si>
  <si>
    <t xml:space="preserve">Litoral Sul — retenção do multiplicador (%)</t>
  </si>
  <si>
    <t xml:space="preserve">08_Micro · linha do Litoral Sul</t>
  </si>
  <si>
    <t xml:space="preserve">Metropolitana — % do VBP do ES</t>
  </si>
  <si>
    <t xml:space="preserve">§6</t>
  </si>
  <si>
    <t xml:space="preserve">Extração da metrópole — perda na periferia (%)</t>
  </si>
  <si>
    <t xml:space="preserve">08_Micro · extração hipotética</t>
  </si>
  <si>
    <t xml:space="preserve">Celulose no Rio Doce — LQ</t>
  </si>
  <si>
    <t xml:space="preserve">09_Micro_LQ · Celulose e papel × Rio Doce</t>
  </si>
  <si>
    <t xml:space="preserve">Minério no Litoral Sul — LQ</t>
  </si>
  <si>
    <t xml:space="preserve">09_Micro_LQ · Extr. minério de ferro × Litoral Sul</t>
  </si>
  <si>
    <t xml:space="preserve">Têxtil no Centro-Oeste — LQ</t>
  </si>
  <si>
    <t xml:space="preserve">09_Micro_LQ · Têxtil/vestuário × Centro-Oeste</t>
  </si>
  <si>
    <t xml:space="preserve">Pecuária na Central Serrana — LQ</t>
  </si>
  <si>
    <t xml:space="preserve">09_Micro_LQ · Pecuária × Central Serrana</t>
  </si>
  <si>
    <t xml:space="preserve">Rochas ornamentais no Central Sul — LQ</t>
  </si>
  <si>
    <t xml:space="preserve">09_Micro_LQ · Minerais não-metálicos × Central Sul</t>
  </si>
  <si>
    <t xml:space="preserve">§5 / Fig.2</t>
  </si>
  <si>
    <t xml:space="preserve">Celulose — ligação para trás em 2010</t>
  </si>
  <si>
    <t xml:space="preserve">10_Trajetoria · Celulose/papel</t>
  </si>
  <si>
    <t xml:space="preserve">Celulose — ligação para trás em 2021</t>
  </si>
  <si>
    <t xml:space="preserve">§5</t>
  </si>
  <si>
    <t xml:space="preserve">Celulose — multiplicador de produção em 2010</t>
  </si>
  <si>
    <t xml:space="preserve">10_Trajetoria · 2º bloco</t>
  </si>
  <si>
    <t xml:space="preserve">Celulose — multiplicador de produção em 2021</t>
  </si>
  <si>
    <t xml:space="preserve">Participação do ES no PIB nacional (%)</t>
  </si>
  <si>
    <t xml:space="preserve">04_Cluster · linha do ES (a introdução arredonda para 'cerca de 2%')</t>
  </si>
  <si>
    <t xml:space="preserve">Resumo: 41 afirmações verificadas. Os desvios remanescentes são de arredondamento — o artigo publica 1 ou 2 casas decimais, e alguns números convivem em duas agregações (bi-regional × interestadual), conciliadas no Apêndice B.2 do artigo.</t>
  </si>
  <si>
    <t xml:space="preserve">Fontes: pesquisa/AUDITORIA.md (B1–B5) e pesquisa/AUDITORIA_HARD.md (§0, §3).</t>
  </si>
  <si>
    <t xml:space="preserve">Verificação</t>
  </si>
  <si>
    <t xml:space="preserve">Resultado</t>
  </si>
  <si>
    <t xml:space="preserve">Fonte</t>
  </si>
  <si>
    <t xml:space="preserve">Identidade contábil</t>
  </si>
  <si>
    <t xml:space="preserve">VBP = soma da linha da MIP — erro máximo 0,00%</t>
  </si>
  <si>
    <t xml:space="preserve">AUDITORIA.md B1 / HARD §0</t>
  </si>
  <si>
    <t xml:space="preserve">Coeficientes válidos (Hawkins-Simon)</t>
  </si>
  <si>
    <t xml:space="preserve">Soma de A por coluna &lt; 1: 0,748 (bi-regional) / 0,895 (interestadual)</t>
  </si>
  <si>
    <t xml:space="preserve">AUDITORIA.md B1</t>
  </si>
  <si>
    <t xml:space="preserve">Inversa de Leontief não negativa</t>
  </si>
  <si>
    <t xml:space="preserve">B = (I−A)⁻¹ ≥ 0 em todas as matrizes</t>
  </si>
  <si>
    <t xml:space="preserve">Cross-validação</t>
  </si>
  <si>
    <t xml:space="preserve">Injeção (R$ 51,5 bi) e spillover (R$ 18,2 bi) batem entre o recorte bi-regional (01) e o interestadual (02)</t>
  </si>
  <si>
    <t xml:space="preserve">Reprodução do zero</t>
  </si>
  <si>
    <t xml:space="preserve">os números-título regeneram do zero e conferem (vazamento 24,9/22,8; spillover; feedback)</t>
  </si>
  <si>
    <t xml:space="preserve">AUDITORIA_HARD §0</t>
  </si>
  <si>
    <t xml:space="preserve">Robustez do feedback</t>
  </si>
  <si>
    <t xml:space="preserve">Feedback ≈ 0 invariante à convenção adotada — banda 0,15–0,32%</t>
  </si>
  <si>
    <t xml:space="preserve">AUDITORIA.md B5 / HARD §3</t>
  </si>
  <si>
    <t xml:space="preserve">Convenção adotada</t>
  </si>
  <si>
    <t xml:space="preserve">Miller-Blair V3 (inversa particionada). O paper-semente (60,6/22,4/0,199) não reproduz; V3 dá 51,5/18,2/164</t>
  </si>
  <si>
    <t xml:space="preserve">06_reconciliacao.py</t>
  </si>
  <si>
    <t xml:space="preserve">Setor S23 do sistema microrregional</t>
  </si>
  <si>
    <t xml:space="preserve">coluna soma 1,07 (herança da regionalização); excluído, o vazamento da Metropolitana passa de 8,4% para 7,9% e a ordenação da retenção não muda</t>
  </si>
  <si>
    <t xml:space="preserve">Apêndice B.1 do artigo</t>
  </si>
  <si>
    <t xml:space="preserve">Ligações R-H</t>
  </si>
  <si>
    <t xml:space="preserve">Para trás pela inversa de Leontief; para frente pela inversa de Ghosh (corrigido)</t>
  </si>
  <si>
    <t xml:space="preserve">AUDITORIA.md B2/B4</t>
  </si>
  <si>
    <t xml:space="preserve">Integridade das referências (protocolo B7)</t>
  </si>
  <si>
    <t xml:space="preserve">Fontes: pesquisa/AUDITORIA.md §B7 e pesquisa/AUDITORIA_HARD.md §1. Verificam-se aqui as referências que sustentam números do artigo; as entradas de Antràs et al. e de Timmer et al. saíram da lista final junto com a camada de upstreamness, e por isso não figuram mais.</t>
  </si>
  <si>
    <t xml:space="preserve">Referência</t>
  </si>
  <si>
    <t xml:space="preserve">Detalhe bibliográfico</t>
  </si>
  <si>
    <t xml:space="preserve">Veredito</t>
  </si>
  <si>
    <t xml:space="preserve">Guilhoto &amp; Sesso Filho (2005)</t>
  </si>
  <si>
    <t xml:space="preserve">Economia Aplicada, 9(2), 277–299</t>
  </si>
  <si>
    <t xml:space="preserve">VERIFICADA</t>
  </si>
  <si>
    <t xml:space="preserve">confere</t>
  </si>
  <si>
    <t xml:space="preserve">Isard (1951)</t>
  </si>
  <si>
    <t xml:space="preserve">The Review of Economics and Statistics, 33(4), 318–328</t>
  </si>
  <si>
    <t xml:space="preserve">Miller &amp; Blair (2009)</t>
  </si>
  <si>
    <t xml:space="preserve">Input-Output Analysis, 2ª ed., Cambridge UP (ISBN 9780521517133)</t>
  </si>
  <si>
    <t xml:space="preserve">Haddad, Gonçalves Jr. &amp; Nascimento (2017)</t>
  </si>
  <si>
    <t xml:space="preserve">Revista Brasileira de Estudos Regionais e Urbanos, 11(4), 424–446</t>
  </si>
  <si>
    <t xml:space="preserve">CORRIGIDA (GRAVE)</t>
  </si>
  <si>
    <t xml:space="preserve">citava 'inter-regional...ES...Working paper'; é a matriz INTERESTADUAL / BRASIL / artigo em revista (27 estados)</t>
  </si>
  <si>
    <t xml:space="preserve">→ comparador 27,4% de Haddad</t>
  </si>
  <si>
    <t xml:space="preserve">parcela inter-regional do multiplicador total do ES = 27,4% (Tabela 2, p. 440)</t>
  </si>
  <si>
    <t xml:space="preserve">VERIFICADO</t>
  </si>
  <si>
    <t xml:space="preserve">era UNVERIFIABLE_ACCESS no B7; confirmado contra o PDF em AUDITORIA_HARD §1</t>
  </si>
  <si>
    <t xml:space="preserve">Ribeiro et al. (2024)</t>
  </si>
  <si>
    <t xml:space="preserve">RBERU, 18(4), 596–622 — DOI 10.54766/rberu.v18i4.1111</t>
  </si>
  <si>
    <t xml:space="preserve">mesma matriz de 2015 regionalizada; contraste da §6</t>
  </si>
  <si>
    <t xml:space="preserve">Sessa et al. (2017)</t>
  </si>
  <si>
    <t xml:space="preserve">Economia e Desenvolvimento, 28(2) — DOI 10.5902/1414650921397</t>
  </si>
  <si>
    <t xml:space="preserve">matriz capixaba; impacto de Ubu</t>
  </si>
  <si>
    <t xml:space="preserve">Fonte: pesquisa/AUDITORIA_HARD.md §2 e §5. Nenhum defeito corrompe número publicado. Os itens B e E dizem respeito à camada de upstreamness/WIOD, que a revisão final do artigo abandonou — ficam registrados como histórico do processo.</t>
  </si>
  <si>
    <t xml:space="preserve">ID</t>
  </si>
  <si>
    <t xml:space="preserve">Severidade</t>
  </si>
  <si>
    <t xml:space="preserve">A</t>
  </si>
  <si>
    <t xml:space="preserve">🔴 Grave</t>
  </si>
  <si>
    <t xml:space="preserve">Citação de Haddad (título/escopo/tipo errados no .tex)</t>
  </si>
  <si>
    <t xml:space="preserve">APLICADO — entrada corrigida</t>
  </si>
  <si>
    <t xml:space="preserve">B</t>
  </si>
  <si>
    <t xml:space="preserve">🟠 Médio</t>
  </si>
  <si>
    <t xml:space="preserve">WIOD (Timmer 2015) na bibliografia mas nunca citado no corpo, sendo a fonte de toda a camada de upstreamness</t>
  </si>
  <si>
    <t xml:space="preserve">APLICADO na época; a camada saiu da revisão final</t>
  </si>
  <si>
    <t xml:space="preserve">C</t>
  </si>
  <si>
    <t xml:space="preserve">src/io_core.py com código morto/incorreto: feedback ≡ 0 por construção; ligação para-frente por Leontief</t>
  </si>
  <si>
    <t xml:space="preserve">APLICADO — corrigido (feedback 163,6 mi)</t>
  </si>
  <si>
    <t xml:space="preserve">D</t>
  </si>
  <si>
    <t xml:space="preserve">02_interestadual.py aborta no console cp1252 (UnicodeEncodeError no 'Σ') antes de gravar os CSVs</t>
  </si>
  <si>
    <t xml:space="preserve">APLICADO — guarda reconfigure('utf-8') propagada</t>
  </si>
  <si>
    <t xml:space="preserve">E</t>
  </si>
  <si>
    <t xml:space="preserve">🟡 Menor</t>
  </si>
  <si>
    <t xml:space="preserve">Distribuição global do WIOD contaminada (49/2464 com demanda final &lt; 0)</t>
  </si>
  <si>
    <t xml:space="preserve">F</t>
  </si>
  <si>
    <t xml:space="preserve">13_audit_contrafactual.py com verdicts hard-coded; magnitudes de 2 cenários exageradas na narrativa</t>
  </si>
  <si>
    <t xml:space="preserve">APLICADO — verdicts tornados condicionais</t>
  </si>
  <si>
    <t xml:space="preserve">G</t>
  </si>
  <si>
    <t xml:space="preserve">🟢 Cosmético</t>
  </si>
  <si>
    <t xml:space="preserve">Arredondamentos/rótulos: spillover 18,1 (Sankey) vs 18,2; 65 vs 65,4; 61,7 vs 61,8 na soma das parcelas</t>
  </si>
  <si>
    <t xml:space="preserve">documentado (não é erro)</t>
  </si>
  <si>
    <t xml:space="preserve">H</t>
  </si>
  <si>
    <t xml:space="preserve">🟢 Declarado</t>
  </si>
  <si>
    <t xml:space="preserve">Escolhas de definição: 'base/commodity' inclui Alimentos; PIB por valor adicionado</t>
  </si>
  <si>
    <t xml:space="preserve">declarado/transparente</t>
  </si>
  <si>
    <t xml:space="preserve">I</t>
  </si>
  <si>
    <t xml:space="preserve">a versão anterior desta pasta auditava a revisão antiga do artigo (§4.1–§4.5, upstreamness) e não cobria os números da versão final</t>
  </si>
  <si>
    <t xml:space="preserve">APLICADO — abas e verificação sincronizadas nesta edição</t>
  </si>
  <si>
    <t xml:space="preserve">Proveniência — mapa script → output → o que computa</t>
  </si>
  <si>
    <t xml:space="preserve">Trilha de reprodução do pipeline pesquisa/ (28 scripts). Listam-se os que alimentam as tabelas e figuras da revisão final e esta auditoria; os scripts leem as matrizes-fonte da máquina do autor. Os links das fontes no artigo apontam para o commit 116a350.</t>
  </si>
  <si>
    <t xml:space="preserve">Script</t>
  </si>
  <si>
    <t xml:space="preserve">Output(s) gerado(s)</t>
  </si>
  <si>
    <t xml:space="preserve">O que computa</t>
  </si>
  <si>
    <t xml:space="preserve">01_es_br_base.py</t>
  </si>
  <si>
    <t xml:space="preserve">es_setores_resultados.csv</t>
  </si>
  <si>
    <t xml:space="preserve">Base bi-regional 2008: multiplicadores, vazamentos, spillover/feedback e ligações R-H</t>
  </si>
  <si>
    <t xml:space="preserve">02_interestadual.py</t>
  </si>
  <si>
    <t xml:space="preserve">es_spillover_destino.csv; estados_abertura.csv</t>
  </si>
  <si>
    <t xml:space="preserve">Interestadual 27 UFs: destino do vazamento por UF e ranking de abertura</t>
  </si>
  <si>
    <t xml:space="preserve">04_cluster.py</t>
  </si>
  <si>
    <t xml:space="preserve">cluster.csv; cluster_resumo.csv</t>
  </si>
  <si>
    <t xml:space="preserve">Situa o ES no cluster de 8 estados vs núcleo SP/RJ</t>
  </si>
  <si>
    <t xml:space="preserve">(console)</t>
  </si>
  <si>
    <t xml:space="preserve">Reconciliação de convenções de injeção/decomposição → adota a V3 (Miller-Blair)</t>
  </si>
  <si>
    <t xml:space="preserve">10_cluster_setorial.py</t>
  </si>
  <si>
    <t xml:space="preserve">cluster_setorial.csv</t>
  </si>
  <si>
    <t xml:space="preserve">Tabela comparativa do cluster (PIB, abertura, multiplicador, base/commodity, setor dominante)</t>
  </si>
  <si>
    <t xml:space="preserve">11_fig_sankey.py</t>
  </si>
  <si>
    <t xml:space="preserve">es_sankey.pdf</t>
  </si>
  <si>
    <t xml:space="preserve">Figura 4: Sankey estratificado do destino do spillover</t>
  </si>
  <si>
    <t xml:space="preserve">12_tab_setores.py</t>
  </si>
  <si>
    <t xml:space="preserve">tab_setores.tex</t>
  </si>
  <si>
    <t xml:space="preserve">Tabela 5 do artigo: os 26 setores, com médias simples e ponderada</t>
  </si>
  <si>
    <t xml:space="preserve">13_audit_contrafactual.py</t>
  </si>
  <si>
    <t xml:space="preserve">audit_contrafactual.csv</t>
  </si>
  <si>
    <t xml:space="preserve">Cenários contrafactuais; fornece a injeção e o spillover do recorte bi-regional</t>
  </si>
  <si>
    <t xml:space="preserve">14_benchmark_ufs.py</t>
  </si>
  <si>
    <t xml:space="preserve">benchmark_ufs.csv</t>
  </si>
  <si>
    <t xml:space="preserve">Modelo nulo das 27 UFs: o porte explica o feedback, não o vazamento</t>
  </si>
  <si>
    <t xml:space="preserve">17_caracterizacao_es_2008.py</t>
  </si>
  <si>
    <t xml:space="preserve">es_caracterizacao_2008.csv</t>
  </si>
  <si>
    <t xml:space="preserve">Retrato estrutural de 2008: multiplicadores I/II, ligações R-H e ligações puras</t>
  </si>
  <si>
    <t xml:space="preserve">18_trajetoria_n68.py</t>
  </si>
  <si>
    <t xml:space="preserve">trajetoria_n68.csv</t>
  </si>
  <si>
    <t xml:space="preserve">Panorama temporal 2010–2021 dos setores de base na estrutura nacional</t>
  </si>
  <si>
    <t xml:space="preserve">19_fig_caracterizacao.py</t>
  </si>
  <si>
    <t xml:space="preserve">fig_setores_chave.pdf; fig_trajetoria_n68.pdf</t>
  </si>
  <si>
    <t xml:space="preserve">Figuras 1 e 2 do artigo</t>
  </si>
  <si>
    <t xml:space="preserve">20_caracterizacao_micro.py</t>
  </si>
  <si>
    <t xml:space="preserve">caracterizacao_micro.csv; micro_LQ.csv</t>
  </si>
  <si>
    <t xml:space="preserve">Caracterização territorial 2015: quocientes locacionais das 10 microrregiões</t>
  </si>
  <si>
    <t xml:space="preserve">21_fig_micro.py</t>
  </si>
  <si>
    <t xml:space="preserve">fig_micro_vocacao.pdf</t>
  </si>
  <si>
    <t xml:space="preserve">Figura 3: heatmap de LQ por setor e microrregião</t>
  </si>
  <si>
    <t xml:space="preserve">22_benchmark_caracterizacao.py</t>
  </si>
  <si>
    <t xml:space="preserve">benchmark_caracterizacao.csv</t>
  </si>
  <si>
    <t xml:space="preserve">Benchmark interestadual da caracterização (Tabela 3 do artigo)</t>
  </si>
  <si>
    <t xml:space="preserve">24_micro_mult_chave.py</t>
  </si>
  <si>
    <t xml:space="preserve">micro_multiplicadores.csv; extracao_hipotetica.csv</t>
  </si>
  <si>
    <t xml:space="preserve">Multiplicadores, retenção territorial e extração hipotética da metrópole</t>
  </si>
  <si>
    <t xml:space="preserve">25_decomposicao_fd.py</t>
  </si>
  <si>
    <t xml:space="preserve">decomposicao_fd.csv; decomposicao_fd_setorial.csv</t>
  </si>
  <si>
    <t xml:space="preserve">Quem puxa a economia: decomposição pela demanda final (Tabela 2)</t>
  </si>
  <si>
    <t xml:space="preserve">26_ancora_2019.py</t>
  </si>
  <si>
    <t xml:space="preserve">Segunda âncora: reestima a bateria central na matriz interestadual de 2019</t>
  </si>
  <si>
    <t xml:space="preserve">27_tab_multiplicadores.py</t>
  </si>
  <si>
    <t xml:space="preserve">tab_multiplicadores.tex</t>
  </si>
  <si>
    <t xml:space="preserve">Tabela 1 do artigo: multiplicadores dos 26 setores, tipos I e II</t>
  </si>
  <si>
    <t xml:space="preserve">28_auditoria_xlsx.py</t>
  </si>
  <si>
    <t xml:space="preserve">auditoria/auditoria_dados_es.xlsx</t>
  </si>
  <si>
    <t xml:space="preserve">Esta pasta de auditoria</t>
  </si>
  <si>
    <t xml:space="preserve">estilo.py</t>
  </si>
  <si>
    <t xml:space="preserve">(nenhum)</t>
  </si>
  <si>
    <t xml:space="preserve">Paleta e tema das figuras, importado pelos scripts de figura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</si>
</sst>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"/>
    <numFmt numFmtId="167" formatCode="#,##0.0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0F0F"/>
      <name val="Calibri"/>
      <family val="0"/>
      <charset val="1"/>
    </font>
    <font>
      <sz val="11"/>
      <color rgb="FF6F6E69"/>
      <name val="Calibri"/>
      <family val="0"/>
      <charset val="1"/>
    </font>
    <font>
      <b val="true"/>
      <sz val="10"/>
      <color rgb="FF6F6E69"/>
      <name val="Calibri"/>
      <family val="0"/>
      <charset val="1"/>
    </font>
    <font>
      <sz val="10"/>
      <color rgb="FF403E3C"/>
      <name val="Calibri"/>
      <family val="0"/>
      <charset val="1"/>
    </font>
    <font>
      <b val="true"/>
      <sz val="10"/>
      <color rgb="FF575653"/>
      <name val="Calibri"/>
      <family val="0"/>
      <charset val="1"/>
    </font>
    <font>
      <sz val="9.5"/>
      <color rgb="FF403E3C"/>
      <name val="Calibri"/>
      <family val="0"/>
      <charset val="1"/>
    </font>
    <font>
      <b val="true"/>
      <sz val="9"/>
      <color rgb="FF403E3C"/>
      <name val="Calibri"/>
      <family val="0"/>
      <charset val="1"/>
    </font>
    <font>
      <b val="true"/>
      <sz val="9"/>
      <color rgb="FF100F0F"/>
      <name val="Calibri"/>
      <family val="0"/>
      <charset val="1"/>
    </font>
    <font>
      <sz val="9"/>
      <color rgb="FF282726"/>
      <name val="Calibri"/>
      <family val="0"/>
      <charset val="1"/>
    </font>
    <font>
      <b val="true"/>
      <sz val="9"/>
      <color rgb="FF205EA6"/>
      <name val="Calibri"/>
      <family val="0"/>
      <charset val="1"/>
    </font>
    <font>
      <sz val="9.5"/>
      <color rgb="FF6F6E69"/>
      <name val="Calibri"/>
      <family val="0"/>
      <charset val="1"/>
    </font>
    <font>
      <sz val="10"/>
      <color rgb="FF100F0F"/>
      <name val="Calibri"/>
      <family val="0"/>
      <charset val="1"/>
    </font>
    <font>
      <b val="true"/>
      <sz val="9"/>
      <color rgb="FF282726"/>
      <name val="Calibri"/>
      <family val="0"/>
      <charset val="1"/>
    </font>
    <font>
      <sz val="9"/>
      <color rgb="FF6F6E6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AD8CE"/>
        <bgColor rgb="FFE1E4C2"/>
      </patternFill>
    </fill>
    <fill>
      <patternFill patternType="solid">
        <fgColor rgb="FFF2F0E5"/>
        <bgColor rgb="FFE6E4D9"/>
      </patternFill>
    </fill>
    <fill>
      <patternFill patternType="solid">
        <fgColor rgb="FFF3E6B9"/>
        <bgColor rgb="FFE1E4C2"/>
      </patternFill>
    </fill>
    <fill>
      <patternFill patternType="solid">
        <fgColor rgb="FFE6E4D9"/>
        <bgColor rgb="FFE1E4C2"/>
      </patternFill>
    </fill>
    <fill>
      <patternFill patternType="solid">
        <fgColor rgb="FFE1E4C2"/>
        <bgColor rgb="FFE6E4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DAD8CE"/>
      </top>
      <bottom style="thin">
        <color rgb="FF878580"/>
      </bottom>
      <diagonal/>
    </border>
    <border diagonalUp="false" diagonalDown="false">
      <left/>
      <right/>
      <top style="thin">
        <color rgb="FFDAD8CE"/>
      </top>
      <bottom style="thin">
        <color rgb="FFDAD8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4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5AC"/>
      <rgbColor rgb="FF878580"/>
      <rgbColor rgb="FF9999FF"/>
      <rgbColor rgb="FF993366"/>
      <rgbColor rgb="FFF2F0E5"/>
      <rgbColor rgb="FFCCFFFF"/>
      <rgbColor rgb="FF660066"/>
      <rgbColor rgb="FFFF8080"/>
      <rgbColor rgb="FF205EA6"/>
      <rgbColor rgb="FFDAD8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4C2"/>
      <rgbColor rgb="FFF3E6B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E69"/>
      <rgbColor rgb="FF969696"/>
      <rgbColor rgb="FF003366"/>
      <rgbColor rgb="FF339966"/>
      <rgbColor rgb="FF100F0F"/>
      <rgbColor rgb="FF282726"/>
      <rgbColor rgb="FF993300"/>
      <rgbColor rgb="FF993366"/>
      <rgbColor rgb="FF575653"/>
      <rgbColor rgb="FF403E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23.8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57.75" hidden="false" customHeight="true" outlineLevel="0" collapsed="false">
      <c r="B13" s="6" t="s">
        <v>15</v>
      </c>
      <c r="C13" s="6"/>
    </row>
    <row r="15" customFormat="false" ht="15" hidden="false" customHeight="false" outlineLevel="0" collapsed="false">
      <c r="B15" s="5" t="s">
        <v>16</v>
      </c>
    </row>
    <row r="16" customFormat="false" ht="15" hidden="false" customHeight="false" outlineLevel="0" collapsed="false">
      <c r="B16" s="7" t="s">
        <v>17</v>
      </c>
      <c r="C16" s="7" t="s">
        <v>18</v>
      </c>
    </row>
    <row r="17" customFormat="false" ht="15" hidden="false" customHeight="false" outlineLevel="0" collapsed="false">
      <c r="B17" s="8" t="s">
        <v>19</v>
      </c>
      <c r="C17" s="9" t="s">
        <v>20</v>
      </c>
    </row>
    <row r="18" customFormat="false" ht="15" hidden="false" customHeight="false" outlineLevel="0" collapsed="false">
      <c r="B18" s="10" t="s">
        <v>21</v>
      </c>
      <c r="C18" s="11" t="s">
        <v>22</v>
      </c>
    </row>
    <row r="19" customFormat="false" ht="15" hidden="false" customHeight="false" outlineLevel="0" collapsed="false">
      <c r="B19" s="8" t="s">
        <v>23</v>
      </c>
      <c r="C19" s="9" t="s">
        <v>24</v>
      </c>
    </row>
    <row r="20" customFormat="false" ht="15" hidden="false" customHeight="false" outlineLevel="0" collapsed="false">
      <c r="B20" s="10" t="s">
        <v>25</v>
      </c>
      <c r="C20" s="11" t="s">
        <v>26</v>
      </c>
    </row>
    <row r="21" customFormat="false" ht="15" hidden="false" customHeight="false" outlineLevel="0" collapsed="false">
      <c r="B21" s="8" t="s">
        <v>27</v>
      </c>
      <c r="C21" s="9" t="s">
        <v>28</v>
      </c>
    </row>
    <row r="22" customFormat="false" ht="15" hidden="false" customHeight="false" outlineLevel="0" collapsed="false">
      <c r="B22" s="10" t="s">
        <v>29</v>
      </c>
      <c r="C22" s="11" t="s">
        <v>30</v>
      </c>
    </row>
    <row r="23" customFormat="false" ht="15" hidden="false" customHeight="false" outlineLevel="0" collapsed="false">
      <c r="B23" s="8" t="s">
        <v>31</v>
      </c>
      <c r="C23" s="9" t="s">
        <v>32</v>
      </c>
    </row>
    <row r="24" customFormat="false" ht="15" hidden="false" customHeight="false" outlineLevel="0" collapsed="false">
      <c r="B24" s="10" t="s">
        <v>33</v>
      </c>
      <c r="C24" s="11" t="s">
        <v>34</v>
      </c>
    </row>
    <row r="25" customFormat="false" ht="15" hidden="false" customHeight="false" outlineLevel="0" collapsed="false">
      <c r="B25" s="8" t="s">
        <v>35</v>
      </c>
      <c r="C25" s="9" t="s">
        <v>36</v>
      </c>
    </row>
    <row r="26" customFormat="false" ht="15" hidden="false" customHeight="false" outlineLevel="0" collapsed="false">
      <c r="B26" s="10" t="s">
        <v>37</v>
      </c>
      <c r="C26" s="11" t="s">
        <v>38</v>
      </c>
    </row>
    <row r="27" customFormat="false" ht="15" hidden="false" customHeight="false" outlineLevel="0" collapsed="false">
      <c r="B27" s="8" t="s">
        <v>39</v>
      </c>
      <c r="C27" s="9" t="s">
        <v>40</v>
      </c>
    </row>
    <row r="28" customFormat="false" ht="15" hidden="false" customHeight="false" outlineLevel="0" collapsed="false">
      <c r="B28" s="10" t="s">
        <v>41</v>
      </c>
      <c r="C28" s="11" t="s">
        <v>42</v>
      </c>
    </row>
    <row r="29" customFormat="false" ht="15" hidden="false" customHeight="false" outlineLevel="0" collapsed="false">
      <c r="B29" s="8" t="s">
        <v>43</v>
      </c>
      <c r="C29" s="9" t="s">
        <v>44</v>
      </c>
    </row>
    <row r="30" customFormat="false" ht="15" hidden="false" customHeight="false" outlineLevel="0" collapsed="false">
      <c r="B30" s="10" t="s">
        <v>45</v>
      </c>
      <c r="C30" s="11" t="s">
        <v>46</v>
      </c>
    </row>
    <row r="31" customFormat="false" ht="15" hidden="false" customHeight="false" outlineLevel="0" collapsed="false">
      <c r="B31" s="8" t="s">
        <v>47</v>
      </c>
      <c r="C31" s="9" t="s">
        <v>48</v>
      </c>
    </row>
    <row r="32" customFormat="false" ht="15" hidden="false" customHeight="false" outlineLevel="0" collapsed="false">
      <c r="B32" s="10" t="s">
        <v>49</v>
      </c>
      <c r="C32" s="11" t="s">
        <v>50</v>
      </c>
    </row>
    <row r="35" customFormat="false" ht="15" hidden="false" customHeight="false" outlineLevel="0" collapsed="false">
      <c r="B35" s="5" t="s">
        <v>51</v>
      </c>
    </row>
    <row r="36" customFormat="false" ht="15" hidden="false" customHeight="false" outlineLevel="0" collapsed="false">
      <c r="B36" s="12" t="s">
        <v>52</v>
      </c>
      <c r="C36" s="13" t="s">
        <v>53</v>
      </c>
    </row>
    <row r="37" customFormat="false" ht="15" hidden="false" customHeight="false" outlineLevel="0" collapsed="false">
      <c r="B37" s="14" t="s">
        <v>52</v>
      </c>
      <c r="C37" s="13" t="s">
        <v>54</v>
      </c>
    </row>
    <row r="38" customFormat="false" ht="15" hidden="false" customHeight="false" outlineLevel="0" collapsed="false">
      <c r="B38" s="15" t="s">
        <v>52</v>
      </c>
      <c r="C38" s="13" t="s">
        <v>55</v>
      </c>
    </row>
    <row r="39" customFormat="false" ht="15" hidden="false" customHeight="false" outlineLevel="0" collapsed="false">
      <c r="B39" s="16" t="s">
        <v>52</v>
      </c>
      <c r="C39" s="13" t="s">
        <v>56</v>
      </c>
    </row>
  </sheetData>
  <mergeCells count="2">
    <mergeCell ref="B3:C3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1" min="11" style="0" width="13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57</v>
      </c>
    </row>
    <row r="3" customFormat="false" ht="24.75" hidden="false" customHeight="true" outlineLevel="0" collapsed="false">
      <c r="B3" s="17" t="s">
        <v>58</v>
      </c>
      <c r="C3" s="17"/>
      <c r="D3" s="17"/>
      <c r="E3" s="17"/>
      <c r="F3" s="17"/>
      <c r="G3" s="17"/>
      <c r="H3" s="17"/>
      <c r="I3" s="17"/>
      <c r="J3" s="17"/>
      <c r="K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60</v>
      </c>
      <c r="C6" s="18"/>
      <c r="D6" s="18"/>
      <c r="E6" s="18"/>
      <c r="F6" s="18"/>
      <c r="G6" s="18"/>
      <c r="H6" s="18"/>
      <c r="I6" s="18"/>
      <c r="J6" s="18"/>
      <c r="K6" s="18"/>
    </row>
    <row r="7" customFormat="false" ht="13.5" hidden="false" customHeight="true" outlineLevel="0" collapsed="false">
      <c r="B7" s="18" t="s">
        <v>61</v>
      </c>
      <c r="C7" s="18"/>
      <c r="D7" s="18"/>
      <c r="E7" s="18"/>
      <c r="F7" s="18"/>
      <c r="G7" s="18"/>
      <c r="H7" s="18"/>
      <c r="I7" s="18"/>
      <c r="J7" s="18"/>
      <c r="K7" s="18"/>
    </row>
    <row r="9" customFormat="false" ht="24" hidden="false" customHeight="true" outlineLevel="0" collapsed="false">
      <c r="B9" s="19" t="s">
        <v>62</v>
      </c>
      <c r="C9" s="19" t="s">
        <v>63</v>
      </c>
      <c r="D9" s="19" t="s">
        <v>64</v>
      </c>
      <c r="E9" s="19" t="s">
        <v>65</v>
      </c>
      <c r="F9" s="19" t="s">
        <v>66</v>
      </c>
      <c r="G9" s="19" t="s">
        <v>67</v>
      </c>
      <c r="H9" s="19" t="s">
        <v>68</v>
      </c>
      <c r="I9" s="19" t="s">
        <v>69</v>
      </c>
      <c r="J9" s="19" t="s">
        <v>70</v>
      </c>
      <c r="K9" s="19" t="s">
        <v>71</v>
      </c>
    </row>
    <row r="10" customFormat="false" ht="15" hidden="false" customHeight="false" outlineLevel="0" collapsed="false">
      <c r="B10" s="20" t="s">
        <v>72</v>
      </c>
      <c r="C10" s="21" t="n">
        <v>1.4518</v>
      </c>
      <c r="D10" s="21" t="n">
        <v>1.1381</v>
      </c>
      <c r="E10" s="21" t="n">
        <v>0.3137</v>
      </c>
      <c r="F10" s="22" t="n">
        <v>21.61</v>
      </c>
      <c r="G10" s="23" t="n">
        <v>46.66963</v>
      </c>
      <c r="H10" s="22" t="n">
        <v>9.88</v>
      </c>
      <c r="I10" s="21" t="n">
        <v>0.8091</v>
      </c>
      <c r="J10" s="21" t="n">
        <v>0.9337</v>
      </c>
      <c r="K10" s="23" t="n">
        <v>3910.6</v>
      </c>
    </row>
    <row r="11" customFormat="false" ht="15" hidden="false" customHeight="false" outlineLevel="0" collapsed="false">
      <c r="B11" s="24" t="s">
        <v>73</v>
      </c>
      <c r="C11" s="25" t="n">
        <v>1.638</v>
      </c>
      <c r="D11" s="25" t="n">
        <v>1.1436</v>
      </c>
      <c r="E11" s="25" t="n">
        <v>0.4944</v>
      </c>
      <c r="F11" s="26" t="n">
        <v>30.18</v>
      </c>
      <c r="G11" s="27" t="n">
        <v>57.013784</v>
      </c>
      <c r="H11" s="26" t="n">
        <v>19.37</v>
      </c>
      <c r="I11" s="25" t="n">
        <v>0.9128</v>
      </c>
      <c r="J11" s="25" t="n">
        <v>1.0813</v>
      </c>
      <c r="K11" s="27" t="n">
        <v>1454.7</v>
      </c>
    </row>
    <row r="12" customFormat="false" ht="15" hidden="false" customHeight="false" outlineLevel="0" collapsed="false">
      <c r="B12" s="20" t="s">
        <v>74</v>
      </c>
      <c r="C12" s="21" t="n">
        <v>1.6363</v>
      </c>
      <c r="D12" s="21" t="n">
        <v>1.2644</v>
      </c>
      <c r="E12" s="21" t="n">
        <v>0.3719</v>
      </c>
      <c r="F12" s="22" t="n">
        <v>22.73</v>
      </c>
      <c r="G12" s="23" t="n">
        <v>10.05854</v>
      </c>
      <c r="H12" s="22" t="n">
        <v>42.38</v>
      </c>
      <c r="I12" s="21" t="n">
        <v>0.9119</v>
      </c>
      <c r="J12" s="21" t="n">
        <v>1.2275</v>
      </c>
      <c r="K12" s="23" t="n">
        <v>16714.1</v>
      </c>
    </row>
    <row r="13" customFormat="false" ht="15" hidden="false" customHeight="false" outlineLevel="0" collapsed="false">
      <c r="B13" s="24" t="s">
        <v>75</v>
      </c>
      <c r="C13" s="25" t="n">
        <v>2.3078</v>
      </c>
      <c r="D13" s="25" t="n">
        <v>1.445</v>
      </c>
      <c r="E13" s="25" t="n">
        <v>0.8629</v>
      </c>
      <c r="F13" s="26" t="n">
        <v>37.39</v>
      </c>
      <c r="G13" s="27" t="n">
        <v>42.480773</v>
      </c>
      <c r="H13" s="26" t="n">
        <v>56.5</v>
      </c>
      <c r="I13" s="25" t="n">
        <v>1.2861</v>
      </c>
      <c r="J13" s="25" t="n">
        <v>0.7824</v>
      </c>
      <c r="K13" s="27" t="n">
        <v>3488.8</v>
      </c>
    </row>
    <row r="14" customFormat="false" ht="15" hidden="false" customHeight="false" outlineLevel="0" collapsed="false">
      <c r="B14" s="20" t="s">
        <v>76</v>
      </c>
      <c r="C14" s="21" t="n">
        <v>1.8729</v>
      </c>
      <c r="D14" s="21" t="n">
        <v>1.3466</v>
      </c>
      <c r="E14" s="21" t="n">
        <v>0.5263</v>
      </c>
      <c r="F14" s="22" t="n">
        <v>28.1</v>
      </c>
      <c r="G14" s="23" t="n">
        <v>67.908498</v>
      </c>
      <c r="H14" s="22" t="n">
        <v>17.83</v>
      </c>
      <c r="I14" s="21" t="n">
        <v>1.0437</v>
      </c>
      <c r="J14" s="21" t="n">
        <v>0.8246</v>
      </c>
      <c r="K14" s="23" t="n">
        <v>831.6</v>
      </c>
    </row>
    <row r="15" customFormat="false" ht="15" hidden="false" customHeight="false" outlineLevel="0" collapsed="false">
      <c r="B15" s="24" t="s">
        <v>77</v>
      </c>
      <c r="C15" s="25" t="n">
        <v>1.9606</v>
      </c>
      <c r="D15" s="25" t="n">
        <v>1.2589</v>
      </c>
      <c r="E15" s="25" t="n">
        <v>0.7018</v>
      </c>
      <c r="F15" s="26" t="n">
        <v>35.79</v>
      </c>
      <c r="G15" s="27" t="n">
        <v>21.908382</v>
      </c>
      <c r="H15" s="26" t="n">
        <v>50.26</v>
      </c>
      <c r="I15" s="25" t="n">
        <v>1.0926</v>
      </c>
      <c r="J15" s="25" t="n">
        <v>0.8401</v>
      </c>
      <c r="K15" s="27" t="n">
        <v>2835.3</v>
      </c>
    </row>
    <row r="16" customFormat="false" ht="15" hidden="false" customHeight="false" outlineLevel="0" collapsed="false">
      <c r="B16" s="20" t="s">
        <v>78</v>
      </c>
      <c r="C16" s="21" t="n">
        <v>2.1117</v>
      </c>
      <c r="D16" s="21" t="n">
        <v>1.5253</v>
      </c>
      <c r="E16" s="21" t="n">
        <v>0.5864</v>
      </c>
      <c r="F16" s="22" t="n">
        <v>27.77</v>
      </c>
      <c r="G16" s="23" t="n">
        <v>21.695714</v>
      </c>
      <c r="H16" s="22" t="n">
        <v>61.63</v>
      </c>
      <c r="I16" s="21" t="n">
        <v>1.1768</v>
      </c>
      <c r="J16" s="21" t="n">
        <v>1.1739</v>
      </c>
      <c r="K16" s="23" t="n">
        <v>481</v>
      </c>
    </row>
    <row r="17" customFormat="false" ht="15" hidden="false" customHeight="false" outlineLevel="0" collapsed="false">
      <c r="B17" s="24" t="s">
        <v>79</v>
      </c>
      <c r="C17" s="25" t="n">
        <v>2.0993</v>
      </c>
      <c r="D17" s="25" t="n">
        <v>1.4822</v>
      </c>
      <c r="E17" s="25" t="n">
        <v>0.6172</v>
      </c>
      <c r="F17" s="26" t="n">
        <v>29.4</v>
      </c>
      <c r="G17" s="27" t="n">
        <v>13.308942</v>
      </c>
      <c r="H17" s="26" t="n">
        <v>41.19</v>
      </c>
      <c r="I17" s="25" t="n">
        <v>1.1699</v>
      </c>
      <c r="J17" s="25" t="n">
        <v>1.7082</v>
      </c>
      <c r="K17" s="27" t="n">
        <v>1112.1</v>
      </c>
    </row>
    <row r="18" customFormat="false" ht="15" hidden="false" customHeight="false" outlineLevel="0" collapsed="false">
      <c r="B18" s="20" t="s">
        <v>80</v>
      </c>
      <c r="C18" s="21" t="n">
        <v>2.0516</v>
      </c>
      <c r="D18" s="21" t="n">
        <v>1.2969</v>
      </c>
      <c r="E18" s="21" t="n">
        <v>0.7546</v>
      </c>
      <c r="F18" s="22" t="n">
        <v>36.78</v>
      </c>
      <c r="G18" s="23" t="n">
        <v>19.871659</v>
      </c>
      <c r="H18" s="22" t="n">
        <v>32.87</v>
      </c>
      <c r="I18" s="21" t="n">
        <v>1.1433</v>
      </c>
      <c r="J18" s="21" t="n">
        <v>1.2579</v>
      </c>
      <c r="K18" s="23" t="n">
        <v>276.5</v>
      </c>
    </row>
    <row r="19" customFormat="false" ht="15" hidden="false" customHeight="false" outlineLevel="0" collapsed="false">
      <c r="B19" s="24" t="s">
        <v>81</v>
      </c>
      <c r="C19" s="25" t="n">
        <v>1.9018</v>
      </c>
      <c r="D19" s="25" t="n">
        <v>1.3189</v>
      </c>
      <c r="E19" s="25" t="n">
        <v>0.5829</v>
      </c>
      <c r="F19" s="26" t="n">
        <v>30.65</v>
      </c>
      <c r="G19" s="27" t="n">
        <v>23.147649</v>
      </c>
      <c r="H19" s="26" t="n">
        <v>28.18</v>
      </c>
      <c r="I19" s="25" t="n">
        <v>1.0598</v>
      </c>
      <c r="J19" s="25" t="n">
        <v>1.0874</v>
      </c>
      <c r="K19" s="27" t="n">
        <v>2679.2</v>
      </c>
    </row>
    <row r="20" customFormat="false" ht="15" hidden="false" customHeight="false" outlineLevel="0" collapsed="false">
      <c r="B20" s="20" t="s">
        <v>82</v>
      </c>
      <c r="C20" s="21" t="n">
        <v>1.959</v>
      </c>
      <c r="D20" s="21" t="n">
        <v>1.3859</v>
      </c>
      <c r="E20" s="21" t="n">
        <v>0.573</v>
      </c>
      <c r="F20" s="22" t="n">
        <v>29.25</v>
      </c>
      <c r="G20" s="23" t="n">
        <v>11.326838</v>
      </c>
      <c r="H20" s="22" t="n">
        <v>49.25</v>
      </c>
      <c r="I20" s="21" t="n">
        <v>1.0917</v>
      </c>
      <c r="J20" s="21" t="n">
        <v>1.2958</v>
      </c>
      <c r="K20" s="23" t="n">
        <v>10677.8</v>
      </c>
    </row>
    <row r="21" customFormat="false" ht="15" hidden="false" customHeight="false" outlineLevel="0" collapsed="false">
      <c r="B21" s="24" t="s">
        <v>83</v>
      </c>
      <c r="C21" s="25" t="n">
        <v>2.0018</v>
      </c>
      <c r="D21" s="25" t="n">
        <v>1.5034</v>
      </c>
      <c r="E21" s="25" t="n">
        <v>0.4984</v>
      </c>
      <c r="F21" s="26" t="n">
        <v>24.9</v>
      </c>
      <c r="G21" s="27" t="n">
        <v>17.24754</v>
      </c>
      <c r="H21" s="26" t="n">
        <v>26.48</v>
      </c>
      <c r="I21" s="25" t="n">
        <v>1.1156</v>
      </c>
      <c r="J21" s="25" t="n">
        <v>0.9333</v>
      </c>
      <c r="K21" s="27" t="n">
        <v>785.5</v>
      </c>
    </row>
    <row r="22" customFormat="false" ht="15" hidden="false" customHeight="false" outlineLevel="0" collapsed="false">
      <c r="B22" s="20" t="s">
        <v>84</v>
      </c>
      <c r="C22" s="21" t="n">
        <v>1.9907</v>
      </c>
      <c r="D22" s="21" t="n">
        <v>1.3973</v>
      </c>
      <c r="E22" s="21" t="n">
        <v>0.5934</v>
      </c>
      <c r="F22" s="22" t="n">
        <v>29.81</v>
      </c>
      <c r="G22" s="23" t="n">
        <v>15.450806</v>
      </c>
      <c r="H22" s="22" t="n">
        <v>34.15</v>
      </c>
      <c r="I22" s="21" t="n">
        <v>1.1094</v>
      </c>
      <c r="J22" s="21" t="n">
        <v>1.1154</v>
      </c>
      <c r="K22" s="23" t="n">
        <v>601.2</v>
      </c>
    </row>
    <row r="23" customFormat="false" ht="15" hidden="false" customHeight="false" outlineLevel="0" collapsed="false">
      <c r="B23" s="24" t="s">
        <v>85</v>
      </c>
      <c r="C23" s="25" t="n">
        <v>2.1019</v>
      </c>
      <c r="D23" s="25" t="n">
        <v>1.553</v>
      </c>
      <c r="E23" s="25" t="n">
        <v>0.5489</v>
      </c>
      <c r="F23" s="26" t="n">
        <v>26.12</v>
      </c>
      <c r="G23" s="27" t="n">
        <v>15.981179</v>
      </c>
      <c r="H23" s="26" t="n">
        <v>29.69</v>
      </c>
      <c r="I23" s="25" t="n">
        <v>1.1714</v>
      </c>
      <c r="J23" s="25" t="n">
        <v>1.1089</v>
      </c>
      <c r="K23" s="27" t="n">
        <v>220.2</v>
      </c>
    </row>
    <row r="24" customFormat="false" ht="15" hidden="false" customHeight="false" outlineLevel="0" collapsed="false">
      <c r="B24" s="20" t="s">
        <v>86</v>
      </c>
      <c r="C24" s="21" t="n">
        <v>1.839</v>
      </c>
      <c r="D24" s="21" t="n">
        <v>1.278</v>
      </c>
      <c r="E24" s="21" t="n">
        <v>0.5609</v>
      </c>
      <c r="F24" s="22" t="n">
        <v>30.5</v>
      </c>
      <c r="G24" s="23" t="n">
        <v>40.291726</v>
      </c>
      <c r="H24" s="22" t="n">
        <v>16.31</v>
      </c>
      <c r="I24" s="21" t="n">
        <v>1.0248</v>
      </c>
      <c r="J24" s="21" t="n">
        <v>0.7383</v>
      </c>
      <c r="K24" s="23" t="n">
        <v>558.9</v>
      </c>
    </row>
    <row r="25" customFormat="false" ht="15" hidden="false" customHeight="false" outlineLevel="0" collapsed="false">
      <c r="B25" s="24" t="s">
        <v>87</v>
      </c>
      <c r="C25" s="25" t="n">
        <v>1.8341</v>
      </c>
      <c r="D25" s="25" t="n">
        <v>1.4488</v>
      </c>
      <c r="E25" s="25" t="n">
        <v>0.3853</v>
      </c>
      <c r="F25" s="26" t="n">
        <v>21.01</v>
      </c>
      <c r="G25" s="27" t="n">
        <v>11.553376</v>
      </c>
      <c r="H25" s="26" t="n">
        <v>28.35</v>
      </c>
      <c r="I25" s="25" t="n">
        <v>1.0221</v>
      </c>
      <c r="J25" s="25" t="n">
        <v>1.3245</v>
      </c>
      <c r="K25" s="27" t="n">
        <v>2093.9</v>
      </c>
    </row>
    <row r="26" customFormat="false" ht="15" hidden="false" customHeight="false" outlineLevel="0" collapsed="false">
      <c r="B26" s="20" t="s">
        <v>88</v>
      </c>
      <c r="C26" s="21" t="n">
        <v>1.6959</v>
      </c>
      <c r="D26" s="21" t="n">
        <v>1.263</v>
      </c>
      <c r="E26" s="21" t="n">
        <v>0.4329</v>
      </c>
      <c r="F26" s="22" t="n">
        <v>25.53</v>
      </c>
      <c r="G26" s="23" t="n">
        <v>30.130427</v>
      </c>
      <c r="H26" s="22" t="n">
        <v>16.06</v>
      </c>
      <c r="I26" s="21" t="n">
        <v>0.9451</v>
      </c>
      <c r="J26" s="21" t="n">
        <v>0.6865</v>
      </c>
      <c r="K26" s="23" t="n">
        <v>6925.6</v>
      </c>
    </row>
    <row r="27" customFormat="false" ht="15" hidden="false" customHeight="false" outlineLevel="0" collapsed="false">
      <c r="B27" s="24" t="s">
        <v>89</v>
      </c>
      <c r="C27" s="25" t="n">
        <v>1.418</v>
      </c>
      <c r="D27" s="25" t="n">
        <v>1.1911</v>
      </c>
      <c r="E27" s="25" t="n">
        <v>0.2269</v>
      </c>
      <c r="F27" s="26" t="n">
        <v>16</v>
      </c>
      <c r="G27" s="27" t="n">
        <v>36.91837</v>
      </c>
      <c r="H27" s="26" t="n">
        <v>7.57</v>
      </c>
      <c r="I27" s="25" t="n">
        <v>0.7903</v>
      </c>
      <c r="J27" s="25" t="n">
        <v>0.9074</v>
      </c>
      <c r="K27" s="27" t="n">
        <v>10529.7</v>
      </c>
    </row>
    <row r="28" customFormat="false" ht="15" hidden="false" customHeight="false" outlineLevel="0" collapsed="false">
      <c r="B28" s="20" t="s">
        <v>90</v>
      </c>
      <c r="C28" s="21" t="n">
        <v>1.7741</v>
      </c>
      <c r="D28" s="21" t="n">
        <v>1.2359</v>
      </c>
      <c r="E28" s="21" t="n">
        <v>0.5382</v>
      </c>
      <c r="F28" s="22" t="n">
        <v>30.34</v>
      </c>
      <c r="G28" s="23" t="n">
        <v>22.414613</v>
      </c>
      <c r="H28" s="22" t="n">
        <v>23.05</v>
      </c>
      <c r="I28" s="21" t="n">
        <v>0.9887</v>
      </c>
      <c r="J28" s="21" t="n">
        <v>1.2165</v>
      </c>
      <c r="K28" s="23" t="n">
        <v>8574.3</v>
      </c>
    </row>
    <row r="29" customFormat="false" ht="15" hidden="false" customHeight="false" outlineLevel="0" collapsed="false">
      <c r="B29" s="24" t="s">
        <v>91</v>
      </c>
      <c r="C29" s="25" t="n">
        <v>1.5007</v>
      </c>
      <c r="D29" s="25" t="n">
        <v>1.2322</v>
      </c>
      <c r="E29" s="25" t="n">
        <v>0.2686</v>
      </c>
      <c r="F29" s="26" t="n">
        <v>17.9</v>
      </c>
      <c r="G29" s="27" t="n">
        <v>49.150855</v>
      </c>
      <c r="H29" s="26" t="n">
        <v>8.38</v>
      </c>
      <c r="I29" s="25" t="n">
        <v>0.8363</v>
      </c>
      <c r="J29" s="25" t="n">
        <v>1.1829</v>
      </c>
      <c r="K29" s="27" t="n">
        <v>8188.5</v>
      </c>
    </row>
    <row r="30" customFormat="false" ht="15" hidden="false" customHeight="false" outlineLevel="0" collapsed="false">
      <c r="B30" s="20" t="s">
        <v>92</v>
      </c>
      <c r="C30" s="21" t="n">
        <v>1.4696</v>
      </c>
      <c r="D30" s="21" t="n">
        <v>1.2814</v>
      </c>
      <c r="E30" s="21" t="n">
        <v>0.1882</v>
      </c>
      <c r="F30" s="22" t="n">
        <v>12.81</v>
      </c>
      <c r="G30" s="23" t="n">
        <v>12.731223</v>
      </c>
      <c r="H30" s="22" t="n">
        <v>20.61</v>
      </c>
      <c r="I30" s="21" t="n">
        <v>0.819</v>
      </c>
      <c r="J30" s="21" t="n">
        <v>1.2135</v>
      </c>
      <c r="K30" s="23" t="n">
        <v>2972.4</v>
      </c>
    </row>
    <row r="31" customFormat="false" ht="15" hidden="false" customHeight="false" outlineLevel="0" collapsed="false">
      <c r="B31" s="24" t="s">
        <v>93</v>
      </c>
      <c r="C31" s="25" t="n">
        <v>1.1462</v>
      </c>
      <c r="D31" s="25" t="n">
        <v>1.086</v>
      </c>
      <c r="E31" s="25" t="n">
        <v>0.0602</v>
      </c>
      <c r="F31" s="26" t="n">
        <v>5.25</v>
      </c>
      <c r="G31" s="27" t="n">
        <v>6.254494</v>
      </c>
      <c r="H31" s="26" t="n">
        <v>12.28</v>
      </c>
      <c r="I31" s="25" t="n">
        <v>0.6388</v>
      </c>
      <c r="J31" s="25" t="n">
        <v>0.6529</v>
      </c>
      <c r="K31" s="27" t="n">
        <v>3547.6</v>
      </c>
    </row>
    <row r="32" customFormat="false" ht="15" hidden="false" customHeight="false" outlineLevel="0" collapsed="false">
      <c r="B32" s="20" t="s">
        <v>94</v>
      </c>
      <c r="C32" s="21" t="n">
        <v>1.7586</v>
      </c>
      <c r="D32" s="21" t="n">
        <v>1.1969</v>
      </c>
      <c r="E32" s="21" t="n">
        <v>0.5617</v>
      </c>
      <c r="F32" s="22" t="n">
        <v>31.94</v>
      </c>
      <c r="G32" s="23" t="n">
        <v>50.242309</v>
      </c>
      <c r="H32" s="22" t="n">
        <v>22.16</v>
      </c>
      <c r="I32" s="21" t="n">
        <v>0.98</v>
      </c>
      <c r="J32" s="21" t="n">
        <v>0.7478</v>
      </c>
      <c r="K32" s="23" t="n">
        <v>2126.7</v>
      </c>
    </row>
    <row r="33" customFormat="false" ht="15" hidden="false" customHeight="false" outlineLevel="0" collapsed="false">
      <c r="B33" s="24" t="s">
        <v>95</v>
      </c>
      <c r="C33" s="25" t="n">
        <v>1.31</v>
      </c>
      <c r="D33" s="25" t="n">
        <v>1.158</v>
      </c>
      <c r="E33" s="25" t="n">
        <v>0.1521</v>
      </c>
      <c r="F33" s="26" t="n">
        <v>11.61</v>
      </c>
      <c r="G33" s="27" t="n">
        <v>33.607961</v>
      </c>
      <c r="H33" s="26" t="n">
        <v>7.06</v>
      </c>
      <c r="I33" s="25" t="n">
        <v>0.7301</v>
      </c>
      <c r="J33" s="25" t="n">
        <v>0.5705</v>
      </c>
      <c r="K33" s="27" t="n">
        <v>3396.7</v>
      </c>
    </row>
    <row r="34" customFormat="false" ht="15" hidden="false" customHeight="false" outlineLevel="0" collapsed="false">
      <c r="B34" s="20" t="s">
        <v>96</v>
      </c>
      <c r="C34" s="21" t="n">
        <v>1.5351</v>
      </c>
      <c r="D34" s="21" t="n">
        <v>1.2415</v>
      </c>
      <c r="E34" s="21" t="n">
        <v>0.2936</v>
      </c>
      <c r="F34" s="22" t="n">
        <v>19.13</v>
      </c>
      <c r="G34" s="23" t="n">
        <v>28.663615</v>
      </c>
      <c r="H34" s="22" t="n">
        <v>14.87</v>
      </c>
      <c r="I34" s="21" t="n">
        <v>0.8555</v>
      </c>
      <c r="J34" s="21" t="n">
        <v>0.5699</v>
      </c>
      <c r="K34" s="23" t="n">
        <v>3257.4</v>
      </c>
    </row>
    <row r="35" customFormat="false" ht="15" hidden="false" customHeight="false" outlineLevel="0" collapsed="false">
      <c r="B35" s="24" t="s">
        <v>97</v>
      </c>
      <c r="C35" s="25" t="n">
        <v>1.4267</v>
      </c>
      <c r="D35" s="25" t="n">
        <v>1.2128</v>
      </c>
      <c r="E35" s="25" t="n">
        <v>0.2139</v>
      </c>
      <c r="F35" s="26" t="n">
        <v>15</v>
      </c>
      <c r="G35" s="27" t="n">
        <v>19.469589</v>
      </c>
      <c r="H35" s="26" t="n">
        <v>16.04</v>
      </c>
      <c r="I35" s="25" t="n">
        <v>0.7951</v>
      </c>
      <c r="J35" s="25" t="n">
        <v>0.5991</v>
      </c>
      <c r="K35" s="27" t="n">
        <v>6381.3</v>
      </c>
    </row>
    <row r="36" customFormat="false" ht="15" hidden="false" customHeight="false" outlineLevel="0" collapsed="false">
      <c r="B36" s="28" t="s">
        <v>98</v>
      </c>
      <c r="C36" s="29" t="n">
        <f aca="false">AVERAGE(C10:C35)</f>
        <v>1.76127692307692</v>
      </c>
      <c r="D36" s="29" t="n">
        <f aca="false">AVERAGE(D10:D35)</f>
        <v>1.30327307692308</v>
      </c>
      <c r="E36" s="29" t="n">
        <f aca="false">AVERAGE(E10:E35)</f>
        <v>0.458011538461538</v>
      </c>
      <c r="F36" s="30" t="n">
        <f aca="false">AVERAGE(F10:F35)</f>
        <v>24.9038461538462</v>
      </c>
      <c r="G36" s="31" t="n">
        <f aca="false">AVERAGE(G10:G35)</f>
        <v>27.9037881538462</v>
      </c>
      <c r="H36" s="30" t="n">
        <f aca="false">AVERAGE(H10:H35)</f>
        <v>26.6307692307692</v>
      </c>
      <c r="I36" s="29" t="n">
        <f aca="false">AVERAGE(I10:I35)</f>
        <v>0.981534615384615</v>
      </c>
      <c r="J36" s="29" t="n">
        <f aca="false">AVERAGE(J10:J35)</f>
        <v>0.991546153846154</v>
      </c>
      <c r="K36" s="31" t="n">
        <f aca="false">SUM(K10:K35)</f>
        <v>104621.6</v>
      </c>
    </row>
    <row r="37" customFormat="false" ht="15" hidden="false" customHeight="false" outlineLevel="0" collapsed="false">
      <c r="B37" s="28" t="s">
        <v>99</v>
      </c>
      <c r="C37" s="29" t="n">
        <f aca="false">SUMPRODUCT(C10:C35,$K$10:$K$35)/SUM($K$10:$K$35)</f>
        <v>1.65848722462665</v>
      </c>
      <c r="D37" s="29" t="n">
        <f aca="false">SUMPRODUCT(D10:D35,$K$10:$K$35)/SUM($K$10:$K$35)</f>
        <v>1.26227248359803</v>
      </c>
      <c r="E37" s="29" t="n">
        <f aca="false">SUMPRODUCT(E10:E35,$K$10:$K$35)/SUM($K$10:$K$35)</f>
        <v>0.396221917558133</v>
      </c>
      <c r="F37" s="30" t="n">
        <f aca="false">SUMPRODUCT(F10:F35,$K$10:$K$35)/SUM($K$10:$K$35)</f>
        <v>22.8695709107871</v>
      </c>
      <c r="G37" s="31" t="n">
        <f aca="false">SUMPRODUCT(G10:G35,$K$10:$K$35)/SUM($K$10:$K$35)</f>
        <v>25.5954803813285</v>
      </c>
      <c r="H37" s="30" t="n">
        <f aca="false">SUMPRODUCT(H10:H35,$K$10:$K$35)/SUM($K$10:$K$35)</f>
        <v>25.9582387289049</v>
      </c>
      <c r="I37" s="29" t="n">
        <f aca="false">SUMPRODUCT(I10:I35,$K$10:$K$35)/SUM($K$10:$K$35)</f>
        <v>0.924260462753389</v>
      </c>
      <c r="J37" s="29" t="n">
        <f aca="false">SUMPRODUCT(J10:J35,$K$10:$K$35)/SUM($K$10:$K$35)</f>
        <v>1.00830563315797</v>
      </c>
      <c r="K37" s="31"/>
    </row>
  </sheetData>
  <mergeCells count="3">
    <mergeCell ref="B3:K3"/>
    <mergeCell ref="B6:K6"/>
    <mergeCell ref="B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40"/>
    <col collapsed="false" customWidth="true" hidden="false" outlineLevel="0" max="6" min="3" style="0" width="10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100</v>
      </c>
    </row>
    <row r="3" customFormat="false" ht="24.75" hidden="false" customHeight="true" outlineLevel="0" collapsed="false">
      <c r="B3" s="17" t="s">
        <v>101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102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13.5" hidden="false" customHeight="true" outlineLevel="0" collapsed="false">
      <c r="B7" s="18" t="s">
        <v>103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9" customFormat="false" ht="24" hidden="false" customHeight="true" outlineLevel="0" collapsed="false">
      <c r="B9" s="19" t="s">
        <v>62</v>
      </c>
      <c r="C9" s="19" t="s">
        <v>104</v>
      </c>
      <c r="D9" s="19" t="s">
        <v>105</v>
      </c>
      <c r="E9" s="19" t="s">
        <v>106</v>
      </c>
      <c r="F9" s="19" t="s">
        <v>107</v>
      </c>
      <c r="G9" s="19" t="s">
        <v>108</v>
      </c>
      <c r="H9" s="19" t="s">
        <v>109</v>
      </c>
      <c r="I9" s="19" t="s">
        <v>69</v>
      </c>
      <c r="J9" s="19" t="s">
        <v>70</v>
      </c>
      <c r="K9" s="19" t="s">
        <v>110</v>
      </c>
      <c r="L9" s="19" t="s">
        <v>111</v>
      </c>
    </row>
    <row r="10" customFormat="false" ht="15" hidden="false" customHeight="false" outlineLevel="0" collapsed="false">
      <c r="B10" s="20" t="s">
        <v>75</v>
      </c>
      <c r="C10" s="21" t="n">
        <v>2.3078</v>
      </c>
      <c r="D10" s="21" t="n">
        <v>2.7887</v>
      </c>
      <c r="E10" s="23" t="n">
        <v>42.48077267</v>
      </c>
      <c r="F10" s="23" t="n">
        <v>51.16768084</v>
      </c>
      <c r="G10" s="21" t="n">
        <v>0.2006</v>
      </c>
      <c r="H10" s="21" t="n">
        <v>0.2515</v>
      </c>
      <c r="I10" s="21" t="n">
        <v>1.2861</v>
      </c>
      <c r="J10" s="21" t="n">
        <v>0.7824</v>
      </c>
      <c r="K10" s="21" t="n">
        <v>1.365</v>
      </c>
      <c r="L10" s="32" t="s">
        <v>112</v>
      </c>
    </row>
    <row r="11" customFormat="false" ht="15" hidden="false" customHeight="false" outlineLevel="0" collapsed="false">
      <c r="B11" s="24" t="s">
        <v>78</v>
      </c>
      <c r="C11" s="25" t="n">
        <v>2.1117</v>
      </c>
      <c r="D11" s="25" t="n">
        <v>2.4876</v>
      </c>
      <c r="E11" s="27" t="n">
        <v>21.69571425</v>
      </c>
      <c r="F11" s="27" t="n">
        <v>28.48677899</v>
      </c>
      <c r="G11" s="25" t="n">
        <v>0.1568</v>
      </c>
      <c r="H11" s="25" t="n">
        <v>0.1966</v>
      </c>
      <c r="I11" s="25" t="n">
        <v>1.1768</v>
      </c>
      <c r="J11" s="25" t="n">
        <v>1.1739</v>
      </c>
      <c r="K11" s="25" t="n">
        <v>0.1694</v>
      </c>
      <c r="L11" s="33" t="s">
        <v>113</v>
      </c>
    </row>
    <row r="12" customFormat="false" ht="15" hidden="false" customHeight="false" outlineLevel="0" collapsed="false">
      <c r="B12" s="20" t="s">
        <v>85</v>
      </c>
      <c r="C12" s="21" t="n">
        <v>2.1019</v>
      </c>
      <c r="D12" s="21" t="n">
        <v>2.7295</v>
      </c>
      <c r="E12" s="23" t="n">
        <v>15.98117909</v>
      </c>
      <c r="F12" s="23" t="n">
        <v>27.31989743</v>
      </c>
      <c r="G12" s="21" t="n">
        <v>0.2618</v>
      </c>
      <c r="H12" s="21" t="n">
        <v>0.3283</v>
      </c>
      <c r="I12" s="21" t="n">
        <v>1.1714</v>
      </c>
      <c r="J12" s="21" t="n">
        <v>1.1089</v>
      </c>
      <c r="K12" s="21" t="n">
        <v>0.0705</v>
      </c>
      <c r="L12" s="32" t="s">
        <v>113</v>
      </c>
    </row>
    <row r="13" customFormat="false" ht="15" hidden="false" customHeight="false" outlineLevel="0" collapsed="false">
      <c r="B13" s="24" t="s">
        <v>79</v>
      </c>
      <c r="C13" s="25" t="n">
        <v>2.0993</v>
      </c>
      <c r="D13" s="25" t="n">
        <v>2.5167</v>
      </c>
      <c r="E13" s="27" t="n">
        <v>13.3089421</v>
      </c>
      <c r="F13" s="27" t="n">
        <v>20.84870179</v>
      </c>
      <c r="G13" s="25" t="n">
        <v>0.1741</v>
      </c>
      <c r="H13" s="25" t="n">
        <v>0.2183</v>
      </c>
      <c r="I13" s="25" t="n">
        <v>1.1699</v>
      </c>
      <c r="J13" s="25" t="n">
        <v>1.7082</v>
      </c>
      <c r="K13" s="25" t="n">
        <v>0.3758</v>
      </c>
      <c r="L13" s="33" t="s">
        <v>113</v>
      </c>
    </row>
    <row r="14" customFormat="false" ht="15" hidden="false" customHeight="false" outlineLevel="0" collapsed="false">
      <c r="B14" s="20" t="s">
        <v>80</v>
      </c>
      <c r="C14" s="21" t="n">
        <v>2.0516</v>
      </c>
      <c r="D14" s="21" t="n">
        <v>2.6385</v>
      </c>
      <c r="E14" s="23" t="n">
        <v>19.87165901</v>
      </c>
      <c r="F14" s="23" t="n">
        <v>30.47414416</v>
      </c>
      <c r="G14" s="21" t="n">
        <v>0.2448</v>
      </c>
      <c r="H14" s="21" t="n">
        <v>0.307</v>
      </c>
      <c r="I14" s="21" t="n">
        <v>1.1433</v>
      </c>
      <c r="J14" s="21" t="n">
        <v>1.2579</v>
      </c>
      <c r="K14" s="21" t="n">
        <v>0.0943</v>
      </c>
      <c r="L14" s="32" t="s">
        <v>113</v>
      </c>
    </row>
    <row r="15" customFormat="false" ht="15" hidden="false" customHeight="false" outlineLevel="0" collapsed="false">
      <c r="B15" s="24" t="s">
        <v>83</v>
      </c>
      <c r="C15" s="25" t="n">
        <v>2.0018</v>
      </c>
      <c r="D15" s="25" t="n">
        <v>2.7062</v>
      </c>
      <c r="E15" s="27" t="n">
        <v>17.24754042</v>
      </c>
      <c r="F15" s="27" t="n">
        <v>29.97255501</v>
      </c>
      <c r="G15" s="25" t="n">
        <v>0.2939</v>
      </c>
      <c r="H15" s="25" t="n">
        <v>0.3685</v>
      </c>
      <c r="I15" s="25" t="n">
        <v>1.1156</v>
      </c>
      <c r="J15" s="25" t="n">
        <v>0.9333</v>
      </c>
      <c r="K15" s="25" t="n">
        <v>0.2577</v>
      </c>
      <c r="L15" s="33" t="s">
        <v>112</v>
      </c>
    </row>
    <row r="16" customFormat="false" ht="15" hidden="false" customHeight="false" outlineLevel="0" collapsed="false">
      <c r="B16" s="20" t="s">
        <v>84</v>
      </c>
      <c r="C16" s="21" t="n">
        <v>1.9907</v>
      </c>
      <c r="D16" s="21" t="n">
        <v>2.6144</v>
      </c>
      <c r="E16" s="23" t="n">
        <v>15.4508064</v>
      </c>
      <c r="F16" s="23" t="n">
        <v>26.71782185</v>
      </c>
      <c r="G16" s="21" t="n">
        <v>0.2602</v>
      </c>
      <c r="H16" s="21" t="n">
        <v>0.3262</v>
      </c>
      <c r="I16" s="21" t="n">
        <v>1.1094</v>
      </c>
      <c r="J16" s="21" t="n">
        <v>1.1154</v>
      </c>
      <c r="K16" s="21" t="n">
        <v>0.1931</v>
      </c>
      <c r="L16" s="32" t="s">
        <v>113</v>
      </c>
    </row>
    <row r="17" customFormat="false" ht="15" hidden="false" customHeight="false" outlineLevel="0" collapsed="false">
      <c r="B17" s="24" t="s">
        <v>77</v>
      </c>
      <c r="C17" s="25" t="n">
        <v>1.9606</v>
      </c>
      <c r="D17" s="25" t="n">
        <v>2.3894</v>
      </c>
      <c r="E17" s="27" t="n">
        <v>21.90838235</v>
      </c>
      <c r="F17" s="27" t="n">
        <v>29.65398865</v>
      </c>
      <c r="G17" s="25" t="n">
        <v>0.1789</v>
      </c>
      <c r="H17" s="25" t="n">
        <v>0.2243</v>
      </c>
      <c r="I17" s="25" t="n">
        <v>1.0926</v>
      </c>
      <c r="J17" s="25" t="n">
        <v>0.8401</v>
      </c>
      <c r="K17" s="25" t="n">
        <v>0.8813</v>
      </c>
      <c r="L17" s="33" t="s">
        <v>112</v>
      </c>
    </row>
    <row r="18" customFormat="false" ht="15" hidden="false" customHeight="false" outlineLevel="0" collapsed="false">
      <c r="B18" s="20" t="s">
        <v>82</v>
      </c>
      <c r="C18" s="21" t="n">
        <v>1.959</v>
      </c>
      <c r="D18" s="21" t="n">
        <v>2.3385</v>
      </c>
      <c r="E18" s="23" t="n">
        <v>11.32683814</v>
      </c>
      <c r="F18" s="23" t="n">
        <v>18.18403771</v>
      </c>
      <c r="G18" s="21" t="n">
        <v>0.1584</v>
      </c>
      <c r="H18" s="21" t="n">
        <v>0.1985</v>
      </c>
      <c r="I18" s="21" t="n">
        <v>1.0917</v>
      </c>
      <c r="J18" s="21" t="n">
        <v>1.2958</v>
      </c>
      <c r="K18" s="21" t="n">
        <v>3.4094</v>
      </c>
      <c r="L18" s="32" t="s">
        <v>113</v>
      </c>
    </row>
    <row r="19" customFormat="false" ht="15" hidden="false" customHeight="false" outlineLevel="0" collapsed="false">
      <c r="B19" s="24" t="s">
        <v>81</v>
      </c>
      <c r="C19" s="25" t="n">
        <v>1.9018</v>
      </c>
      <c r="D19" s="25" t="n">
        <v>2.5444</v>
      </c>
      <c r="E19" s="27" t="n">
        <v>23.1476487</v>
      </c>
      <c r="F19" s="27" t="n">
        <v>34.75755969</v>
      </c>
      <c r="G19" s="25" t="n">
        <v>0.2681</v>
      </c>
      <c r="H19" s="25" t="n">
        <v>0.3362</v>
      </c>
      <c r="I19" s="25" t="n">
        <v>1.0598</v>
      </c>
      <c r="J19" s="25" t="n">
        <v>1.0874</v>
      </c>
      <c r="K19" s="25" t="n">
        <v>0.8479</v>
      </c>
      <c r="L19" s="33" t="s">
        <v>113</v>
      </c>
    </row>
    <row r="20" customFormat="false" ht="15" hidden="false" customHeight="false" outlineLevel="0" collapsed="false">
      <c r="B20" s="20" t="s">
        <v>76</v>
      </c>
      <c r="C20" s="21" t="n">
        <v>1.8729</v>
      </c>
      <c r="D20" s="21" t="n">
        <v>2.4475</v>
      </c>
      <c r="E20" s="23" t="n">
        <v>67.90849806</v>
      </c>
      <c r="F20" s="23" t="n">
        <v>78.28932358</v>
      </c>
      <c r="G20" s="21" t="n">
        <v>0.2397</v>
      </c>
      <c r="H20" s="21" t="n">
        <v>0.3006</v>
      </c>
      <c r="I20" s="21" t="n">
        <v>1.0437</v>
      </c>
      <c r="J20" s="21" t="n">
        <v>0.8246</v>
      </c>
      <c r="K20" s="21" t="n">
        <v>0.2089</v>
      </c>
      <c r="L20" s="32" t="s">
        <v>112</v>
      </c>
    </row>
    <row r="21" customFormat="false" ht="15" hidden="false" customHeight="false" outlineLevel="0" collapsed="false">
      <c r="B21" s="24" t="s">
        <v>86</v>
      </c>
      <c r="C21" s="25" t="n">
        <v>1.839</v>
      </c>
      <c r="D21" s="25" t="n">
        <v>2.2711</v>
      </c>
      <c r="E21" s="27" t="n">
        <v>40.29172573</v>
      </c>
      <c r="F21" s="27" t="n">
        <v>48.0975377</v>
      </c>
      <c r="G21" s="25" t="n">
        <v>0.1803</v>
      </c>
      <c r="H21" s="25" t="n">
        <v>0.226</v>
      </c>
      <c r="I21" s="25" t="n">
        <v>1.0248</v>
      </c>
      <c r="J21" s="25" t="n">
        <v>0.7383</v>
      </c>
      <c r="K21" s="25" t="n">
        <v>0.1617</v>
      </c>
      <c r="L21" s="33" t="s">
        <v>112</v>
      </c>
    </row>
    <row r="22" customFormat="false" ht="15" hidden="false" customHeight="false" outlineLevel="0" collapsed="false">
      <c r="B22" s="20" t="s">
        <v>87</v>
      </c>
      <c r="C22" s="21" t="n">
        <v>1.8341</v>
      </c>
      <c r="D22" s="21" t="n">
        <v>2.2289</v>
      </c>
      <c r="E22" s="23" t="n">
        <v>11.55337625</v>
      </c>
      <c r="F22" s="23" t="n">
        <v>18.68459043</v>
      </c>
      <c r="G22" s="21" t="n">
        <v>0.1647</v>
      </c>
      <c r="H22" s="21" t="n">
        <v>0.2065</v>
      </c>
      <c r="I22" s="21" t="n">
        <v>1.0221</v>
      </c>
      <c r="J22" s="21" t="n">
        <v>1.3245</v>
      </c>
      <c r="K22" s="21" t="n">
        <v>0.5887</v>
      </c>
      <c r="L22" s="32" t="s">
        <v>113</v>
      </c>
    </row>
    <row r="23" customFormat="false" ht="15" hidden="false" customHeight="false" outlineLevel="0" collapsed="false">
      <c r="B23" s="24" t="s">
        <v>90</v>
      </c>
      <c r="C23" s="25" t="n">
        <v>1.7741</v>
      </c>
      <c r="D23" s="25" t="n">
        <v>2.5519</v>
      </c>
      <c r="E23" s="27" t="n">
        <v>22.41461282</v>
      </c>
      <c r="F23" s="27" t="n">
        <v>36.46481461</v>
      </c>
      <c r="G23" s="25" t="n">
        <v>0.3245</v>
      </c>
      <c r="H23" s="25" t="n">
        <v>0.4068</v>
      </c>
      <c r="I23" s="25" t="n">
        <v>0.9887</v>
      </c>
      <c r="J23" s="25" t="n">
        <v>1.2165</v>
      </c>
      <c r="K23" s="25" t="n">
        <v>2.4164</v>
      </c>
      <c r="L23" s="33" t="s">
        <v>112</v>
      </c>
    </row>
    <row r="24" customFormat="false" ht="15" hidden="false" customHeight="false" outlineLevel="0" collapsed="false">
      <c r="B24" s="20" t="s">
        <v>94</v>
      </c>
      <c r="C24" s="21" t="n">
        <v>1.7586</v>
      </c>
      <c r="D24" s="21" t="n">
        <v>2.3071</v>
      </c>
      <c r="E24" s="23" t="n">
        <v>50.24230898</v>
      </c>
      <c r="F24" s="23" t="n">
        <v>60.15197193</v>
      </c>
      <c r="G24" s="21" t="n">
        <v>0.2288</v>
      </c>
      <c r="H24" s="21" t="n">
        <v>0.2869</v>
      </c>
      <c r="I24" s="21" t="n">
        <v>0.98</v>
      </c>
      <c r="J24" s="21" t="n">
        <v>0.7478</v>
      </c>
      <c r="K24" s="21" t="n">
        <v>0.5822</v>
      </c>
      <c r="L24" s="32" t="s">
        <v>112</v>
      </c>
    </row>
    <row r="25" customFormat="false" ht="15" hidden="false" customHeight="false" outlineLevel="0" collapsed="false">
      <c r="B25" s="24" t="s">
        <v>88</v>
      </c>
      <c r="C25" s="25" t="n">
        <v>1.6959</v>
      </c>
      <c r="D25" s="25" t="n">
        <v>2.249</v>
      </c>
      <c r="E25" s="27" t="n">
        <v>30.13042714</v>
      </c>
      <c r="F25" s="27" t="n">
        <v>40.12272604</v>
      </c>
      <c r="G25" s="25" t="n">
        <v>0.2308</v>
      </c>
      <c r="H25" s="25" t="n">
        <v>0.2893</v>
      </c>
      <c r="I25" s="25" t="n">
        <v>0.9451</v>
      </c>
      <c r="J25" s="25" t="n">
        <v>0.6865</v>
      </c>
      <c r="K25" s="25" t="n">
        <v>1.6858</v>
      </c>
      <c r="L25" s="33" t="s">
        <v>112</v>
      </c>
    </row>
    <row r="26" customFormat="false" ht="15" hidden="false" customHeight="false" outlineLevel="0" collapsed="false">
      <c r="B26" s="20" t="s">
        <v>73</v>
      </c>
      <c r="C26" s="21" t="n">
        <v>1.638</v>
      </c>
      <c r="D26" s="21" t="n">
        <v>2.6036</v>
      </c>
      <c r="E26" s="23" t="n">
        <v>57.01378431</v>
      </c>
      <c r="F26" s="23" t="n">
        <v>74.45873751</v>
      </c>
      <c r="G26" s="21" t="n">
        <v>0.4029</v>
      </c>
      <c r="H26" s="21" t="n">
        <v>0.5051</v>
      </c>
      <c r="I26" s="21" t="n">
        <v>0.9128</v>
      </c>
      <c r="J26" s="21" t="n">
        <v>1.0813</v>
      </c>
      <c r="K26" s="21" t="n">
        <v>0.4176</v>
      </c>
      <c r="L26" s="32" t="s">
        <v>112</v>
      </c>
    </row>
    <row r="27" customFormat="false" ht="15" hidden="false" customHeight="false" outlineLevel="0" collapsed="false">
      <c r="B27" s="24" t="s">
        <v>74</v>
      </c>
      <c r="C27" s="25" t="n">
        <v>1.6363</v>
      </c>
      <c r="D27" s="25" t="n">
        <v>1.9765</v>
      </c>
      <c r="E27" s="27" t="n">
        <v>10.05853978</v>
      </c>
      <c r="F27" s="27" t="n">
        <v>16.20421103</v>
      </c>
      <c r="G27" s="25" t="n">
        <v>0.1419</v>
      </c>
      <c r="H27" s="25" t="n">
        <v>0.1779</v>
      </c>
      <c r="I27" s="25" t="n">
        <v>0.9119</v>
      </c>
      <c r="J27" s="25" t="n">
        <v>1.2275</v>
      </c>
      <c r="K27" s="25" t="n">
        <v>4.4268</v>
      </c>
      <c r="L27" s="33" t="s">
        <v>112</v>
      </c>
    </row>
    <row r="28" customFormat="false" ht="15" hidden="false" customHeight="false" outlineLevel="0" collapsed="false">
      <c r="B28" s="20" t="s">
        <v>96</v>
      </c>
      <c r="C28" s="21" t="n">
        <v>1.5351</v>
      </c>
      <c r="D28" s="21" t="n">
        <v>2.9043</v>
      </c>
      <c r="E28" s="23" t="n">
        <v>28.66361462</v>
      </c>
      <c r="F28" s="23" t="n">
        <v>53.39867323</v>
      </c>
      <c r="G28" s="21" t="n">
        <v>0.5712</v>
      </c>
      <c r="H28" s="21" t="n">
        <v>0.7162</v>
      </c>
      <c r="I28" s="21" t="n">
        <v>0.8555</v>
      </c>
      <c r="J28" s="21" t="n">
        <v>0.5699</v>
      </c>
      <c r="K28" s="21" t="n">
        <v>0.5984</v>
      </c>
      <c r="L28" s="32" t="s">
        <v>112</v>
      </c>
    </row>
    <row r="29" customFormat="false" ht="15" hidden="false" customHeight="false" outlineLevel="0" collapsed="false">
      <c r="B29" s="24" t="s">
        <v>91</v>
      </c>
      <c r="C29" s="25" t="n">
        <v>1.5007</v>
      </c>
      <c r="D29" s="25" t="n">
        <v>2.5326</v>
      </c>
      <c r="E29" s="27" t="n">
        <v>49.15085485</v>
      </c>
      <c r="F29" s="27" t="n">
        <v>67.79222021</v>
      </c>
      <c r="G29" s="25" t="n">
        <v>0.4305</v>
      </c>
      <c r="H29" s="25" t="n">
        <v>0.5398</v>
      </c>
      <c r="I29" s="25" t="n">
        <v>0.8363</v>
      </c>
      <c r="J29" s="25" t="n">
        <v>1.1829</v>
      </c>
      <c r="K29" s="25" t="n">
        <v>1.9611</v>
      </c>
      <c r="L29" s="33" t="s">
        <v>112</v>
      </c>
    </row>
    <row r="30" customFormat="false" ht="15" hidden="false" customHeight="false" outlineLevel="0" collapsed="false">
      <c r="B30" s="20" t="s">
        <v>92</v>
      </c>
      <c r="C30" s="21" t="n">
        <v>1.4696</v>
      </c>
      <c r="D30" s="21" t="n">
        <v>2.3218</v>
      </c>
      <c r="E30" s="23" t="n">
        <v>12.73122261</v>
      </c>
      <c r="F30" s="23" t="n">
        <v>28.12639132</v>
      </c>
      <c r="G30" s="21" t="n">
        <v>0.3555</v>
      </c>
      <c r="H30" s="21" t="n">
        <v>0.4458</v>
      </c>
      <c r="I30" s="21" t="n">
        <v>0.819</v>
      </c>
      <c r="J30" s="21" t="n">
        <v>1.2135</v>
      </c>
      <c r="K30" s="21" t="n">
        <v>0.7323</v>
      </c>
      <c r="L30" s="32" t="s">
        <v>112</v>
      </c>
    </row>
    <row r="31" customFormat="false" ht="15" hidden="false" customHeight="false" outlineLevel="0" collapsed="false">
      <c r="B31" s="24" t="s">
        <v>72</v>
      </c>
      <c r="C31" s="25" t="n">
        <v>1.4518</v>
      </c>
      <c r="D31" s="25" t="n">
        <v>1.9457</v>
      </c>
      <c r="E31" s="27" t="n">
        <v>46.66963007</v>
      </c>
      <c r="F31" s="27" t="n">
        <v>55.59222989</v>
      </c>
      <c r="G31" s="25" t="n">
        <v>0.2061</v>
      </c>
      <c r="H31" s="25" t="n">
        <v>0.2584</v>
      </c>
      <c r="I31" s="25" t="n">
        <v>0.8091</v>
      </c>
      <c r="J31" s="25" t="n">
        <v>0.9337</v>
      </c>
      <c r="K31" s="25" t="n">
        <v>0.8728</v>
      </c>
      <c r="L31" s="33" t="s">
        <v>112</v>
      </c>
    </row>
    <row r="32" customFormat="false" ht="15" hidden="false" customHeight="false" outlineLevel="0" collapsed="false">
      <c r="B32" s="20" t="s">
        <v>97</v>
      </c>
      <c r="C32" s="21" t="n">
        <v>1.4267</v>
      </c>
      <c r="D32" s="21" t="n">
        <v>2.9707</v>
      </c>
      <c r="E32" s="23" t="n">
        <v>19.46958936</v>
      </c>
      <c r="F32" s="23" t="n">
        <v>47.36141938</v>
      </c>
      <c r="G32" s="21" t="n">
        <v>0.6441</v>
      </c>
      <c r="H32" s="21" t="n">
        <v>0.8076</v>
      </c>
      <c r="I32" s="21" t="n">
        <v>0.7951</v>
      </c>
      <c r="J32" s="21" t="n">
        <v>0.5991</v>
      </c>
      <c r="K32" s="21" t="n">
        <v>0.9654</v>
      </c>
      <c r="L32" s="32" t="s">
        <v>112</v>
      </c>
    </row>
    <row r="33" customFormat="false" ht="15" hidden="false" customHeight="false" outlineLevel="0" collapsed="false">
      <c r="B33" s="24" t="s">
        <v>89</v>
      </c>
      <c r="C33" s="25" t="n">
        <v>1.418</v>
      </c>
      <c r="D33" s="25" t="n">
        <v>2.2852</v>
      </c>
      <c r="E33" s="27" t="n">
        <v>36.91836996</v>
      </c>
      <c r="F33" s="27" t="n">
        <v>52.5839972</v>
      </c>
      <c r="G33" s="25" t="n">
        <v>0.3618</v>
      </c>
      <c r="H33" s="25" t="n">
        <v>0.4536</v>
      </c>
      <c r="I33" s="25" t="n">
        <v>0.7903</v>
      </c>
      <c r="J33" s="25" t="n">
        <v>0.9074</v>
      </c>
      <c r="K33" s="25" t="n">
        <v>2.0846</v>
      </c>
      <c r="L33" s="33" t="s">
        <v>112</v>
      </c>
    </row>
    <row r="34" customFormat="false" ht="15" hidden="false" customHeight="false" outlineLevel="0" collapsed="false">
      <c r="B34" s="20" t="s">
        <v>95</v>
      </c>
      <c r="C34" s="21" t="n">
        <v>1.31</v>
      </c>
      <c r="D34" s="21" t="n">
        <v>3.175</v>
      </c>
      <c r="E34" s="23" t="n">
        <v>33.6079607</v>
      </c>
      <c r="F34" s="23" t="n">
        <v>67.29913313</v>
      </c>
      <c r="G34" s="21" t="n">
        <v>0.778</v>
      </c>
      <c r="H34" s="21" t="n">
        <v>0.9755</v>
      </c>
      <c r="I34" s="21" t="n">
        <v>0.7301</v>
      </c>
      <c r="J34" s="21" t="n">
        <v>0.5705</v>
      </c>
      <c r="K34" s="21" t="n">
        <v>0.366</v>
      </c>
      <c r="L34" s="32" t="s">
        <v>112</v>
      </c>
    </row>
    <row r="35" customFormat="false" ht="15" hidden="false" customHeight="false" outlineLevel="0" collapsed="false">
      <c r="B35" s="24" t="s">
        <v>93</v>
      </c>
      <c r="C35" s="25" t="n">
        <v>1.1462</v>
      </c>
      <c r="D35" s="25" t="n">
        <v>1.2687</v>
      </c>
      <c r="E35" s="27" t="n">
        <v>6.25449449</v>
      </c>
      <c r="F35" s="27" t="n">
        <v>8.46751396</v>
      </c>
      <c r="G35" s="25" t="n">
        <v>0.0511</v>
      </c>
      <c r="H35" s="25" t="n">
        <v>0.0641</v>
      </c>
      <c r="I35" s="25" t="n">
        <v>0.6388</v>
      </c>
      <c r="J35" s="25" t="n">
        <v>0.6529</v>
      </c>
      <c r="K35" s="25" t="n">
        <v>0.267</v>
      </c>
      <c r="L35" s="33" t="s">
        <v>112</v>
      </c>
    </row>
    <row r="36" customFormat="false" ht="15" hidden="false" customHeight="false" outlineLevel="0" collapsed="false">
      <c r="B36" s="28" t="s">
        <v>98</v>
      </c>
      <c r="C36" s="29" t="n">
        <f aca="false">AVERAGE(C10:C35)</f>
        <v>1.76127692307692</v>
      </c>
      <c r="D36" s="29" t="n">
        <f aca="false">AVERAGE(D10:D35)</f>
        <v>2.45359615384615</v>
      </c>
      <c r="E36" s="31" t="n">
        <f aca="false">AVERAGE(E10:E35)</f>
        <v>27.9037881869231</v>
      </c>
      <c r="F36" s="31" t="n">
        <f aca="false">AVERAGE(F10:F35)</f>
        <v>40.4107175873077</v>
      </c>
      <c r="G36" s="29" t="n">
        <f aca="false">AVERAGE(G10:G35)</f>
        <v>0.288826923076923</v>
      </c>
      <c r="H36" s="29" t="n">
        <f aca="false">AVERAGE(H10:H35)</f>
        <v>0.362134615384615</v>
      </c>
      <c r="I36" s="29" t="n">
        <f aca="false">AVERAGE(I10:I35)</f>
        <v>0.981534615384615</v>
      </c>
      <c r="J36" s="29" t="n">
        <f aca="false">AVERAGE(J10:J35)</f>
        <v>0.991546153846154</v>
      </c>
      <c r="K36" s="29" t="n">
        <f aca="false">AVERAGE(K10:K35)</f>
        <v>1.00000384615385</v>
      </c>
      <c r="L36" s="34"/>
    </row>
  </sheetData>
  <mergeCells count="3">
    <mergeCell ref="B3:L3"/>
    <mergeCell ref="B6:L6"/>
    <mergeCell ref="B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114</v>
      </c>
    </row>
    <row r="3" customFormat="false" ht="24.75" hidden="false" customHeight="true" outlineLevel="0" collapsed="false">
      <c r="B3" s="17" t="s">
        <v>115</v>
      </c>
      <c r="C3" s="17"/>
      <c r="D3" s="17"/>
      <c r="E3" s="17"/>
      <c r="F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116</v>
      </c>
      <c r="C6" s="18"/>
      <c r="D6" s="18"/>
      <c r="E6" s="18"/>
      <c r="F6" s="18"/>
    </row>
    <row r="7" customFormat="false" ht="13.5" hidden="false" customHeight="true" outlineLevel="0" collapsed="false">
      <c r="B7" s="18" t="s">
        <v>117</v>
      </c>
      <c r="C7" s="18"/>
      <c r="D7" s="18"/>
      <c r="E7" s="18"/>
      <c r="F7" s="18"/>
    </row>
    <row r="9" customFormat="false" ht="24" hidden="false" customHeight="true" outlineLevel="0" collapsed="false">
      <c r="B9" s="19" t="s">
        <v>118</v>
      </c>
      <c r="C9" s="19" t="s">
        <v>119</v>
      </c>
      <c r="D9" s="19" t="s">
        <v>120</v>
      </c>
      <c r="E9" s="19" t="s">
        <v>121</v>
      </c>
      <c r="F9" s="19" t="s">
        <v>122</v>
      </c>
    </row>
    <row r="10" customFormat="false" ht="15" hidden="false" customHeight="false" outlineLevel="0" collapsed="false">
      <c r="B10" s="20" t="s">
        <v>123</v>
      </c>
      <c r="C10" s="23" t="n">
        <v>34197.7</v>
      </c>
      <c r="D10" s="22" t="n">
        <f aca="false">C10/C$16*100</f>
        <v>32.6870047036131</v>
      </c>
      <c r="E10" s="35" t="n">
        <v>477770.7</v>
      </c>
      <c r="F10" s="22" t="n">
        <f aca="false">E10/E$16*100</f>
        <v>29.6432300991173</v>
      </c>
    </row>
    <row r="11" customFormat="false" ht="15" hidden="false" customHeight="false" outlineLevel="0" collapsed="false">
      <c r="B11" s="24" t="s">
        <v>124</v>
      </c>
      <c r="C11" s="27" t="n">
        <v>30398</v>
      </c>
      <c r="D11" s="26" t="n">
        <f aca="false">C11/C$16*100</f>
        <v>29.0551577731962</v>
      </c>
      <c r="E11" s="36" t="n">
        <v>287776.2</v>
      </c>
      <c r="F11" s="26" t="n">
        <f aca="false">E11/E$16*100</f>
        <v>17.8550424160578</v>
      </c>
    </row>
    <row r="12" customFormat="false" ht="15" hidden="false" customHeight="false" outlineLevel="0" collapsed="false">
      <c r="B12" s="20" t="s">
        <v>125</v>
      </c>
      <c r="C12" s="23" t="n">
        <v>19675</v>
      </c>
      <c r="D12" s="22" t="n">
        <f aca="false">C12/C$16*100</f>
        <v>18.8058500292004</v>
      </c>
      <c r="E12" s="35" t="n">
        <v>414470.1</v>
      </c>
      <c r="F12" s="22" t="n">
        <f aca="false">E12/E$16*100</f>
        <v>25.7157513918375</v>
      </c>
    </row>
    <row r="13" customFormat="false" ht="15" hidden="false" customHeight="false" outlineLevel="0" collapsed="false">
      <c r="B13" s="24" t="s">
        <v>126</v>
      </c>
      <c r="C13" s="27" t="n">
        <v>13724</v>
      </c>
      <c r="D13" s="26" t="n">
        <f aca="false">C13/C$16*100</f>
        <v>13.1177375248156</v>
      </c>
      <c r="E13" s="36" t="n">
        <v>259410.9</v>
      </c>
      <c r="F13" s="26" t="n">
        <f aca="false">E13/E$16*100</f>
        <v>16.0951205231278</v>
      </c>
    </row>
    <row r="14" customFormat="false" ht="15" hidden="false" customHeight="false" outlineLevel="0" collapsed="false">
      <c r="B14" s="20" t="s">
        <v>127</v>
      </c>
      <c r="C14" s="23" t="n">
        <v>7648.3</v>
      </c>
      <c r="D14" s="22" t="n">
        <f aca="false">C14/C$16*100</f>
        <v>7.31043368631938</v>
      </c>
      <c r="E14" s="35" t="n">
        <v>163692</v>
      </c>
      <c r="F14" s="22" t="n">
        <f aca="false">E14/E$16*100</f>
        <v>10.1562519873754</v>
      </c>
    </row>
    <row r="15" customFormat="false" ht="15" hidden="false" customHeight="false" outlineLevel="0" collapsed="false">
      <c r="B15" s="24" t="s">
        <v>128</v>
      </c>
      <c r="C15" s="27" t="n">
        <v>-1021.3</v>
      </c>
      <c r="D15" s="26" t="n">
        <f aca="false">C15/C$16*100</f>
        <v>-0.976183717144722</v>
      </c>
      <c r="E15" s="36" t="n">
        <v>8616.4</v>
      </c>
      <c r="F15" s="26" t="n">
        <f aca="false">E15/E$16*100</f>
        <v>0.534603582484306</v>
      </c>
    </row>
    <row r="16" customFormat="false" ht="15" hidden="false" customHeight="false" outlineLevel="0" collapsed="false">
      <c r="B16" s="28" t="s">
        <v>129</v>
      </c>
      <c r="C16" s="31" t="n">
        <f aca="false">SUM(C10:C15)</f>
        <v>104621.7</v>
      </c>
      <c r="D16" s="30" t="n">
        <f aca="false">SUM(D10:D15)</f>
        <v>100</v>
      </c>
      <c r="E16" s="37" t="n">
        <f aca="false">SUM(E10:E15)</f>
        <v>1611736.3</v>
      </c>
      <c r="F16" s="30" t="n">
        <f aca="false">SUM(F10:F15)</f>
        <v>100</v>
      </c>
    </row>
    <row r="17" customFormat="false" ht="15" hidden="false" customHeight="false" outlineLevel="0" collapsed="false">
      <c r="B17" s="28" t="s">
        <v>130</v>
      </c>
      <c r="C17" s="31" t="n">
        <f aca="false">C10+C11</f>
        <v>64595.7</v>
      </c>
      <c r="D17" s="30" t="n">
        <f aca="false">D10+D11</f>
        <v>61.7421624768093</v>
      </c>
      <c r="E17" s="37" t="n">
        <f aca="false">E10+E11</f>
        <v>765546.9</v>
      </c>
      <c r="F17" s="30" t="n">
        <f aca="false">F10+F11</f>
        <v>47.4982725151751</v>
      </c>
    </row>
  </sheetData>
  <mergeCells count="3">
    <mergeCell ref="B3:F3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131</v>
      </c>
    </row>
    <row r="3" customFormat="false" ht="24.75" hidden="false" customHeight="true" outlineLevel="0" collapsed="false">
      <c r="B3" s="17" t="s">
        <v>132</v>
      </c>
      <c r="C3" s="17"/>
      <c r="D3" s="17"/>
      <c r="E3" s="17"/>
      <c r="F3" s="17"/>
      <c r="G3" s="17"/>
      <c r="H3" s="17"/>
      <c r="I3" s="17"/>
      <c r="J3" s="17"/>
      <c r="K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133</v>
      </c>
      <c r="C6" s="18"/>
      <c r="D6" s="18"/>
      <c r="E6" s="18"/>
      <c r="F6" s="18"/>
      <c r="G6" s="18"/>
      <c r="H6" s="18"/>
      <c r="I6" s="18"/>
      <c r="J6" s="18"/>
      <c r="K6" s="18"/>
    </row>
    <row r="7" customFormat="false" ht="13.5" hidden="false" customHeight="true" outlineLevel="0" collapsed="false">
      <c r="B7" s="18" t="s">
        <v>134</v>
      </c>
      <c r="C7" s="18"/>
      <c r="D7" s="18"/>
      <c r="E7" s="18"/>
      <c r="F7" s="18"/>
      <c r="G7" s="18"/>
      <c r="H7" s="18"/>
      <c r="I7" s="18"/>
      <c r="J7" s="18"/>
      <c r="K7" s="18"/>
    </row>
    <row r="9" customFormat="false" ht="24" hidden="false" customHeight="true" outlineLevel="0" collapsed="false">
      <c r="B9" s="19" t="s">
        <v>135</v>
      </c>
      <c r="C9" s="19" t="s">
        <v>136</v>
      </c>
      <c r="D9" s="19" t="s">
        <v>137</v>
      </c>
      <c r="E9" s="19" t="s">
        <v>138</v>
      </c>
      <c r="F9" s="19" t="s">
        <v>139</v>
      </c>
      <c r="G9" s="19" t="s">
        <v>140</v>
      </c>
      <c r="H9" s="19" t="s">
        <v>141</v>
      </c>
      <c r="I9" s="19" t="s">
        <v>142</v>
      </c>
      <c r="J9" s="19" t="s">
        <v>143</v>
      </c>
      <c r="K9" s="19" t="s">
        <v>144</v>
      </c>
    </row>
    <row r="10" customFormat="false" ht="15" hidden="false" customHeight="false" outlineLevel="0" collapsed="false">
      <c r="B10" s="34" t="s">
        <v>145</v>
      </c>
      <c r="C10" s="34" t="s">
        <v>146</v>
      </c>
      <c r="D10" s="30" t="n">
        <v>2.15</v>
      </c>
      <c r="E10" s="30" t="n">
        <v>22.84</v>
      </c>
      <c r="F10" s="30" t="n">
        <v>36.42</v>
      </c>
      <c r="G10" s="29" t="n">
        <v>1.6582</v>
      </c>
      <c r="H10" s="30" t="n">
        <v>25.4</v>
      </c>
      <c r="I10" s="29" t="n">
        <v>0.9211</v>
      </c>
      <c r="J10" s="29" t="n">
        <v>0.385</v>
      </c>
      <c r="K10" s="28" t="s">
        <v>74</v>
      </c>
    </row>
    <row r="11" customFormat="false" ht="15" hidden="false" customHeight="false" outlineLevel="0" collapsed="false">
      <c r="B11" s="33" t="s">
        <v>147</v>
      </c>
      <c r="C11" s="33" t="s">
        <v>146</v>
      </c>
      <c r="D11" s="26" t="n">
        <v>9.51</v>
      </c>
      <c r="E11" s="26" t="n">
        <v>20.95</v>
      </c>
      <c r="F11" s="26" t="n">
        <v>29.62</v>
      </c>
      <c r="G11" s="25" t="n">
        <v>1.8084</v>
      </c>
      <c r="H11" s="26" t="n">
        <v>30.87</v>
      </c>
      <c r="I11" s="25" t="n">
        <v>1.0046</v>
      </c>
      <c r="J11" s="25" t="n">
        <v>0.465</v>
      </c>
      <c r="K11" s="24" t="s">
        <v>82</v>
      </c>
    </row>
    <row r="12" customFormat="false" ht="15" hidden="false" customHeight="false" outlineLevel="0" collapsed="false">
      <c r="B12" s="32" t="s">
        <v>148</v>
      </c>
      <c r="C12" s="32" t="s">
        <v>146</v>
      </c>
      <c r="D12" s="22" t="n">
        <v>4.15</v>
      </c>
      <c r="E12" s="22" t="n">
        <v>22.48</v>
      </c>
      <c r="F12" s="22" t="n">
        <v>21.69</v>
      </c>
      <c r="G12" s="21" t="n">
        <v>1.7735</v>
      </c>
      <c r="H12" s="22" t="n">
        <v>30.63</v>
      </c>
      <c r="I12" s="21" t="n">
        <v>0.9852</v>
      </c>
      <c r="J12" s="21" t="n">
        <v>1.287</v>
      </c>
      <c r="K12" s="20" t="s">
        <v>149</v>
      </c>
    </row>
    <row r="13" customFormat="false" ht="15" hidden="false" customHeight="false" outlineLevel="0" collapsed="false">
      <c r="B13" s="33" t="s">
        <v>150</v>
      </c>
      <c r="C13" s="33" t="s">
        <v>146</v>
      </c>
      <c r="D13" s="26" t="n">
        <v>5.99</v>
      </c>
      <c r="E13" s="26" t="n">
        <v>22.28</v>
      </c>
      <c r="F13" s="26" t="n">
        <v>27.97</v>
      </c>
      <c r="G13" s="25" t="n">
        <v>1.8797</v>
      </c>
      <c r="H13" s="26" t="n">
        <v>31.23</v>
      </c>
      <c r="I13" s="25" t="n">
        <v>1.0442</v>
      </c>
      <c r="J13" s="25" t="n">
        <v>1.319</v>
      </c>
      <c r="K13" s="24" t="s">
        <v>149</v>
      </c>
    </row>
    <row r="14" customFormat="false" ht="15" hidden="false" customHeight="false" outlineLevel="0" collapsed="false">
      <c r="B14" s="32" t="s">
        <v>151</v>
      </c>
      <c r="C14" s="32" t="s">
        <v>146</v>
      </c>
      <c r="D14" s="22" t="n">
        <v>6.68</v>
      </c>
      <c r="E14" s="22" t="n">
        <v>21.79</v>
      </c>
      <c r="F14" s="22" t="n">
        <v>24.63</v>
      </c>
      <c r="G14" s="21" t="n">
        <v>1.913</v>
      </c>
      <c r="H14" s="22" t="n">
        <v>30.35</v>
      </c>
      <c r="I14" s="21" t="n">
        <v>1.0627</v>
      </c>
      <c r="J14" s="21" t="n">
        <v>1.366</v>
      </c>
      <c r="K14" s="20" t="s">
        <v>149</v>
      </c>
    </row>
    <row r="15" customFormat="false" ht="15" hidden="false" customHeight="false" outlineLevel="0" collapsed="false">
      <c r="B15" s="33" t="s">
        <v>152</v>
      </c>
      <c r="C15" s="33" t="s">
        <v>146</v>
      </c>
      <c r="D15" s="26" t="n">
        <v>2.55</v>
      </c>
      <c r="E15" s="26" t="n">
        <v>25.1</v>
      </c>
      <c r="F15" s="26" t="n">
        <v>32.84</v>
      </c>
      <c r="G15" s="25" t="n">
        <v>1.8612</v>
      </c>
      <c r="H15" s="26" t="n">
        <v>38.22</v>
      </c>
      <c r="I15" s="25" t="n">
        <v>1.0339</v>
      </c>
      <c r="J15" s="25" t="n">
        <v>1.101</v>
      </c>
      <c r="K15" s="24" t="s">
        <v>149</v>
      </c>
    </row>
    <row r="16" customFormat="false" ht="15" hidden="false" customHeight="false" outlineLevel="0" collapsed="false">
      <c r="B16" s="32" t="s">
        <v>153</v>
      </c>
      <c r="C16" s="32" t="s">
        <v>146</v>
      </c>
      <c r="D16" s="22" t="n">
        <v>1.83</v>
      </c>
      <c r="E16" s="22" t="n">
        <v>27.44</v>
      </c>
      <c r="F16" s="22" t="n">
        <v>43.36</v>
      </c>
      <c r="G16" s="21" t="n">
        <v>1.8964</v>
      </c>
      <c r="H16" s="22" t="n">
        <v>40.17</v>
      </c>
      <c r="I16" s="21" t="n">
        <v>1.0535</v>
      </c>
      <c r="J16" s="21" t="n">
        <v>1.368</v>
      </c>
      <c r="K16" s="20" t="s">
        <v>154</v>
      </c>
    </row>
    <row r="17" customFormat="false" ht="15" hidden="false" customHeight="false" outlineLevel="0" collapsed="false">
      <c r="B17" s="33" t="s">
        <v>155</v>
      </c>
      <c r="C17" s="33" t="s">
        <v>146</v>
      </c>
      <c r="D17" s="26" t="n">
        <v>1.08</v>
      </c>
      <c r="E17" s="26" t="n">
        <v>25.74</v>
      </c>
      <c r="F17" s="26" t="n">
        <v>30.06</v>
      </c>
      <c r="G17" s="25" t="n">
        <v>1.7321</v>
      </c>
      <c r="H17" s="26" t="n">
        <v>38.27</v>
      </c>
      <c r="I17" s="25" t="n">
        <v>0.9622</v>
      </c>
      <c r="J17" s="25" t="n">
        <v>1.056</v>
      </c>
      <c r="K17" s="24" t="s">
        <v>149</v>
      </c>
    </row>
    <row r="18" customFormat="false" ht="15" hidden="false" customHeight="false" outlineLevel="0" collapsed="false">
      <c r="B18" s="32" t="s">
        <v>156</v>
      </c>
      <c r="C18" s="32" t="s">
        <v>157</v>
      </c>
      <c r="D18" s="22" t="n">
        <v>32.04</v>
      </c>
      <c r="E18" s="22" t="n">
        <v>14.2</v>
      </c>
      <c r="F18" s="22" t="n">
        <v>17.95</v>
      </c>
      <c r="G18" s="21" t="n">
        <v>1.787</v>
      </c>
      <c r="H18" s="22" t="n">
        <v>24.05</v>
      </c>
      <c r="I18" s="21" t="n">
        <v>0.9927</v>
      </c>
      <c r="J18" s="21" t="n">
        <v>1.457</v>
      </c>
      <c r="K18" s="20" t="s">
        <v>158</v>
      </c>
    </row>
    <row r="19" customFormat="false" ht="15" hidden="false" customHeight="false" outlineLevel="0" collapsed="false">
      <c r="B19" s="33" t="s">
        <v>159</v>
      </c>
      <c r="C19" s="33" t="s">
        <v>157</v>
      </c>
      <c r="D19" s="26" t="n">
        <v>11.25</v>
      </c>
      <c r="E19" s="26" t="n">
        <v>15.57</v>
      </c>
      <c r="F19" s="26" t="n">
        <v>27.38</v>
      </c>
      <c r="G19" s="25" t="n">
        <v>1.6384</v>
      </c>
      <c r="H19" s="26" t="n">
        <v>22.38</v>
      </c>
      <c r="I19" s="25" t="n">
        <v>0.9102</v>
      </c>
      <c r="J19" s="25" t="n">
        <v>0.468</v>
      </c>
      <c r="K19" s="24" t="s">
        <v>74</v>
      </c>
    </row>
  </sheetData>
  <mergeCells count="3">
    <mergeCell ref="B3:K3"/>
    <mergeCell ref="B6:K6"/>
    <mergeCell ref="B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10" min="9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4" style="0" width="32"/>
    <col collapsed="false" customWidth="true" hidden="false" outlineLevel="0" max="15" min="15" style="0" width="13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160</v>
      </c>
    </row>
    <row r="3" customFormat="false" ht="24.75" hidden="false" customHeight="true" outlineLevel="0" collapsed="false">
      <c r="B3" s="17" t="s">
        <v>161</v>
      </c>
      <c r="C3" s="17"/>
      <c r="D3" s="17"/>
      <c r="E3" s="17"/>
      <c r="F3" s="17"/>
      <c r="G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162</v>
      </c>
      <c r="C6" s="18"/>
      <c r="D6" s="18"/>
      <c r="E6" s="18"/>
      <c r="F6" s="18"/>
      <c r="G6" s="18"/>
    </row>
    <row r="7" customFormat="false" ht="13.5" hidden="false" customHeight="true" outlineLevel="0" collapsed="false">
      <c r="B7" s="18" t="s">
        <v>163</v>
      </c>
      <c r="C7" s="18"/>
      <c r="D7" s="18"/>
      <c r="E7" s="18"/>
      <c r="F7" s="18"/>
      <c r="G7" s="18"/>
    </row>
    <row r="9" customFormat="false" ht="24" hidden="false" customHeight="true" outlineLevel="0" collapsed="false">
      <c r="B9" s="19" t="s">
        <v>135</v>
      </c>
      <c r="C9" s="19" t="s">
        <v>164</v>
      </c>
      <c r="D9" s="19" t="s">
        <v>165</v>
      </c>
      <c r="E9" s="19" t="s">
        <v>138</v>
      </c>
      <c r="F9" s="19" t="s">
        <v>166</v>
      </c>
      <c r="G9" s="19" t="s">
        <v>167</v>
      </c>
      <c r="H9" s="19" t="s">
        <v>139</v>
      </c>
      <c r="I9" s="19" t="s">
        <v>140</v>
      </c>
      <c r="J9" s="19" t="s">
        <v>141</v>
      </c>
      <c r="K9" s="19" t="s">
        <v>142</v>
      </c>
      <c r="L9" s="19" t="s">
        <v>143</v>
      </c>
      <c r="N9" s="19" t="s">
        <v>168</v>
      </c>
      <c r="O9" s="19" t="s">
        <v>169</v>
      </c>
    </row>
    <row r="10" customFormat="false" ht="15" hidden="false" customHeight="false" outlineLevel="0" collapsed="false">
      <c r="B10" s="32" t="s">
        <v>170</v>
      </c>
      <c r="C10" s="32" t="s">
        <v>112</v>
      </c>
      <c r="D10" s="22" t="n">
        <v>0.24</v>
      </c>
      <c r="E10" s="22" t="n">
        <v>18.56</v>
      </c>
      <c r="F10" s="38" t="n">
        <v>22</v>
      </c>
      <c r="G10" s="22" t="n">
        <v>0.08</v>
      </c>
      <c r="H10" s="22" t="n">
        <v>15.8</v>
      </c>
      <c r="I10" s="21" t="n">
        <v>1.4817</v>
      </c>
      <c r="J10" s="22" t="n">
        <v>49.16</v>
      </c>
      <c r="K10" s="21" t="n">
        <v>0.8231</v>
      </c>
      <c r="L10" s="21" t="n">
        <v>0.632</v>
      </c>
      <c r="N10" s="39" t="s">
        <v>171</v>
      </c>
      <c r="O10" s="40" t="n">
        <v>31.5</v>
      </c>
    </row>
    <row r="11" customFormat="false" ht="15" hidden="false" customHeight="false" outlineLevel="0" collapsed="false">
      <c r="B11" s="33" t="s">
        <v>172</v>
      </c>
      <c r="C11" s="33" t="s">
        <v>112</v>
      </c>
      <c r="D11" s="26" t="n">
        <v>0.24</v>
      </c>
      <c r="E11" s="26" t="n">
        <v>18.05</v>
      </c>
      <c r="F11" s="41" t="n">
        <v>23</v>
      </c>
      <c r="G11" s="26" t="n">
        <v>0.06</v>
      </c>
      <c r="H11" s="26" t="n">
        <v>10.72</v>
      </c>
      <c r="I11" s="25" t="n">
        <v>1.4541</v>
      </c>
      <c r="J11" s="26" t="n">
        <v>40.17</v>
      </c>
      <c r="K11" s="25" t="n">
        <v>0.8078</v>
      </c>
      <c r="L11" s="25" t="n">
        <v>0.654</v>
      </c>
      <c r="N11" s="39" t="s">
        <v>173</v>
      </c>
      <c r="O11" s="40" t="n">
        <v>52.5</v>
      </c>
    </row>
    <row r="12" customFormat="false" ht="15" hidden="false" customHeight="false" outlineLevel="0" collapsed="false">
      <c r="B12" s="32" t="s">
        <v>174</v>
      </c>
      <c r="C12" s="32" t="s">
        <v>112</v>
      </c>
      <c r="D12" s="22" t="n">
        <v>1.47</v>
      </c>
      <c r="E12" s="22" t="n">
        <v>27.3</v>
      </c>
      <c r="F12" s="38" t="n">
        <v>2</v>
      </c>
      <c r="G12" s="22" t="n">
        <v>1.65</v>
      </c>
      <c r="H12" s="22" t="n">
        <v>20.29</v>
      </c>
      <c r="I12" s="21" t="n">
        <v>1.8425</v>
      </c>
      <c r="J12" s="22" t="n">
        <v>29.24</v>
      </c>
      <c r="K12" s="21" t="n">
        <v>1.0235</v>
      </c>
      <c r="L12" s="21" t="n">
        <v>0.613</v>
      </c>
      <c r="N12" s="39" t="s">
        <v>175</v>
      </c>
      <c r="O12" s="40" t="n">
        <v>16</v>
      </c>
    </row>
    <row r="13" customFormat="false" ht="15" hidden="false" customHeight="false" outlineLevel="0" collapsed="false">
      <c r="B13" s="33" t="s">
        <v>176</v>
      </c>
      <c r="C13" s="33" t="s">
        <v>112</v>
      </c>
      <c r="D13" s="26" t="n">
        <v>2.05</v>
      </c>
      <c r="E13" s="26" t="n">
        <v>22.43</v>
      </c>
      <c r="F13" s="41" t="n">
        <v>11</v>
      </c>
      <c r="G13" s="26" t="n">
        <v>1.13</v>
      </c>
      <c r="H13" s="26" t="n">
        <v>33.69</v>
      </c>
      <c r="I13" s="25" t="n">
        <v>1.6509</v>
      </c>
      <c r="J13" s="26" t="n">
        <v>43</v>
      </c>
      <c r="K13" s="25" t="n">
        <v>0.9171</v>
      </c>
      <c r="L13" s="25" t="n">
        <v>0.267</v>
      </c>
      <c r="N13" s="39" t="s">
        <v>177</v>
      </c>
      <c r="O13" s="40" t="n">
        <v>84.8</v>
      </c>
    </row>
    <row r="14" customFormat="false" ht="15" hidden="false" customHeight="false" outlineLevel="0" collapsed="false">
      <c r="B14" s="32" t="s">
        <v>178</v>
      </c>
      <c r="C14" s="32" t="s">
        <v>112</v>
      </c>
      <c r="D14" s="22" t="n">
        <v>0.62</v>
      </c>
      <c r="E14" s="22" t="n">
        <v>24.43</v>
      </c>
      <c r="F14" s="38" t="n">
        <v>6</v>
      </c>
      <c r="G14" s="22" t="n">
        <v>0.5</v>
      </c>
      <c r="H14" s="22" t="n">
        <v>21.03</v>
      </c>
      <c r="I14" s="21" t="n">
        <v>1.6782</v>
      </c>
      <c r="J14" s="22" t="n">
        <v>48.44</v>
      </c>
      <c r="K14" s="21" t="n">
        <v>0.9322</v>
      </c>
      <c r="L14" s="21" t="n">
        <v>0.556</v>
      </c>
      <c r="N14" s="39" t="s">
        <v>179</v>
      </c>
      <c r="O14" s="40" t="n">
        <v>12</v>
      </c>
    </row>
    <row r="15" customFormat="false" ht="15" hidden="false" customHeight="false" outlineLevel="0" collapsed="false">
      <c r="B15" s="33" t="s">
        <v>180</v>
      </c>
      <c r="C15" s="33" t="s">
        <v>112</v>
      </c>
      <c r="D15" s="26" t="n">
        <v>0.17</v>
      </c>
      <c r="E15" s="26" t="n">
        <v>16.81</v>
      </c>
      <c r="F15" s="41" t="n">
        <v>25</v>
      </c>
      <c r="G15" s="26" t="n">
        <v>0.05</v>
      </c>
      <c r="H15" s="26" t="n">
        <v>8.16</v>
      </c>
      <c r="I15" s="25" t="n">
        <v>1.4822</v>
      </c>
      <c r="J15" s="26" t="n">
        <v>42.45</v>
      </c>
      <c r="K15" s="25" t="n">
        <v>0.8234</v>
      </c>
      <c r="L15" s="25" t="n">
        <v>0.675</v>
      </c>
      <c r="N15" s="39" t="s">
        <v>181</v>
      </c>
      <c r="O15" s="40" t="n">
        <v>3.2</v>
      </c>
    </row>
    <row r="16" customFormat="false" ht="15" hidden="false" customHeight="false" outlineLevel="0" collapsed="false">
      <c r="B16" s="32" t="s">
        <v>182</v>
      </c>
      <c r="C16" s="32" t="s">
        <v>112</v>
      </c>
      <c r="D16" s="22" t="n">
        <v>0.46</v>
      </c>
      <c r="E16" s="22" t="n">
        <v>24.79</v>
      </c>
      <c r="F16" s="38" t="n">
        <v>5</v>
      </c>
      <c r="G16" s="22" t="n">
        <v>0.25</v>
      </c>
      <c r="H16" s="22" t="n">
        <v>17.29</v>
      </c>
      <c r="I16" s="21" t="n">
        <v>1.6145</v>
      </c>
      <c r="J16" s="22" t="n">
        <v>53.69</v>
      </c>
      <c r="K16" s="21" t="n">
        <v>0.8969</v>
      </c>
      <c r="L16" s="21" t="n">
        <v>0.733</v>
      </c>
      <c r="N16" s="39" t="s">
        <v>183</v>
      </c>
      <c r="O16" s="40" t="n">
        <v>33.9</v>
      </c>
    </row>
    <row r="17" customFormat="false" ht="15" hidden="false" customHeight="false" outlineLevel="0" collapsed="false">
      <c r="B17" s="33" t="s">
        <v>184</v>
      </c>
      <c r="C17" s="33" t="s">
        <v>112</v>
      </c>
      <c r="D17" s="26" t="n">
        <v>0.68</v>
      </c>
      <c r="E17" s="26" t="n">
        <v>22.1</v>
      </c>
      <c r="F17" s="41" t="n">
        <v>13</v>
      </c>
      <c r="G17" s="26" t="n">
        <v>0.42</v>
      </c>
      <c r="H17" s="26" t="n">
        <v>22.1</v>
      </c>
      <c r="I17" s="25" t="n">
        <v>1.6679</v>
      </c>
      <c r="J17" s="26" t="n">
        <v>60.21</v>
      </c>
      <c r="K17" s="25" t="n">
        <v>0.9265</v>
      </c>
      <c r="L17" s="25" t="n">
        <v>0.657</v>
      </c>
      <c r="N17" s="39" t="s">
        <v>185</v>
      </c>
      <c r="O17" s="40" t="n">
        <v>43.3</v>
      </c>
    </row>
    <row r="18" customFormat="false" ht="15" hidden="false" customHeight="false" outlineLevel="0" collapsed="false">
      <c r="B18" s="32" t="s">
        <v>186</v>
      </c>
      <c r="C18" s="32" t="s">
        <v>112</v>
      </c>
      <c r="D18" s="22" t="n">
        <v>4.08</v>
      </c>
      <c r="E18" s="22" t="n">
        <v>22.74</v>
      </c>
      <c r="F18" s="38" t="n">
        <v>9</v>
      </c>
      <c r="G18" s="22" t="n">
        <v>5.45</v>
      </c>
      <c r="H18" s="22" t="n">
        <v>22.99</v>
      </c>
      <c r="I18" s="21" t="n">
        <v>1.8566</v>
      </c>
      <c r="J18" s="22" t="n">
        <v>43.82</v>
      </c>
      <c r="K18" s="21" t="n">
        <v>1.0314</v>
      </c>
      <c r="L18" s="21" t="n">
        <v>0.391</v>
      </c>
      <c r="N18" s="39" t="s">
        <v>187</v>
      </c>
      <c r="O18" s="42" t="n">
        <v>18122.9</v>
      </c>
    </row>
    <row r="19" customFormat="false" ht="15" hidden="false" customHeight="false" outlineLevel="0" collapsed="false">
      <c r="B19" s="33" t="s">
        <v>188</v>
      </c>
      <c r="C19" s="33" t="s">
        <v>112</v>
      </c>
      <c r="D19" s="26" t="n">
        <v>2.04</v>
      </c>
      <c r="E19" s="26" t="n">
        <v>18.7</v>
      </c>
      <c r="F19" s="41" t="n">
        <v>21</v>
      </c>
      <c r="G19" s="26" t="n">
        <v>1.2</v>
      </c>
      <c r="H19" s="26" t="n">
        <v>14.19</v>
      </c>
      <c r="I19" s="25" t="n">
        <v>1.6102</v>
      </c>
      <c r="J19" s="26" t="n">
        <v>63.12</v>
      </c>
      <c r="K19" s="25" t="n">
        <v>0.8945</v>
      </c>
      <c r="L19" s="25" t="n">
        <v>1.181</v>
      </c>
      <c r="N19" s="39" t="s">
        <v>189</v>
      </c>
      <c r="O19" s="42" t="n">
        <v>63727.2</v>
      </c>
    </row>
    <row r="20" customFormat="false" ht="15" hidden="false" customHeight="false" outlineLevel="0" collapsed="false">
      <c r="B20" s="32" t="s">
        <v>190</v>
      </c>
      <c r="C20" s="32" t="s">
        <v>112</v>
      </c>
      <c r="D20" s="22" t="n">
        <v>1.34</v>
      </c>
      <c r="E20" s="22" t="n">
        <v>18.01</v>
      </c>
      <c r="F20" s="38" t="n">
        <v>24</v>
      </c>
      <c r="G20" s="22" t="n">
        <v>0.79</v>
      </c>
      <c r="H20" s="22" t="n">
        <v>27.06</v>
      </c>
      <c r="I20" s="21" t="n">
        <v>1.4713</v>
      </c>
      <c r="J20" s="22" t="n">
        <v>67.69</v>
      </c>
      <c r="K20" s="21" t="n">
        <v>0.8173</v>
      </c>
      <c r="L20" s="21" t="n">
        <v>2.113</v>
      </c>
    </row>
    <row r="21" customFormat="false" ht="15" hidden="false" customHeight="false" outlineLevel="0" collapsed="false">
      <c r="B21" s="33" t="s">
        <v>191</v>
      </c>
      <c r="C21" s="33" t="s">
        <v>112</v>
      </c>
      <c r="D21" s="26" t="n">
        <v>0.89</v>
      </c>
      <c r="E21" s="26" t="n">
        <v>20.07</v>
      </c>
      <c r="F21" s="41" t="n">
        <v>18</v>
      </c>
      <c r="G21" s="26" t="n">
        <v>0.36</v>
      </c>
      <c r="H21" s="26" t="n">
        <v>11.99</v>
      </c>
      <c r="I21" s="25" t="n">
        <v>1.5473</v>
      </c>
      <c r="J21" s="26" t="n">
        <v>58.77</v>
      </c>
      <c r="K21" s="25" t="n">
        <v>0.8595</v>
      </c>
      <c r="L21" s="25" t="n">
        <v>0.635</v>
      </c>
    </row>
    <row r="22" customFormat="false" ht="15" hidden="false" customHeight="false" outlineLevel="0" collapsed="false">
      <c r="B22" s="32" t="s">
        <v>192</v>
      </c>
      <c r="C22" s="32" t="s">
        <v>112</v>
      </c>
      <c r="D22" s="22" t="n">
        <v>2.33</v>
      </c>
      <c r="E22" s="22" t="n">
        <v>19.26</v>
      </c>
      <c r="F22" s="38" t="n">
        <v>19</v>
      </c>
      <c r="G22" s="22" t="n">
        <v>1.53</v>
      </c>
      <c r="H22" s="22" t="n">
        <v>15.24</v>
      </c>
      <c r="I22" s="21" t="n">
        <v>1.6677</v>
      </c>
      <c r="J22" s="22" t="n">
        <v>49.75</v>
      </c>
      <c r="K22" s="21" t="n">
        <v>0.9264</v>
      </c>
      <c r="L22" s="21" t="n">
        <v>0.637</v>
      </c>
    </row>
    <row r="23" customFormat="false" ht="15" hidden="false" customHeight="false" outlineLevel="0" collapsed="false">
      <c r="B23" s="33" t="s">
        <v>193</v>
      </c>
      <c r="C23" s="33" t="s">
        <v>112</v>
      </c>
      <c r="D23" s="26" t="n">
        <v>0.58</v>
      </c>
      <c r="E23" s="26" t="n">
        <v>22.92</v>
      </c>
      <c r="F23" s="41" t="n">
        <v>7</v>
      </c>
      <c r="G23" s="26" t="n">
        <v>0.18</v>
      </c>
      <c r="H23" s="26" t="n">
        <v>18.94</v>
      </c>
      <c r="I23" s="25" t="n">
        <v>1.6224</v>
      </c>
      <c r="J23" s="26" t="n">
        <v>75.7</v>
      </c>
      <c r="K23" s="25" t="n">
        <v>0.9012</v>
      </c>
      <c r="L23" s="25" t="n">
        <v>0.559</v>
      </c>
    </row>
    <row r="24" customFormat="false" ht="15" hidden="false" customHeight="false" outlineLevel="0" collapsed="false">
      <c r="B24" s="32" t="s">
        <v>194</v>
      </c>
      <c r="C24" s="32" t="s">
        <v>112</v>
      </c>
      <c r="D24" s="22" t="n">
        <v>0.68</v>
      </c>
      <c r="E24" s="22" t="n">
        <v>21.11</v>
      </c>
      <c r="F24" s="38" t="n">
        <v>16</v>
      </c>
      <c r="G24" s="22" t="n">
        <v>0.81</v>
      </c>
      <c r="H24" s="22" t="n">
        <v>19.99</v>
      </c>
      <c r="I24" s="21" t="n">
        <v>1.6479</v>
      </c>
      <c r="J24" s="22" t="n">
        <v>48.91</v>
      </c>
      <c r="K24" s="21" t="n">
        <v>0.9154</v>
      </c>
      <c r="L24" s="21" t="n">
        <v>0.645</v>
      </c>
    </row>
    <row r="25" customFormat="false" ht="15" hidden="false" customHeight="false" outlineLevel="0" collapsed="false">
      <c r="B25" s="33" t="s">
        <v>195</v>
      </c>
      <c r="C25" s="33" t="s">
        <v>112</v>
      </c>
      <c r="D25" s="26" t="n">
        <v>0.87</v>
      </c>
      <c r="E25" s="26" t="n">
        <v>21.68</v>
      </c>
      <c r="F25" s="41" t="n">
        <v>15</v>
      </c>
      <c r="G25" s="26" t="n">
        <v>0.54</v>
      </c>
      <c r="H25" s="26" t="n">
        <v>19.02</v>
      </c>
      <c r="I25" s="25" t="n">
        <v>1.6062</v>
      </c>
      <c r="J25" s="26" t="n">
        <v>54.88</v>
      </c>
      <c r="K25" s="25" t="n">
        <v>0.8923</v>
      </c>
      <c r="L25" s="25" t="n">
        <v>0.642</v>
      </c>
    </row>
    <row r="26" customFormat="false" ht="15" hidden="false" customHeight="false" outlineLevel="0" collapsed="false">
      <c r="B26" s="32" t="s">
        <v>196</v>
      </c>
      <c r="C26" s="32" t="s">
        <v>112</v>
      </c>
      <c r="D26" s="22" t="n">
        <v>4.02</v>
      </c>
      <c r="E26" s="22" t="n">
        <v>19.11</v>
      </c>
      <c r="F26" s="38" t="n">
        <v>20</v>
      </c>
      <c r="G26" s="22" t="n">
        <v>0.96</v>
      </c>
      <c r="H26" s="22" t="n">
        <v>1.99</v>
      </c>
      <c r="I26" s="21" t="n">
        <v>1.6038</v>
      </c>
      <c r="J26" s="22" t="n">
        <v>23.45</v>
      </c>
      <c r="K26" s="21" t="n">
        <v>0.8909</v>
      </c>
      <c r="L26" s="21" t="n">
        <v>0.787</v>
      </c>
    </row>
    <row r="27" customFormat="false" ht="15" hidden="false" customHeight="false" outlineLevel="0" collapsed="false">
      <c r="B27" s="33" t="s">
        <v>152</v>
      </c>
      <c r="C27" s="33" t="s">
        <v>113</v>
      </c>
      <c r="D27" s="26" t="n">
        <v>2.55</v>
      </c>
      <c r="E27" s="26" t="n">
        <v>25.1</v>
      </c>
      <c r="F27" s="41" t="n">
        <v>4</v>
      </c>
      <c r="G27" s="26" t="n">
        <v>1.72</v>
      </c>
      <c r="H27" s="26" t="n">
        <v>32.84</v>
      </c>
      <c r="I27" s="25" t="n">
        <v>1.8612</v>
      </c>
      <c r="J27" s="26" t="n">
        <v>38.22</v>
      </c>
      <c r="K27" s="25" t="n">
        <v>1.0339</v>
      </c>
      <c r="L27" s="25" t="n">
        <v>1.101</v>
      </c>
    </row>
    <row r="28" customFormat="false" ht="15" hidden="false" customHeight="false" outlineLevel="0" collapsed="false">
      <c r="B28" s="32" t="s">
        <v>153</v>
      </c>
      <c r="C28" s="32" t="s">
        <v>113</v>
      </c>
      <c r="D28" s="22" t="n">
        <v>1.83</v>
      </c>
      <c r="E28" s="22" t="n">
        <v>27.44</v>
      </c>
      <c r="F28" s="38" t="n">
        <v>1</v>
      </c>
      <c r="G28" s="22" t="n">
        <v>1.48</v>
      </c>
      <c r="H28" s="22" t="n">
        <v>43.36</v>
      </c>
      <c r="I28" s="21" t="n">
        <v>1.8964</v>
      </c>
      <c r="J28" s="22" t="n">
        <v>40.17</v>
      </c>
      <c r="K28" s="21" t="n">
        <v>1.0535</v>
      </c>
      <c r="L28" s="21" t="n">
        <v>1.368</v>
      </c>
    </row>
    <row r="29" customFormat="false" ht="15" hidden="false" customHeight="false" outlineLevel="0" collapsed="false">
      <c r="B29" s="33" t="s">
        <v>155</v>
      </c>
      <c r="C29" s="33" t="s">
        <v>113</v>
      </c>
      <c r="D29" s="26" t="n">
        <v>1.08</v>
      </c>
      <c r="E29" s="26" t="n">
        <v>25.74</v>
      </c>
      <c r="F29" s="41" t="n">
        <v>3</v>
      </c>
      <c r="G29" s="26" t="n">
        <v>0.6</v>
      </c>
      <c r="H29" s="26" t="n">
        <v>30.06</v>
      </c>
      <c r="I29" s="25" t="n">
        <v>1.7321</v>
      </c>
      <c r="J29" s="26" t="n">
        <v>38.27</v>
      </c>
      <c r="K29" s="25" t="n">
        <v>0.9622</v>
      </c>
      <c r="L29" s="25" t="n">
        <v>1.056</v>
      </c>
    </row>
    <row r="30" customFormat="false" ht="15" hidden="false" customHeight="false" outlineLevel="0" collapsed="false">
      <c r="B30" s="34" t="s">
        <v>145</v>
      </c>
      <c r="C30" s="34" t="s">
        <v>113</v>
      </c>
      <c r="D30" s="30" t="n">
        <v>2.15</v>
      </c>
      <c r="E30" s="30" t="n">
        <v>22.84</v>
      </c>
      <c r="F30" s="43" t="n">
        <v>8</v>
      </c>
      <c r="G30" s="30" t="n">
        <v>0</v>
      </c>
      <c r="H30" s="30" t="n">
        <v>36.42</v>
      </c>
      <c r="I30" s="29" t="n">
        <v>1.6582</v>
      </c>
      <c r="J30" s="30" t="n">
        <v>25.4</v>
      </c>
      <c r="K30" s="29" t="n">
        <v>0.9211</v>
      </c>
      <c r="L30" s="29" t="n">
        <v>0.385</v>
      </c>
    </row>
    <row r="31" customFormat="false" ht="15" hidden="false" customHeight="false" outlineLevel="0" collapsed="false">
      <c r="B31" s="33" t="s">
        <v>147</v>
      </c>
      <c r="C31" s="33" t="s">
        <v>113</v>
      </c>
      <c r="D31" s="26" t="n">
        <v>9.51</v>
      </c>
      <c r="E31" s="26" t="n">
        <v>20.95</v>
      </c>
      <c r="F31" s="41" t="n">
        <v>17</v>
      </c>
      <c r="G31" s="26" t="n">
        <v>12.94</v>
      </c>
      <c r="H31" s="26" t="n">
        <v>29.62</v>
      </c>
      <c r="I31" s="25" t="n">
        <v>1.8084</v>
      </c>
      <c r="J31" s="26" t="n">
        <v>30.87</v>
      </c>
      <c r="K31" s="25" t="n">
        <v>1.0046</v>
      </c>
      <c r="L31" s="25" t="n">
        <v>0.465</v>
      </c>
    </row>
    <row r="32" customFormat="false" ht="15" hidden="false" customHeight="false" outlineLevel="0" collapsed="false">
      <c r="B32" s="32" t="s">
        <v>159</v>
      </c>
      <c r="C32" s="32" t="s">
        <v>112</v>
      </c>
      <c r="D32" s="22" t="n">
        <v>11.25</v>
      </c>
      <c r="E32" s="22" t="n">
        <v>15.57</v>
      </c>
      <c r="F32" s="38" t="n">
        <v>26</v>
      </c>
      <c r="G32" s="22" t="n">
        <v>14.73</v>
      </c>
      <c r="H32" s="22" t="n">
        <v>27.38</v>
      </c>
      <c r="I32" s="21" t="n">
        <v>1.6384</v>
      </c>
      <c r="J32" s="22" t="n">
        <v>22.38</v>
      </c>
      <c r="K32" s="21" t="n">
        <v>0.9102</v>
      </c>
      <c r="L32" s="21" t="n">
        <v>0.468</v>
      </c>
    </row>
    <row r="33" customFormat="false" ht="15" hidden="false" customHeight="false" outlineLevel="0" collapsed="false">
      <c r="B33" s="33" t="s">
        <v>156</v>
      </c>
      <c r="C33" s="33" t="s">
        <v>112</v>
      </c>
      <c r="D33" s="26" t="n">
        <v>32.04</v>
      </c>
      <c r="E33" s="26" t="n">
        <v>14.2</v>
      </c>
      <c r="F33" s="41" t="n">
        <v>27</v>
      </c>
      <c r="G33" s="26" t="n">
        <v>37.77</v>
      </c>
      <c r="H33" s="26" t="n">
        <v>17.95</v>
      </c>
      <c r="I33" s="25" t="n">
        <v>1.787</v>
      </c>
      <c r="J33" s="26" t="n">
        <v>24.05</v>
      </c>
      <c r="K33" s="25" t="n">
        <v>0.9927</v>
      </c>
      <c r="L33" s="25" t="n">
        <v>1.457</v>
      </c>
    </row>
    <row r="34" customFormat="false" ht="15" hidden="false" customHeight="false" outlineLevel="0" collapsed="false">
      <c r="B34" s="32" t="s">
        <v>150</v>
      </c>
      <c r="C34" s="32" t="s">
        <v>113</v>
      </c>
      <c r="D34" s="22" t="n">
        <v>5.99</v>
      </c>
      <c r="E34" s="22" t="n">
        <v>22.28</v>
      </c>
      <c r="F34" s="38" t="n">
        <v>12</v>
      </c>
      <c r="G34" s="22" t="n">
        <v>6.12</v>
      </c>
      <c r="H34" s="22" t="n">
        <v>27.97</v>
      </c>
      <c r="I34" s="21" t="n">
        <v>1.8797</v>
      </c>
      <c r="J34" s="22" t="n">
        <v>31.23</v>
      </c>
      <c r="K34" s="21" t="n">
        <v>1.0442</v>
      </c>
      <c r="L34" s="21" t="n">
        <v>1.319</v>
      </c>
    </row>
    <row r="35" customFormat="false" ht="15" hidden="false" customHeight="false" outlineLevel="0" collapsed="false">
      <c r="B35" s="33" t="s">
        <v>148</v>
      </c>
      <c r="C35" s="33" t="s">
        <v>113</v>
      </c>
      <c r="D35" s="26" t="n">
        <v>4.15</v>
      </c>
      <c r="E35" s="26" t="n">
        <v>22.48</v>
      </c>
      <c r="F35" s="41" t="n">
        <v>10</v>
      </c>
      <c r="G35" s="26" t="n">
        <v>3.45</v>
      </c>
      <c r="H35" s="26" t="n">
        <v>21.69</v>
      </c>
      <c r="I35" s="25" t="n">
        <v>1.7735</v>
      </c>
      <c r="J35" s="26" t="n">
        <v>30.63</v>
      </c>
      <c r="K35" s="25" t="n">
        <v>0.9852</v>
      </c>
      <c r="L35" s="25" t="n">
        <v>1.287</v>
      </c>
    </row>
    <row r="36" customFormat="false" ht="15" hidden="false" customHeight="false" outlineLevel="0" collapsed="false">
      <c r="B36" s="32" t="s">
        <v>151</v>
      </c>
      <c r="C36" s="32" t="s">
        <v>113</v>
      </c>
      <c r="D36" s="22" t="n">
        <v>6.68</v>
      </c>
      <c r="E36" s="22" t="n">
        <v>21.79</v>
      </c>
      <c r="F36" s="38" t="n">
        <v>14</v>
      </c>
      <c r="G36" s="22" t="n">
        <v>5.24</v>
      </c>
      <c r="H36" s="22" t="n">
        <v>24.63</v>
      </c>
      <c r="I36" s="21" t="n">
        <v>1.913</v>
      </c>
      <c r="J36" s="22" t="n">
        <v>30.35</v>
      </c>
      <c r="K36" s="21" t="n">
        <v>1.0627</v>
      </c>
      <c r="L36" s="21" t="n">
        <v>1.366</v>
      </c>
    </row>
    <row r="37" customFormat="false" ht="15" hidden="false" customHeight="false" outlineLevel="0" collapsed="false">
      <c r="B37" s="34" t="s">
        <v>197</v>
      </c>
      <c r="C37" s="34"/>
      <c r="D37" s="30"/>
      <c r="E37" s="30"/>
      <c r="F37" s="43"/>
      <c r="G37" s="30"/>
      <c r="H37" s="30" t="n">
        <f aca="false">MEDIAN(H10:H36)</f>
        <v>21.03</v>
      </c>
      <c r="I37" s="29" t="n">
        <f aca="false">MEDIAN(I10:I36)</f>
        <v>1.6582</v>
      </c>
      <c r="J37" s="30" t="n">
        <f aca="false">MEDIAN(J10:J36)</f>
        <v>42.45</v>
      </c>
      <c r="K37" s="29" t="n">
        <f aca="false">MEDIAN(K10:K36)</f>
        <v>0.9211</v>
      </c>
      <c r="L37" s="29" t="n">
        <f aca="false">MEDIAN(L10:L36)</f>
        <v>0.654</v>
      </c>
    </row>
  </sheetData>
  <mergeCells count="3">
    <mergeCell ref="B3:G3"/>
    <mergeCell ref="B6:G6"/>
    <mergeCell ref="B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198</v>
      </c>
    </row>
    <row r="3" customFormat="false" ht="24.75" hidden="false" customHeight="true" outlineLevel="0" collapsed="false">
      <c r="B3" s="17" t="s">
        <v>199</v>
      </c>
      <c r="C3" s="17"/>
      <c r="D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200</v>
      </c>
      <c r="C6" s="18"/>
      <c r="D6" s="18"/>
    </row>
    <row r="7" customFormat="false" ht="13.5" hidden="false" customHeight="true" outlineLevel="0" collapsed="false">
      <c r="B7" s="18" t="s">
        <v>201</v>
      </c>
      <c r="C7" s="18"/>
      <c r="D7" s="18"/>
    </row>
    <row r="9" customFormat="false" ht="24" hidden="false" customHeight="true" outlineLevel="0" collapsed="false">
      <c r="B9" s="19" t="s">
        <v>202</v>
      </c>
      <c r="C9" s="19" t="s">
        <v>169</v>
      </c>
      <c r="D9" s="19" t="s">
        <v>203</v>
      </c>
    </row>
    <row r="10" customFormat="false" ht="15" hidden="false" customHeight="false" outlineLevel="0" collapsed="false">
      <c r="B10" s="20" t="s">
        <v>204</v>
      </c>
      <c r="C10" s="21" t="n">
        <v>51483.4291795651</v>
      </c>
      <c r="D10" s="20" t="s">
        <v>205</v>
      </c>
    </row>
    <row r="11" customFormat="false" ht="15" hidden="false" customHeight="false" outlineLevel="0" collapsed="false">
      <c r="B11" s="24" t="s">
        <v>206</v>
      </c>
      <c r="C11" s="25" t="n">
        <v>18162.8494728531</v>
      </c>
      <c r="D11" s="24" t="s">
        <v>207</v>
      </c>
    </row>
    <row r="12" customFormat="false" ht="15" hidden="false" customHeight="false" outlineLevel="0" collapsed="false">
      <c r="B12" s="20" t="s">
        <v>208</v>
      </c>
      <c r="C12" s="21" t="n">
        <v>18122.9</v>
      </c>
      <c r="D12" s="20" t="s">
        <v>209</v>
      </c>
    </row>
    <row r="13" customFormat="false" ht="15" hidden="false" customHeight="false" outlineLevel="0" collapsed="false">
      <c r="B13" s="24" t="s">
        <v>189</v>
      </c>
      <c r="C13" s="25" t="n">
        <v>63727.2</v>
      </c>
      <c r="D13" s="24" t="s">
        <v>210</v>
      </c>
    </row>
    <row r="14" customFormat="false" ht="15" hidden="false" customHeight="false" outlineLevel="0" collapsed="false">
      <c r="B14" s="20" t="s">
        <v>211</v>
      </c>
      <c r="C14" s="21" t="n">
        <v>163.645887585044</v>
      </c>
      <c r="D14" s="20" t="s">
        <v>212</v>
      </c>
    </row>
    <row r="15" customFormat="false" ht="15" hidden="false" customHeight="false" outlineLevel="0" collapsed="false">
      <c r="B15" s="28" t="s">
        <v>213</v>
      </c>
      <c r="C15" s="29" t="n">
        <f aca="false">C14/C10*100</f>
        <v>0.317861281178991</v>
      </c>
      <c r="D15" s="28" t="s">
        <v>214</v>
      </c>
    </row>
    <row r="16" customFormat="false" ht="15" hidden="false" customHeight="false" outlineLevel="0" collapsed="false">
      <c r="B16" s="28" t="s">
        <v>215</v>
      </c>
      <c r="C16" s="29" t="n">
        <f aca="false">C11/C10*100</f>
        <v>35.2790203805272</v>
      </c>
      <c r="D16" s="28" t="s">
        <v>216</v>
      </c>
    </row>
    <row r="17" customFormat="false" ht="15" hidden="false" customHeight="false" outlineLevel="0" collapsed="false">
      <c r="B17" s="28" t="s">
        <v>217</v>
      </c>
      <c r="C17" s="29" t="n">
        <f aca="false">C13/(C13+C12)*100</f>
        <v>77.8584265627043</v>
      </c>
      <c r="D17" s="28" t="s">
        <v>218</v>
      </c>
    </row>
  </sheetData>
  <mergeCells count="3">
    <mergeCell ref="B3:D3"/>
    <mergeCell ref="B6:D6"/>
    <mergeCell ref="B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219</v>
      </c>
    </row>
    <row r="3" customFormat="false" ht="24.75" hidden="false" customHeight="true" outlineLevel="0" collapsed="false">
      <c r="B3" s="17" t="s">
        <v>220</v>
      </c>
      <c r="C3" s="17"/>
      <c r="D3" s="17"/>
      <c r="E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221</v>
      </c>
      <c r="C6" s="18"/>
      <c r="D6" s="18"/>
      <c r="E6" s="18"/>
    </row>
    <row r="7" customFormat="false" ht="13.5" hidden="false" customHeight="true" outlineLevel="0" collapsed="false">
      <c r="B7" s="18" t="s">
        <v>222</v>
      </c>
      <c r="C7" s="18"/>
      <c r="D7" s="18"/>
      <c r="E7" s="18"/>
    </row>
    <row r="9" customFormat="false" ht="24" hidden="false" customHeight="true" outlineLevel="0" collapsed="false">
      <c r="B9" s="19" t="s">
        <v>223</v>
      </c>
      <c r="C9" s="19" t="s">
        <v>224</v>
      </c>
      <c r="D9" s="19" t="s">
        <v>225</v>
      </c>
      <c r="E9" s="19" t="s">
        <v>226</v>
      </c>
    </row>
    <row r="10" customFormat="false" ht="15" hidden="false" customHeight="false" outlineLevel="0" collapsed="false">
      <c r="B10" s="32" t="s">
        <v>170</v>
      </c>
      <c r="C10" s="23" t="n">
        <v>14.1</v>
      </c>
      <c r="D10" s="22" t="n">
        <v>0.08</v>
      </c>
      <c r="E10" s="23" t="n">
        <v>42</v>
      </c>
    </row>
    <row r="11" customFormat="false" ht="15" hidden="false" customHeight="false" outlineLevel="0" collapsed="false">
      <c r="B11" s="33" t="s">
        <v>172</v>
      </c>
      <c r="C11" s="27" t="n">
        <v>11.7</v>
      </c>
      <c r="D11" s="26" t="n">
        <v>0.06</v>
      </c>
      <c r="E11" s="27" t="n">
        <v>33.2</v>
      </c>
    </row>
    <row r="12" customFormat="false" ht="15" hidden="false" customHeight="false" outlineLevel="0" collapsed="false">
      <c r="B12" s="32" t="s">
        <v>174</v>
      </c>
      <c r="C12" s="23" t="n">
        <v>298.9</v>
      </c>
      <c r="D12" s="22" t="n">
        <v>1.65</v>
      </c>
      <c r="E12" s="23" t="n">
        <v>1774</v>
      </c>
    </row>
    <row r="13" customFormat="false" ht="15" hidden="false" customHeight="false" outlineLevel="0" collapsed="false">
      <c r="B13" s="33" t="s">
        <v>176</v>
      </c>
      <c r="C13" s="27" t="n">
        <v>204.5</v>
      </c>
      <c r="D13" s="26" t="n">
        <v>1.13</v>
      </c>
      <c r="E13" s="27" t="n">
        <v>476.6</v>
      </c>
    </row>
    <row r="14" customFormat="false" ht="15" hidden="false" customHeight="false" outlineLevel="0" collapsed="false">
      <c r="B14" s="32" t="s">
        <v>178</v>
      </c>
      <c r="C14" s="23" t="n">
        <v>91.3</v>
      </c>
      <c r="D14" s="22" t="n">
        <v>0.5</v>
      </c>
      <c r="E14" s="23" t="n">
        <v>226</v>
      </c>
    </row>
    <row r="15" customFormat="false" ht="15" hidden="false" customHeight="false" outlineLevel="0" collapsed="false">
      <c r="B15" s="33" t="s">
        <v>180</v>
      </c>
      <c r="C15" s="27" t="n">
        <v>8.9</v>
      </c>
      <c r="D15" s="26" t="n">
        <v>0.05</v>
      </c>
      <c r="E15" s="27" t="n">
        <v>20.9</v>
      </c>
    </row>
    <row r="16" customFormat="false" ht="15" hidden="false" customHeight="false" outlineLevel="0" collapsed="false">
      <c r="B16" s="32" t="s">
        <v>182</v>
      </c>
      <c r="C16" s="23" t="n">
        <v>44.7</v>
      </c>
      <c r="D16" s="22" t="n">
        <v>0.25</v>
      </c>
      <c r="E16" s="23" t="n">
        <v>110.3</v>
      </c>
    </row>
    <row r="17" customFormat="false" ht="15" hidden="false" customHeight="false" outlineLevel="0" collapsed="false">
      <c r="B17" s="33" t="s">
        <v>184</v>
      </c>
      <c r="C17" s="27" t="n">
        <v>75.2</v>
      </c>
      <c r="D17" s="26" t="n">
        <v>0.42</v>
      </c>
      <c r="E17" s="27" t="n">
        <v>171</v>
      </c>
    </row>
    <row r="18" customFormat="false" ht="15" hidden="false" customHeight="false" outlineLevel="0" collapsed="false">
      <c r="B18" s="32" t="s">
        <v>186</v>
      </c>
      <c r="C18" s="23" t="n">
        <v>987.4</v>
      </c>
      <c r="D18" s="22" t="n">
        <v>5.45</v>
      </c>
      <c r="E18" s="23" t="n">
        <v>2220.4</v>
      </c>
    </row>
    <row r="19" customFormat="false" ht="15" hidden="false" customHeight="false" outlineLevel="0" collapsed="false">
      <c r="B19" s="33" t="s">
        <v>188</v>
      </c>
      <c r="C19" s="27" t="n">
        <v>217.2</v>
      </c>
      <c r="D19" s="26" t="n">
        <v>1.2</v>
      </c>
      <c r="E19" s="27" t="n">
        <v>625.3</v>
      </c>
    </row>
    <row r="20" customFormat="false" ht="15" hidden="false" customHeight="false" outlineLevel="0" collapsed="false">
      <c r="B20" s="32" t="s">
        <v>190</v>
      </c>
      <c r="C20" s="23" t="n">
        <v>143.6</v>
      </c>
      <c r="D20" s="22" t="n">
        <v>0.79</v>
      </c>
      <c r="E20" s="23" t="n">
        <v>322.8</v>
      </c>
    </row>
    <row r="21" customFormat="false" ht="15" hidden="false" customHeight="false" outlineLevel="0" collapsed="false">
      <c r="B21" s="33" t="s">
        <v>191</v>
      </c>
      <c r="C21" s="27" t="n">
        <v>66.1</v>
      </c>
      <c r="D21" s="26" t="n">
        <v>0.36</v>
      </c>
      <c r="E21" s="27" t="n">
        <v>158.6</v>
      </c>
    </row>
    <row r="22" customFormat="false" ht="15" hidden="false" customHeight="false" outlineLevel="0" collapsed="false">
      <c r="B22" s="32" t="s">
        <v>192</v>
      </c>
      <c r="C22" s="23" t="n">
        <v>278.1</v>
      </c>
      <c r="D22" s="22" t="n">
        <v>1.53</v>
      </c>
      <c r="E22" s="23" t="n">
        <v>648.3</v>
      </c>
    </row>
    <row r="23" customFormat="false" ht="15" hidden="false" customHeight="false" outlineLevel="0" collapsed="false">
      <c r="B23" s="33" t="s">
        <v>193</v>
      </c>
      <c r="C23" s="27" t="n">
        <v>32.6</v>
      </c>
      <c r="D23" s="26" t="n">
        <v>0.18</v>
      </c>
      <c r="E23" s="27" t="n">
        <v>90.6</v>
      </c>
    </row>
    <row r="24" customFormat="false" ht="15" hidden="false" customHeight="false" outlineLevel="0" collapsed="false">
      <c r="B24" s="32" t="s">
        <v>194</v>
      </c>
      <c r="C24" s="23" t="n">
        <v>146.4</v>
      </c>
      <c r="D24" s="22" t="n">
        <v>0.81</v>
      </c>
      <c r="E24" s="23" t="n">
        <v>297.3</v>
      </c>
    </row>
    <row r="25" customFormat="false" ht="15" hidden="false" customHeight="false" outlineLevel="0" collapsed="false">
      <c r="B25" s="33" t="s">
        <v>195</v>
      </c>
      <c r="C25" s="27" t="n">
        <v>97.1</v>
      </c>
      <c r="D25" s="26" t="n">
        <v>0.54</v>
      </c>
      <c r="E25" s="27" t="n">
        <v>212.6</v>
      </c>
    </row>
    <row r="26" customFormat="false" ht="15" hidden="false" customHeight="false" outlineLevel="0" collapsed="false">
      <c r="B26" s="32" t="s">
        <v>196</v>
      </c>
      <c r="C26" s="23" t="n">
        <v>173.2</v>
      </c>
      <c r="D26" s="22" t="n">
        <v>0.96</v>
      </c>
      <c r="E26" s="23" t="n">
        <v>395.6</v>
      </c>
    </row>
    <row r="27" customFormat="false" ht="15" hidden="false" customHeight="false" outlineLevel="0" collapsed="false">
      <c r="B27" s="33" t="s">
        <v>152</v>
      </c>
      <c r="C27" s="27" t="n">
        <v>311.3</v>
      </c>
      <c r="D27" s="26" t="n">
        <v>1.72</v>
      </c>
      <c r="E27" s="27" t="n">
        <v>1000.4</v>
      </c>
    </row>
    <row r="28" customFormat="false" ht="15" hidden="false" customHeight="false" outlineLevel="0" collapsed="false">
      <c r="B28" s="32" t="s">
        <v>153</v>
      </c>
      <c r="C28" s="23" t="n">
        <v>268.2</v>
      </c>
      <c r="D28" s="22" t="n">
        <v>1.48</v>
      </c>
      <c r="E28" s="23" t="n">
        <v>809.2</v>
      </c>
    </row>
    <row r="29" customFormat="false" ht="15" hidden="false" customHeight="false" outlineLevel="0" collapsed="false">
      <c r="B29" s="33" t="s">
        <v>155</v>
      </c>
      <c r="C29" s="27" t="n">
        <v>108.6</v>
      </c>
      <c r="D29" s="26" t="n">
        <v>0.6</v>
      </c>
      <c r="E29" s="27" t="n">
        <v>338.7</v>
      </c>
    </row>
    <row r="30" customFormat="false" ht="15" hidden="false" customHeight="false" outlineLevel="0" collapsed="false">
      <c r="B30" s="32" t="s">
        <v>147</v>
      </c>
      <c r="C30" s="23" t="n">
        <v>2345.9</v>
      </c>
      <c r="D30" s="22" t="n">
        <v>12.94</v>
      </c>
      <c r="E30" s="23" t="n">
        <v>7852.2</v>
      </c>
    </row>
    <row r="31" customFormat="false" ht="15" hidden="false" customHeight="false" outlineLevel="0" collapsed="false">
      <c r="B31" s="33" t="s">
        <v>159</v>
      </c>
      <c r="C31" s="27" t="n">
        <v>2669.2</v>
      </c>
      <c r="D31" s="26" t="n">
        <v>14.73</v>
      </c>
      <c r="E31" s="27" t="n">
        <v>6450.7</v>
      </c>
    </row>
    <row r="32" customFormat="false" ht="15" hidden="false" customHeight="false" outlineLevel="0" collapsed="false">
      <c r="B32" s="32" t="s">
        <v>156</v>
      </c>
      <c r="C32" s="23" t="n">
        <v>6845.2</v>
      </c>
      <c r="D32" s="22" t="n">
        <v>37.77</v>
      </c>
      <c r="E32" s="23" t="n">
        <v>20075.7</v>
      </c>
    </row>
    <row r="33" customFormat="false" ht="15" hidden="false" customHeight="false" outlineLevel="0" collapsed="false">
      <c r="B33" s="33" t="s">
        <v>150</v>
      </c>
      <c r="C33" s="27" t="n">
        <v>1109.2</v>
      </c>
      <c r="D33" s="26" t="n">
        <v>6.12</v>
      </c>
      <c r="E33" s="27" t="n">
        <v>3413.8</v>
      </c>
    </row>
    <row r="34" customFormat="false" ht="15" hidden="false" customHeight="false" outlineLevel="0" collapsed="false">
      <c r="B34" s="32" t="s">
        <v>148</v>
      </c>
      <c r="C34" s="23" t="n">
        <v>624.6</v>
      </c>
      <c r="D34" s="22" t="n">
        <v>3.45</v>
      </c>
      <c r="E34" s="23" t="n">
        <v>1917.8</v>
      </c>
    </row>
    <row r="35" customFormat="false" ht="15" hidden="false" customHeight="false" outlineLevel="0" collapsed="false">
      <c r="B35" s="33" t="s">
        <v>151</v>
      </c>
      <c r="C35" s="27" t="n">
        <v>949.6</v>
      </c>
      <c r="D35" s="26" t="n">
        <v>5.24</v>
      </c>
      <c r="E35" s="27" t="n">
        <v>3210.9</v>
      </c>
    </row>
    <row r="36" customFormat="false" ht="15" hidden="false" customHeight="false" outlineLevel="0" collapsed="false">
      <c r="B36" s="34" t="s">
        <v>227</v>
      </c>
      <c r="C36" s="31" t="n">
        <f aca="false">C30+C31+C32</f>
        <v>11860.3</v>
      </c>
      <c r="D36" s="30" t="n">
        <f aca="false">D30+D31+D32</f>
        <v>65.44</v>
      </c>
      <c r="E36" s="31" t="n">
        <f aca="false">E30+E31+E32</f>
        <v>34378.6</v>
      </c>
    </row>
    <row r="37" customFormat="false" ht="15" hidden="false" customHeight="false" outlineLevel="0" collapsed="false">
      <c r="B37" s="34" t="s">
        <v>228</v>
      </c>
      <c r="C37" s="31" t="n">
        <f aca="false">C31+C32</f>
        <v>9514.4</v>
      </c>
      <c r="D37" s="30" t="n">
        <f aca="false">D31+D32</f>
        <v>52.5</v>
      </c>
      <c r="E37" s="31" t="n">
        <f aca="false">E31+E32</f>
        <v>26526.4</v>
      </c>
    </row>
  </sheetData>
  <mergeCells count="3">
    <mergeCell ref="B3:E3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229</v>
      </c>
    </row>
    <row r="3" customFormat="false" ht="24.75" hidden="false" customHeight="true" outlineLevel="0" collapsed="false">
      <c r="B3" s="17" t="s">
        <v>230</v>
      </c>
      <c r="C3" s="17"/>
      <c r="D3" s="17"/>
      <c r="E3" s="17"/>
      <c r="F3" s="17"/>
      <c r="G3" s="17"/>
      <c r="H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231</v>
      </c>
      <c r="C6" s="18"/>
      <c r="D6" s="18"/>
      <c r="E6" s="18"/>
      <c r="F6" s="18"/>
      <c r="G6" s="18"/>
      <c r="H6" s="18"/>
    </row>
    <row r="7" customFormat="false" ht="13.5" hidden="false" customHeight="true" outlineLevel="0" collapsed="false">
      <c r="B7" s="18" t="s">
        <v>232</v>
      </c>
      <c r="C7" s="18"/>
      <c r="D7" s="18"/>
      <c r="E7" s="18"/>
      <c r="F7" s="18"/>
      <c r="G7" s="18"/>
      <c r="H7" s="18"/>
    </row>
    <row r="9" customFormat="false" ht="24" hidden="false" customHeight="true" outlineLevel="0" collapsed="false">
      <c r="B9" s="19" t="s">
        <v>233</v>
      </c>
      <c r="C9" s="19" t="s">
        <v>234</v>
      </c>
      <c r="D9" s="19" t="s">
        <v>235</v>
      </c>
      <c r="E9" s="19" t="s">
        <v>236</v>
      </c>
      <c r="F9" s="19" t="s">
        <v>237</v>
      </c>
      <c r="G9" s="19" t="s">
        <v>238</v>
      </c>
      <c r="H9" s="19" t="s">
        <v>239</v>
      </c>
    </row>
    <row r="10" customFormat="false" ht="15" hidden="false" customHeight="false" outlineLevel="0" collapsed="false">
      <c r="B10" s="34" t="s">
        <v>240</v>
      </c>
      <c r="C10" s="28" t="s">
        <v>241</v>
      </c>
      <c r="D10" s="30" t="n">
        <v>62.28</v>
      </c>
      <c r="E10" s="29" t="n">
        <v>1.5791</v>
      </c>
      <c r="F10" s="29" t="n">
        <v>1.6414</v>
      </c>
      <c r="G10" s="30" t="n">
        <v>90.88</v>
      </c>
      <c r="H10" s="29" t="n">
        <v>0.3721</v>
      </c>
    </row>
    <row r="11" customFormat="false" ht="15" hidden="false" customHeight="false" outlineLevel="0" collapsed="false">
      <c r="B11" s="33" t="s">
        <v>242</v>
      </c>
      <c r="C11" s="24" t="s">
        <v>243</v>
      </c>
      <c r="D11" s="26" t="n">
        <v>10.63</v>
      </c>
      <c r="E11" s="25" t="n">
        <v>1.5803</v>
      </c>
      <c r="F11" s="25" t="n">
        <v>1.6369</v>
      </c>
      <c r="G11" s="26" t="n">
        <v>74.32</v>
      </c>
      <c r="H11" s="25" t="n">
        <v>0.313</v>
      </c>
    </row>
    <row r="12" customFormat="false" ht="15" hidden="false" customHeight="false" outlineLevel="0" collapsed="false">
      <c r="B12" s="32" t="s">
        <v>244</v>
      </c>
      <c r="C12" s="20" t="s">
        <v>245</v>
      </c>
      <c r="D12" s="22" t="n">
        <v>6.25</v>
      </c>
      <c r="E12" s="21" t="n">
        <v>1.5787</v>
      </c>
      <c r="F12" s="21" t="n">
        <v>1.6013</v>
      </c>
      <c r="G12" s="22" t="n">
        <v>79.44</v>
      </c>
      <c r="H12" s="21" t="n">
        <v>0.3806</v>
      </c>
    </row>
    <row r="13" customFormat="false" ht="15" hidden="false" customHeight="false" outlineLevel="0" collapsed="false">
      <c r="B13" s="33" t="s">
        <v>246</v>
      </c>
      <c r="C13" s="24" t="s">
        <v>247</v>
      </c>
      <c r="D13" s="26" t="n">
        <v>4.85</v>
      </c>
      <c r="E13" s="25" t="n">
        <v>1.5833</v>
      </c>
      <c r="F13" s="25" t="n">
        <v>1.4982</v>
      </c>
      <c r="G13" s="26" t="n">
        <v>85.26</v>
      </c>
      <c r="H13" s="25" t="n">
        <v>0.3187</v>
      </c>
    </row>
    <row r="14" customFormat="false" ht="15" hidden="false" customHeight="false" outlineLevel="0" collapsed="false">
      <c r="B14" s="32" t="s">
        <v>248</v>
      </c>
      <c r="C14" s="20" t="s">
        <v>249</v>
      </c>
      <c r="D14" s="22" t="n">
        <v>4.42</v>
      </c>
      <c r="E14" s="21" t="n">
        <v>1.5756</v>
      </c>
      <c r="F14" s="21" t="n">
        <v>1.5317</v>
      </c>
      <c r="G14" s="22" t="n">
        <v>85.6</v>
      </c>
      <c r="H14" s="21" t="n">
        <v>0.3755</v>
      </c>
    </row>
    <row r="15" customFormat="false" ht="15" hidden="false" customHeight="false" outlineLevel="0" collapsed="false">
      <c r="B15" s="33" t="s">
        <v>250</v>
      </c>
      <c r="C15" s="24" t="s">
        <v>251</v>
      </c>
      <c r="D15" s="26" t="n">
        <v>4.11</v>
      </c>
      <c r="E15" s="25" t="n">
        <v>1.5749</v>
      </c>
      <c r="F15" s="25" t="n">
        <v>1.7581</v>
      </c>
      <c r="G15" s="26" t="n">
        <v>66.18</v>
      </c>
      <c r="H15" s="25" t="n">
        <v>0.3405</v>
      </c>
    </row>
    <row r="16" customFormat="false" ht="15" hidden="false" customHeight="false" outlineLevel="0" collapsed="false">
      <c r="B16" s="32" t="s">
        <v>252</v>
      </c>
      <c r="C16" s="20" t="s">
        <v>253</v>
      </c>
      <c r="D16" s="22" t="n">
        <v>2.14</v>
      </c>
      <c r="E16" s="21" t="n">
        <v>1.5754</v>
      </c>
      <c r="F16" s="21" t="n">
        <v>1.4965</v>
      </c>
      <c r="G16" s="22" t="n">
        <v>87.31</v>
      </c>
      <c r="H16" s="21" t="n">
        <v>0.355</v>
      </c>
    </row>
    <row r="17" customFormat="false" ht="15" hidden="false" customHeight="false" outlineLevel="0" collapsed="false">
      <c r="B17" s="33" t="s">
        <v>254</v>
      </c>
      <c r="C17" s="24" t="s">
        <v>255</v>
      </c>
      <c r="D17" s="26" t="n">
        <v>1.93</v>
      </c>
      <c r="E17" s="25" t="n">
        <v>1.5731</v>
      </c>
      <c r="F17" s="25" t="n">
        <v>1.4176</v>
      </c>
      <c r="G17" s="26" t="n">
        <v>88.22</v>
      </c>
      <c r="H17" s="25" t="n">
        <v>0.3907</v>
      </c>
    </row>
    <row r="18" customFormat="false" ht="15" hidden="false" customHeight="false" outlineLevel="0" collapsed="false">
      <c r="B18" s="32" t="s">
        <v>256</v>
      </c>
      <c r="C18" s="20" t="s">
        <v>257</v>
      </c>
      <c r="D18" s="22" t="n">
        <v>1.85</v>
      </c>
      <c r="E18" s="21" t="n">
        <v>1.5748</v>
      </c>
      <c r="F18" s="21" t="n">
        <v>1.4844</v>
      </c>
      <c r="G18" s="22" t="n">
        <v>80.59</v>
      </c>
      <c r="H18" s="21" t="n">
        <v>0.3693</v>
      </c>
    </row>
    <row r="19" customFormat="false" ht="15" hidden="false" customHeight="false" outlineLevel="0" collapsed="false">
      <c r="B19" s="33" t="s">
        <v>258</v>
      </c>
      <c r="C19" s="24" t="s">
        <v>259</v>
      </c>
      <c r="D19" s="26" t="n">
        <v>1.54</v>
      </c>
      <c r="E19" s="25" t="n">
        <v>1.5694</v>
      </c>
      <c r="F19" s="25" t="n">
        <v>1.4255</v>
      </c>
      <c r="G19" s="26" t="n">
        <v>82.33</v>
      </c>
      <c r="H19" s="25" t="n">
        <v>0.3141</v>
      </c>
    </row>
    <row r="22" customFormat="false" ht="15" hidden="false" customHeight="false" outlineLevel="0" collapsed="false">
      <c r="B22" s="5" t="s">
        <v>260</v>
      </c>
    </row>
    <row r="23" customFormat="false" ht="22.35" hidden="false" customHeight="false" outlineLevel="0" collapsed="false">
      <c r="B23" s="19" t="s">
        <v>261</v>
      </c>
      <c r="C23" s="19" t="s">
        <v>262</v>
      </c>
      <c r="D23" s="19" t="s">
        <v>263</v>
      </c>
      <c r="E23" s="19" t="s">
        <v>264</v>
      </c>
    </row>
    <row r="24" customFormat="false" ht="15" hidden="false" customHeight="false" outlineLevel="0" collapsed="false">
      <c r="B24" s="44" t="s">
        <v>265</v>
      </c>
      <c r="C24" s="44" t="s">
        <v>266</v>
      </c>
      <c r="D24" s="45" t="n">
        <v>65985.4</v>
      </c>
      <c r="E24" s="46" t="n">
        <v>12.98</v>
      </c>
    </row>
  </sheetData>
  <mergeCells count="3">
    <mergeCell ref="B3:H3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26"/>
    <col collapsed="false" customWidth="true" hidden="false" outlineLevel="0" max="12" min="3" style="0" width="11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267</v>
      </c>
    </row>
    <row r="3" customFormat="false" ht="24.75" hidden="false" customHeight="true" outlineLevel="0" collapsed="false">
      <c r="B3" s="17" t="s">
        <v>268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269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13.5" hidden="false" customHeight="true" outlineLevel="0" collapsed="false">
      <c r="B7" s="18" t="s">
        <v>270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9" customFormat="false" ht="24" hidden="false" customHeight="true" outlineLevel="0" collapsed="false">
      <c r="B9" s="19" t="s">
        <v>62</v>
      </c>
      <c r="C9" s="19" t="s">
        <v>241</v>
      </c>
      <c r="D9" s="19" t="s">
        <v>259</v>
      </c>
      <c r="E9" s="19" t="s">
        <v>257</v>
      </c>
      <c r="F9" s="19" t="s">
        <v>251</v>
      </c>
      <c r="G9" s="19" t="s">
        <v>245</v>
      </c>
      <c r="H9" s="19" t="s">
        <v>255</v>
      </c>
      <c r="I9" s="19" t="s">
        <v>243</v>
      </c>
      <c r="J9" s="19" t="s">
        <v>249</v>
      </c>
      <c r="K9" s="19" t="s">
        <v>247</v>
      </c>
      <c r="L9" s="19" t="s">
        <v>253</v>
      </c>
    </row>
    <row r="10" customFormat="false" ht="15" hidden="false" customHeight="false" outlineLevel="0" collapsed="false">
      <c r="B10" s="20" t="s">
        <v>154</v>
      </c>
      <c r="C10" s="21" t="n">
        <v>0.039</v>
      </c>
      <c r="D10" s="21" t="n">
        <v>6.665</v>
      </c>
      <c r="E10" s="21" t="n">
        <v>5.848</v>
      </c>
      <c r="F10" s="21" t="n">
        <v>1.654</v>
      </c>
      <c r="G10" s="21" t="n">
        <v>1.051</v>
      </c>
      <c r="H10" s="21" t="n">
        <v>5.612</v>
      </c>
      <c r="I10" s="21" t="n">
        <v>1.2</v>
      </c>
      <c r="J10" s="21" t="n">
        <v>3.01</v>
      </c>
      <c r="K10" s="21" t="n">
        <v>3.971</v>
      </c>
      <c r="L10" s="21" t="n">
        <v>3.261</v>
      </c>
    </row>
    <row r="11" customFormat="false" ht="15" hidden="false" customHeight="false" outlineLevel="0" collapsed="false">
      <c r="B11" s="24" t="s">
        <v>271</v>
      </c>
      <c r="C11" s="25" t="n">
        <v>0.049</v>
      </c>
      <c r="D11" s="25" t="n">
        <v>21.907</v>
      </c>
      <c r="E11" s="25" t="n">
        <v>5.307</v>
      </c>
      <c r="F11" s="25" t="n">
        <v>1.266</v>
      </c>
      <c r="G11" s="25" t="n">
        <v>1.027</v>
      </c>
      <c r="H11" s="25" t="n">
        <v>3.424</v>
      </c>
      <c r="I11" s="25" t="n">
        <v>0.639</v>
      </c>
      <c r="J11" s="25" t="n">
        <v>1.378</v>
      </c>
      <c r="K11" s="25" t="n">
        <v>2.061</v>
      </c>
      <c r="L11" s="25" t="n">
        <v>5.761</v>
      </c>
    </row>
    <row r="12" customFormat="false" ht="15" hidden="false" customHeight="false" outlineLevel="0" collapsed="false">
      <c r="B12" s="20" t="s">
        <v>272</v>
      </c>
      <c r="C12" s="21" t="n">
        <v>0.356</v>
      </c>
      <c r="D12" s="21" t="n">
        <v>1.602</v>
      </c>
      <c r="E12" s="21" t="n">
        <v>1.02</v>
      </c>
      <c r="F12" s="21" t="n">
        <v>8.189</v>
      </c>
      <c r="G12" s="21" t="n">
        <v>0.157</v>
      </c>
      <c r="H12" s="21" t="n">
        <v>0.723</v>
      </c>
      <c r="I12" s="21" t="n">
        <v>1.33</v>
      </c>
      <c r="J12" s="21" t="n">
        <v>0.892</v>
      </c>
      <c r="K12" s="21" t="n">
        <v>3.644</v>
      </c>
      <c r="L12" s="21" t="n">
        <v>0.801</v>
      </c>
    </row>
    <row r="13" customFormat="false" ht="15" hidden="false" customHeight="false" outlineLevel="0" collapsed="false">
      <c r="B13" s="24" t="s">
        <v>273</v>
      </c>
      <c r="C13" s="25" t="n">
        <v>0.183</v>
      </c>
      <c r="D13" s="25" t="n">
        <v>1.06</v>
      </c>
      <c r="E13" s="25" t="n">
        <v>1.577</v>
      </c>
      <c r="F13" s="25" t="n">
        <v>0.306</v>
      </c>
      <c r="G13" s="25" t="n">
        <v>3.691</v>
      </c>
      <c r="H13" s="25" t="n">
        <v>0.481</v>
      </c>
      <c r="I13" s="25" t="n">
        <v>0.459</v>
      </c>
      <c r="J13" s="25" t="n">
        <v>3.543</v>
      </c>
      <c r="K13" s="25" t="n">
        <v>0.1</v>
      </c>
      <c r="L13" s="25" t="n">
        <v>17.659</v>
      </c>
    </row>
    <row r="14" customFormat="false" ht="15" hidden="false" customHeight="false" outlineLevel="0" collapsed="false">
      <c r="B14" s="20" t="s">
        <v>274</v>
      </c>
      <c r="C14" s="21" t="n">
        <v>1.192</v>
      </c>
      <c r="D14" s="21" t="n">
        <v>0</v>
      </c>
      <c r="E14" s="21" t="n">
        <v>0</v>
      </c>
      <c r="F14" s="21" t="n">
        <v>0.016</v>
      </c>
      <c r="G14" s="21" t="n">
        <v>0</v>
      </c>
      <c r="H14" s="21" t="n">
        <v>0</v>
      </c>
      <c r="I14" s="21" t="n">
        <v>1.215</v>
      </c>
      <c r="J14" s="21" t="n">
        <v>0</v>
      </c>
      <c r="K14" s="21" t="n">
        <v>2.632</v>
      </c>
      <c r="L14" s="21" t="n">
        <v>0</v>
      </c>
    </row>
    <row r="15" customFormat="false" ht="15" hidden="false" customHeight="false" outlineLevel="0" collapsed="false">
      <c r="B15" s="24" t="s">
        <v>275</v>
      </c>
      <c r="C15" s="25" t="n">
        <v>0.977</v>
      </c>
      <c r="D15" s="25" t="n">
        <v>0</v>
      </c>
      <c r="E15" s="25" t="n">
        <v>0</v>
      </c>
      <c r="F15" s="25" t="n">
        <v>9.534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</row>
    <row r="16" customFormat="false" ht="15" hidden="false" customHeight="false" outlineLevel="0" collapsed="false">
      <c r="B16" s="20" t="s">
        <v>276</v>
      </c>
      <c r="C16" s="21" t="n">
        <v>0.764</v>
      </c>
      <c r="D16" s="21" t="n">
        <v>0.959</v>
      </c>
      <c r="E16" s="21" t="n">
        <v>2.123</v>
      </c>
      <c r="F16" s="21" t="n">
        <v>1.018</v>
      </c>
      <c r="G16" s="21" t="n">
        <v>1.813</v>
      </c>
      <c r="H16" s="21" t="n">
        <v>0.437</v>
      </c>
      <c r="I16" s="21" t="n">
        <v>1.286</v>
      </c>
      <c r="J16" s="21" t="n">
        <v>2.398</v>
      </c>
      <c r="K16" s="21" t="n">
        <v>0.702</v>
      </c>
      <c r="L16" s="21" t="n">
        <v>1.387</v>
      </c>
    </row>
    <row r="17" customFormat="false" ht="15" hidden="false" customHeight="false" outlineLevel="0" collapsed="false">
      <c r="B17" s="24" t="s">
        <v>277</v>
      </c>
      <c r="C17" s="25" t="n">
        <v>0.581</v>
      </c>
      <c r="D17" s="25" t="n">
        <v>0.149</v>
      </c>
      <c r="E17" s="25" t="n">
        <v>0.897</v>
      </c>
      <c r="F17" s="25" t="n">
        <v>0.067</v>
      </c>
      <c r="G17" s="25" t="n">
        <v>1.483</v>
      </c>
      <c r="H17" s="25" t="n">
        <v>1.525</v>
      </c>
      <c r="I17" s="25" t="n">
        <v>0.5</v>
      </c>
      <c r="J17" s="25" t="n">
        <v>9.636</v>
      </c>
      <c r="K17" s="25" t="n">
        <v>0.173</v>
      </c>
      <c r="L17" s="25" t="n">
        <v>0.309</v>
      </c>
    </row>
    <row r="18" customFormat="false" ht="15" hidden="false" customHeight="false" outlineLevel="0" collapsed="false">
      <c r="B18" s="20" t="s">
        <v>278</v>
      </c>
      <c r="C18" s="21" t="n">
        <v>0.524</v>
      </c>
      <c r="D18" s="21" t="n">
        <v>2.802</v>
      </c>
      <c r="E18" s="21" t="n">
        <v>2.01</v>
      </c>
      <c r="F18" s="21" t="n">
        <v>0.446</v>
      </c>
      <c r="G18" s="21" t="n">
        <v>0.888</v>
      </c>
      <c r="H18" s="21" t="n">
        <v>1.746</v>
      </c>
      <c r="I18" s="21" t="n">
        <v>3.113</v>
      </c>
      <c r="J18" s="21" t="n">
        <v>2.889</v>
      </c>
      <c r="K18" s="21" t="n">
        <v>0.386</v>
      </c>
      <c r="L18" s="21" t="n">
        <v>0.401</v>
      </c>
    </row>
    <row r="19" customFormat="false" ht="15" hidden="false" customHeight="false" outlineLevel="0" collapsed="false">
      <c r="B19" s="24" t="s">
        <v>279</v>
      </c>
      <c r="C19" s="25" t="n">
        <v>0.177</v>
      </c>
      <c r="D19" s="25" t="n">
        <v>0.071</v>
      </c>
      <c r="E19" s="25" t="n">
        <v>0</v>
      </c>
      <c r="F19" s="25" t="n">
        <v>0</v>
      </c>
      <c r="G19" s="25" t="n">
        <v>0.009</v>
      </c>
      <c r="H19" s="25" t="n">
        <v>0.026</v>
      </c>
      <c r="I19" s="25" t="n">
        <v>8.187</v>
      </c>
      <c r="J19" s="25" t="n">
        <v>0.019</v>
      </c>
      <c r="K19" s="25" t="n">
        <v>0.343</v>
      </c>
      <c r="L19" s="25" t="n">
        <v>0</v>
      </c>
    </row>
    <row r="20" customFormat="false" ht="15" hidden="false" customHeight="false" outlineLevel="0" collapsed="false">
      <c r="B20" s="20" t="s">
        <v>280</v>
      </c>
      <c r="C20" s="21" t="n">
        <v>0.67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2.827</v>
      </c>
      <c r="J20" s="21" t="n">
        <v>0</v>
      </c>
      <c r="K20" s="21" t="n">
        <v>5.818</v>
      </c>
      <c r="L20" s="21" t="n">
        <v>0</v>
      </c>
    </row>
    <row r="21" customFormat="false" ht="15" hidden="false" customHeight="false" outlineLevel="0" collapsed="false">
      <c r="B21" s="24" t="s">
        <v>281</v>
      </c>
      <c r="C21" s="25" t="n">
        <v>1.356</v>
      </c>
      <c r="D21" s="25" t="n">
        <v>0.117</v>
      </c>
      <c r="E21" s="25" t="n">
        <v>0.233</v>
      </c>
      <c r="F21" s="25" t="n">
        <v>0.363</v>
      </c>
      <c r="G21" s="25" t="n">
        <v>0.296</v>
      </c>
      <c r="H21" s="25" t="n">
        <v>0.169</v>
      </c>
      <c r="I21" s="25" t="n">
        <v>0.86</v>
      </c>
      <c r="J21" s="25" t="n">
        <v>0.262</v>
      </c>
      <c r="K21" s="25" t="n">
        <v>0.121</v>
      </c>
      <c r="L21" s="25" t="n">
        <v>0.181</v>
      </c>
    </row>
    <row r="22" customFormat="false" ht="15" hidden="false" customHeight="false" outlineLevel="0" collapsed="false">
      <c r="B22" s="20" t="s">
        <v>282</v>
      </c>
      <c r="C22" s="21" t="n">
        <v>0.444</v>
      </c>
      <c r="D22" s="21" t="n">
        <v>0.459</v>
      </c>
      <c r="E22" s="21" t="n">
        <v>0.693</v>
      </c>
      <c r="F22" s="21" t="n">
        <v>0.847</v>
      </c>
      <c r="G22" s="21" t="n">
        <v>7.687</v>
      </c>
      <c r="H22" s="21" t="n">
        <v>0.162</v>
      </c>
      <c r="I22" s="21" t="n">
        <v>0.288</v>
      </c>
      <c r="J22" s="21" t="n">
        <v>1.448</v>
      </c>
      <c r="K22" s="21" t="n">
        <v>0.198</v>
      </c>
      <c r="L22" s="21" t="n">
        <v>3.802</v>
      </c>
    </row>
    <row r="23" customFormat="false" ht="15" hidden="false" customHeight="false" outlineLevel="0" collapsed="false">
      <c r="B23" s="24" t="s">
        <v>82</v>
      </c>
      <c r="C23" s="25" t="n">
        <v>1.556</v>
      </c>
      <c r="D23" s="25" t="n">
        <v>0</v>
      </c>
      <c r="E23" s="25" t="n">
        <v>0</v>
      </c>
      <c r="F23" s="25" t="n">
        <v>0.007</v>
      </c>
      <c r="G23" s="25" t="n">
        <v>0.032</v>
      </c>
      <c r="H23" s="25" t="n">
        <v>0</v>
      </c>
      <c r="I23" s="25" t="n">
        <v>0.236</v>
      </c>
      <c r="J23" s="25" t="n">
        <v>0.075</v>
      </c>
      <c r="K23" s="25" t="n">
        <v>0</v>
      </c>
      <c r="L23" s="25" t="n">
        <v>0</v>
      </c>
    </row>
    <row r="24" customFormat="false" ht="15" hidden="false" customHeight="false" outlineLevel="0" collapsed="false">
      <c r="B24" s="20" t="s">
        <v>283</v>
      </c>
      <c r="C24" s="21" t="n">
        <v>0.788</v>
      </c>
      <c r="D24" s="21" t="n">
        <v>0.193</v>
      </c>
      <c r="E24" s="21" t="n">
        <v>0.394</v>
      </c>
      <c r="F24" s="21" t="n">
        <v>0.362</v>
      </c>
      <c r="G24" s="21" t="n">
        <v>0.778</v>
      </c>
      <c r="H24" s="21" t="n">
        <v>0.101</v>
      </c>
      <c r="I24" s="21" t="n">
        <v>3.471</v>
      </c>
      <c r="J24" s="21" t="n">
        <v>0.527</v>
      </c>
      <c r="K24" s="21" t="n">
        <v>0.78</v>
      </c>
      <c r="L24" s="21" t="n">
        <v>0.173</v>
      </c>
    </row>
    <row r="25" customFormat="false" ht="15" hidden="false" customHeight="false" outlineLevel="0" collapsed="false">
      <c r="B25" s="24" t="s">
        <v>284</v>
      </c>
      <c r="C25" s="25" t="n">
        <v>0.192</v>
      </c>
      <c r="D25" s="25" t="n">
        <v>0.607</v>
      </c>
      <c r="E25" s="25" t="n">
        <v>0.12</v>
      </c>
      <c r="F25" s="25" t="n">
        <v>0.571</v>
      </c>
      <c r="G25" s="25" t="n">
        <v>0.472</v>
      </c>
      <c r="H25" s="25" t="n">
        <v>0.058</v>
      </c>
      <c r="I25" s="25" t="n">
        <v>7.155</v>
      </c>
      <c r="J25" s="25" t="n">
        <v>0.672</v>
      </c>
      <c r="K25" s="25" t="n">
        <v>0.511</v>
      </c>
      <c r="L25" s="25" t="n">
        <v>0.006</v>
      </c>
    </row>
    <row r="26" customFormat="false" ht="15" hidden="false" customHeight="false" outlineLevel="0" collapsed="false">
      <c r="B26" s="20" t="s">
        <v>285</v>
      </c>
      <c r="C26" s="21" t="n">
        <v>0.785</v>
      </c>
      <c r="D26" s="21" t="n">
        <v>1.174</v>
      </c>
      <c r="E26" s="21" t="n">
        <v>1.9</v>
      </c>
      <c r="F26" s="21" t="n">
        <v>1.938</v>
      </c>
      <c r="G26" s="21" t="n">
        <v>1.228</v>
      </c>
      <c r="H26" s="21" t="n">
        <v>3.437</v>
      </c>
      <c r="I26" s="21" t="n">
        <v>1.062</v>
      </c>
      <c r="J26" s="21" t="n">
        <v>1.693</v>
      </c>
      <c r="K26" s="21" t="n">
        <v>0.561</v>
      </c>
      <c r="L26" s="21" t="n">
        <v>0.932</v>
      </c>
    </row>
    <row r="27" customFormat="false" ht="15" hidden="false" customHeight="false" outlineLevel="0" collapsed="false">
      <c r="B27" s="24" t="s">
        <v>88</v>
      </c>
      <c r="C27" s="25" t="n">
        <v>1.037</v>
      </c>
      <c r="D27" s="25" t="n">
        <v>1.124</v>
      </c>
      <c r="E27" s="25" t="n">
        <v>1.419</v>
      </c>
      <c r="F27" s="25" t="n">
        <v>1.2</v>
      </c>
      <c r="G27" s="25" t="n">
        <v>0.772</v>
      </c>
      <c r="H27" s="25" t="n">
        <v>0.908</v>
      </c>
      <c r="I27" s="25" t="n">
        <v>0.832</v>
      </c>
      <c r="J27" s="25" t="n">
        <v>1.122</v>
      </c>
      <c r="K27" s="25" t="n">
        <v>0.834</v>
      </c>
      <c r="L27" s="25" t="n">
        <v>0.786</v>
      </c>
    </row>
    <row r="28" customFormat="false" ht="15" hidden="false" customHeight="false" outlineLevel="0" collapsed="false">
      <c r="B28" s="20" t="s">
        <v>89</v>
      </c>
      <c r="C28" s="21" t="n">
        <v>1.133</v>
      </c>
      <c r="D28" s="21" t="n">
        <v>1.016</v>
      </c>
      <c r="E28" s="21" t="n">
        <v>1.002</v>
      </c>
      <c r="F28" s="21" t="n">
        <v>0.434</v>
      </c>
      <c r="G28" s="21" t="n">
        <v>0.855</v>
      </c>
      <c r="H28" s="21" t="n">
        <v>1.173</v>
      </c>
      <c r="I28" s="21" t="n">
        <v>0.588</v>
      </c>
      <c r="J28" s="21" t="n">
        <v>1.101</v>
      </c>
      <c r="K28" s="21" t="n">
        <v>0.666</v>
      </c>
      <c r="L28" s="21" t="n">
        <v>1.07</v>
      </c>
    </row>
    <row r="29" customFormat="false" ht="15" hidden="false" customHeight="false" outlineLevel="0" collapsed="false">
      <c r="B29" s="24" t="s">
        <v>286</v>
      </c>
      <c r="C29" s="25" t="n">
        <v>1.04</v>
      </c>
      <c r="D29" s="25" t="n">
        <v>0.693</v>
      </c>
      <c r="E29" s="25" t="n">
        <v>0.996</v>
      </c>
      <c r="F29" s="25" t="n">
        <v>0.719</v>
      </c>
      <c r="G29" s="25" t="n">
        <v>1.367</v>
      </c>
      <c r="H29" s="25" t="n">
        <v>0.848</v>
      </c>
      <c r="I29" s="25" t="n">
        <v>0.749</v>
      </c>
      <c r="J29" s="25" t="n">
        <v>1.097</v>
      </c>
      <c r="K29" s="25" t="n">
        <v>0.945</v>
      </c>
      <c r="L29" s="25" t="n">
        <v>0.825</v>
      </c>
    </row>
    <row r="30" customFormat="false" ht="15" hidden="false" customHeight="false" outlineLevel="0" collapsed="false">
      <c r="B30" s="20" t="s">
        <v>287</v>
      </c>
      <c r="C30" s="21" t="n">
        <v>1.29</v>
      </c>
      <c r="D30" s="21" t="n">
        <v>0.201</v>
      </c>
      <c r="E30" s="21" t="n">
        <v>0.289</v>
      </c>
      <c r="F30" s="21" t="n">
        <v>0.235</v>
      </c>
      <c r="G30" s="21" t="n">
        <v>0.57</v>
      </c>
      <c r="H30" s="21" t="n">
        <v>0.802</v>
      </c>
      <c r="I30" s="21" t="n">
        <v>0.696</v>
      </c>
      <c r="J30" s="21" t="n">
        <v>0.461</v>
      </c>
      <c r="K30" s="21" t="n">
        <v>0.453</v>
      </c>
      <c r="L30" s="21" t="n">
        <v>0.522</v>
      </c>
    </row>
    <row r="31" customFormat="false" ht="15" hidden="false" customHeight="false" outlineLevel="0" collapsed="false">
      <c r="B31" s="24" t="s">
        <v>288</v>
      </c>
      <c r="C31" s="25" t="n">
        <v>1.08</v>
      </c>
      <c r="D31" s="25" t="n">
        <v>0.992</v>
      </c>
      <c r="E31" s="25" t="n">
        <v>1.438</v>
      </c>
      <c r="F31" s="25" t="n">
        <v>0.579</v>
      </c>
      <c r="G31" s="25" t="n">
        <v>0.944</v>
      </c>
      <c r="H31" s="25" t="n">
        <v>0.911</v>
      </c>
      <c r="I31" s="25" t="n">
        <v>0.733</v>
      </c>
      <c r="J31" s="25" t="n">
        <v>0.959</v>
      </c>
      <c r="K31" s="25" t="n">
        <v>0.994</v>
      </c>
      <c r="L31" s="25" t="n">
        <v>0.764</v>
      </c>
    </row>
    <row r="32" customFormat="false" ht="15" hidden="false" customHeight="false" outlineLevel="0" collapsed="false">
      <c r="B32" s="20" t="s">
        <v>289</v>
      </c>
      <c r="C32" s="21" t="n">
        <v>1.079</v>
      </c>
      <c r="D32" s="21" t="n">
        <v>0.802</v>
      </c>
      <c r="E32" s="21" t="n">
        <v>1.579</v>
      </c>
      <c r="F32" s="21" t="n">
        <v>1.264</v>
      </c>
      <c r="G32" s="21" t="n">
        <v>0.883</v>
      </c>
      <c r="H32" s="21" t="n">
        <v>1.08</v>
      </c>
      <c r="I32" s="21" t="n">
        <v>0.587</v>
      </c>
      <c r="J32" s="21" t="n">
        <v>1.033</v>
      </c>
      <c r="K32" s="21" t="n">
        <v>0.658</v>
      </c>
      <c r="L32" s="21" t="n">
        <v>0.87</v>
      </c>
    </row>
    <row r="33" customFormat="false" ht="15" hidden="false" customHeight="false" outlineLevel="0" collapsed="false">
      <c r="B33" s="24" t="s">
        <v>290</v>
      </c>
      <c r="C33" s="25" t="n">
        <v>1.026</v>
      </c>
      <c r="D33" s="25" t="n">
        <v>1.424</v>
      </c>
      <c r="E33" s="25" t="n">
        <v>1.406</v>
      </c>
      <c r="F33" s="25" t="n">
        <v>0.889</v>
      </c>
      <c r="G33" s="25" t="n">
        <v>1.042</v>
      </c>
      <c r="H33" s="25" t="n">
        <v>1.392</v>
      </c>
      <c r="I33" s="25" t="n">
        <v>0.519</v>
      </c>
      <c r="J33" s="25" t="n">
        <v>1.349</v>
      </c>
      <c r="K33" s="25" t="n">
        <v>0.913</v>
      </c>
      <c r="L33" s="25" t="n">
        <v>1.189</v>
      </c>
    </row>
    <row r="34" customFormat="false" ht="15" hidden="false" customHeight="false" outlineLevel="0" collapsed="false">
      <c r="B34" s="20" t="s">
        <v>291</v>
      </c>
      <c r="C34" s="21" t="n">
        <v>1.035</v>
      </c>
      <c r="D34" s="21" t="n">
        <v>0.716</v>
      </c>
      <c r="E34" s="21" t="n">
        <v>0.95</v>
      </c>
      <c r="F34" s="21" t="n">
        <v>0.849</v>
      </c>
      <c r="G34" s="21" t="n">
        <v>1.149</v>
      </c>
      <c r="H34" s="21" t="n">
        <v>1.334</v>
      </c>
      <c r="I34" s="21" t="n">
        <v>0.664</v>
      </c>
      <c r="J34" s="21" t="n">
        <v>1.25</v>
      </c>
      <c r="K34" s="21" t="n">
        <v>0.928</v>
      </c>
      <c r="L34" s="21" t="n">
        <v>1.092</v>
      </c>
    </row>
    <row r="35" customFormat="false" ht="15" hidden="false" customHeight="false" outlineLevel="0" collapsed="false">
      <c r="B35" s="24" t="s">
        <v>292</v>
      </c>
      <c r="C35" s="25" t="n">
        <v>1.213</v>
      </c>
      <c r="D35" s="25" t="n">
        <v>0.433</v>
      </c>
      <c r="E35" s="25" t="n">
        <v>0.564</v>
      </c>
      <c r="F35" s="25" t="n">
        <v>0.517</v>
      </c>
      <c r="G35" s="25" t="n">
        <v>0.843</v>
      </c>
      <c r="H35" s="25" t="n">
        <v>0.979</v>
      </c>
      <c r="I35" s="25" t="n">
        <v>0.536</v>
      </c>
      <c r="J35" s="25" t="n">
        <v>0.738</v>
      </c>
      <c r="K35" s="25" t="n">
        <v>0.715</v>
      </c>
      <c r="L35" s="25" t="n">
        <v>0.487</v>
      </c>
    </row>
    <row r="36" customFormat="false" ht="15" hidden="false" customHeight="false" outlineLevel="0" collapsed="false">
      <c r="B36" s="20" t="s">
        <v>293</v>
      </c>
      <c r="C36" s="21" t="n">
        <v>1.174</v>
      </c>
      <c r="D36" s="21" t="n">
        <v>0.624</v>
      </c>
      <c r="E36" s="21" t="n">
        <v>0.725</v>
      </c>
      <c r="F36" s="21" t="n">
        <v>0.475</v>
      </c>
      <c r="G36" s="21" t="n">
        <v>1.259</v>
      </c>
      <c r="H36" s="21" t="n">
        <v>0.544</v>
      </c>
      <c r="I36" s="21" t="n">
        <v>0.611</v>
      </c>
      <c r="J36" s="21" t="n">
        <v>0.609</v>
      </c>
      <c r="K36" s="21" t="n">
        <v>0.717</v>
      </c>
      <c r="L36" s="21" t="n">
        <v>0.501</v>
      </c>
    </row>
    <row r="37" customFormat="false" ht="15" hidden="false" customHeight="false" outlineLevel="0" collapsed="false">
      <c r="B37" s="24" t="s">
        <v>294</v>
      </c>
      <c r="C37" s="25" t="n">
        <v>1.031</v>
      </c>
      <c r="D37" s="25" t="n">
        <v>1.077</v>
      </c>
      <c r="E37" s="25" t="n">
        <v>1.591</v>
      </c>
      <c r="F37" s="25" t="n">
        <v>0.906</v>
      </c>
      <c r="G37" s="25" t="n">
        <v>1.005</v>
      </c>
      <c r="H37" s="25" t="n">
        <v>1.688</v>
      </c>
      <c r="I37" s="25" t="n">
        <v>0.561</v>
      </c>
      <c r="J37" s="25" t="n">
        <v>1.099</v>
      </c>
      <c r="K37" s="25" t="n">
        <v>0.845</v>
      </c>
      <c r="L37" s="25" t="n">
        <v>1.413</v>
      </c>
    </row>
    <row r="38" customFormat="false" ht="15" hidden="false" customHeight="false" outlineLevel="0" collapsed="false">
      <c r="B38" s="20" t="s">
        <v>295</v>
      </c>
      <c r="C38" s="21" t="n">
        <v>0.901</v>
      </c>
      <c r="D38" s="21" t="n">
        <v>1.383</v>
      </c>
      <c r="E38" s="21" t="n">
        <v>1.233</v>
      </c>
      <c r="F38" s="21" t="n">
        <v>0.764</v>
      </c>
      <c r="G38" s="21" t="n">
        <v>1.043</v>
      </c>
      <c r="H38" s="21" t="n">
        <v>2.946</v>
      </c>
      <c r="I38" s="21" t="n">
        <v>0.61</v>
      </c>
      <c r="J38" s="21" t="n">
        <v>1.507</v>
      </c>
      <c r="K38" s="21" t="n">
        <v>1.521</v>
      </c>
      <c r="L38" s="21" t="n">
        <v>1.687</v>
      </c>
    </row>
    <row r="39" customFormat="false" ht="15" hidden="false" customHeight="false" outlineLevel="0" collapsed="false">
      <c r="B39" s="24" t="s">
        <v>296</v>
      </c>
      <c r="C39" s="25" t="n">
        <v>1.033</v>
      </c>
      <c r="D39" s="25" t="n">
        <v>0.983</v>
      </c>
      <c r="E39" s="25" t="n">
        <v>1.424</v>
      </c>
      <c r="F39" s="25" t="n">
        <v>0.707</v>
      </c>
      <c r="G39" s="25" t="n">
        <v>0.955</v>
      </c>
      <c r="H39" s="25" t="n">
        <v>1.46</v>
      </c>
      <c r="I39" s="25" t="n">
        <v>0.642</v>
      </c>
      <c r="J39" s="25" t="n">
        <v>1.448</v>
      </c>
      <c r="K39" s="25" t="n">
        <v>0.962</v>
      </c>
      <c r="L39" s="25" t="n">
        <v>0.911</v>
      </c>
    </row>
    <row r="40" customFormat="false" ht="15" hidden="false" customHeight="false" outlineLevel="0" collapsed="false">
      <c r="B40" s="20" t="s">
        <v>297</v>
      </c>
      <c r="C40" s="21" t="n">
        <v>1.157</v>
      </c>
      <c r="D40" s="21" t="n">
        <v>0.491</v>
      </c>
      <c r="E40" s="21" t="n">
        <v>0.638</v>
      </c>
      <c r="F40" s="21" t="n">
        <v>0.239</v>
      </c>
      <c r="G40" s="21" t="n">
        <v>1.346</v>
      </c>
      <c r="H40" s="21" t="n">
        <v>1.432</v>
      </c>
      <c r="I40" s="21" t="n">
        <v>0.551</v>
      </c>
      <c r="J40" s="21" t="n">
        <v>0.908</v>
      </c>
      <c r="K40" s="21" t="n">
        <v>0.535</v>
      </c>
      <c r="L40" s="21" t="n">
        <v>0.636</v>
      </c>
    </row>
    <row r="41" customFormat="false" ht="15" hidden="false" customHeight="false" outlineLevel="0" collapsed="false">
      <c r="B41" s="24" t="s">
        <v>298</v>
      </c>
      <c r="C41" s="25" t="n">
        <v>1.02</v>
      </c>
      <c r="D41" s="25" t="n">
        <v>0.693</v>
      </c>
      <c r="E41" s="25" t="n">
        <v>1.116</v>
      </c>
      <c r="F41" s="25" t="n">
        <v>0.599</v>
      </c>
      <c r="G41" s="25" t="n">
        <v>0.957</v>
      </c>
      <c r="H41" s="25" t="n">
        <v>1.986</v>
      </c>
      <c r="I41" s="25" t="n">
        <v>0.803</v>
      </c>
      <c r="J41" s="25" t="n">
        <v>1.191</v>
      </c>
      <c r="K41" s="25" t="n">
        <v>1.109</v>
      </c>
      <c r="L41" s="25" t="n">
        <v>0.884</v>
      </c>
    </row>
    <row r="42" customFormat="false" ht="15" hidden="false" customHeight="false" outlineLevel="0" collapsed="false">
      <c r="B42" s="20" t="s">
        <v>299</v>
      </c>
      <c r="C42" s="21" t="n">
        <v>1.16</v>
      </c>
      <c r="D42" s="21" t="n">
        <v>0.749</v>
      </c>
      <c r="E42" s="21" t="n">
        <v>0.818</v>
      </c>
      <c r="F42" s="21" t="n">
        <v>0.381</v>
      </c>
      <c r="G42" s="21" t="n">
        <v>0.836</v>
      </c>
      <c r="H42" s="21" t="n">
        <v>1.079</v>
      </c>
      <c r="I42" s="21" t="n">
        <v>0.703</v>
      </c>
      <c r="J42" s="21" t="n">
        <v>0.852</v>
      </c>
      <c r="K42" s="21" t="n">
        <v>0.753</v>
      </c>
      <c r="L42" s="21" t="n">
        <v>0.626</v>
      </c>
    </row>
    <row r="43" customFormat="false" ht="15" hidden="false" customHeight="false" outlineLevel="0" collapsed="false">
      <c r="B43" s="24" t="s">
        <v>300</v>
      </c>
      <c r="C43" s="25" t="n">
        <v>1.118</v>
      </c>
      <c r="D43" s="25" t="n">
        <v>0.849</v>
      </c>
      <c r="E43" s="25" t="n">
        <v>1.08</v>
      </c>
      <c r="F43" s="25" t="n">
        <v>0.659</v>
      </c>
      <c r="G43" s="25" t="n">
        <v>0.997</v>
      </c>
      <c r="H43" s="25" t="n">
        <v>0.823</v>
      </c>
      <c r="I43" s="25" t="n">
        <v>0.61</v>
      </c>
      <c r="J43" s="25" t="n">
        <v>1.017</v>
      </c>
      <c r="K43" s="25" t="n">
        <v>0.812</v>
      </c>
      <c r="L43" s="25" t="n">
        <v>0.753</v>
      </c>
    </row>
    <row r="44" customFormat="false" ht="15" hidden="false" customHeight="false" outlineLevel="0" collapsed="false">
      <c r="B44" s="20" t="s">
        <v>301</v>
      </c>
      <c r="C44" s="21" t="n">
        <v>0.945</v>
      </c>
      <c r="D44" s="21" t="n">
        <v>1.171</v>
      </c>
      <c r="E44" s="21" t="n">
        <v>1.41</v>
      </c>
      <c r="F44" s="21" t="n">
        <v>0.782</v>
      </c>
      <c r="G44" s="21" t="n">
        <v>1.511</v>
      </c>
      <c r="H44" s="21" t="n">
        <v>1.918</v>
      </c>
      <c r="I44" s="21" t="n">
        <v>0.613</v>
      </c>
      <c r="J44" s="21" t="n">
        <v>1.369</v>
      </c>
      <c r="K44" s="21" t="n">
        <v>1.059</v>
      </c>
      <c r="L44" s="21" t="n">
        <v>1.235</v>
      </c>
    </row>
  </sheetData>
  <mergeCells count="3">
    <mergeCell ref="B3:L3"/>
    <mergeCell ref="B6:L6"/>
    <mergeCell ref="B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24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302</v>
      </c>
    </row>
    <row r="3" customFormat="false" ht="24.75" hidden="false" customHeight="true" outlineLevel="0" collapsed="false">
      <c r="B3" s="17" t="s">
        <v>303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304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customFormat="false" ht="13.5" hidden="false" customHeight="true" outlineLevel="0" collapsed="false">
      <c r="B7" s="18" t="s">
        <v>305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9" customFormat="false" ht="24" hidden="false" customHeight="true" outlineLevel="0" collapsed="false">
      <c r="B9" s="19" t="s">
        <v>306</v>
      </c>
      <c r="C9" s="19" t="s">
        <v>307</v>
      </c>
      <c r="D9" s="19" t="s">
        <v>308</v>
      </c>
      <c r="E9" s="19" t="s">
        <v>309</v>
      </c>
      <c r="F9" s="19" t="s">
        <v>310</v>
      </c>
      <c r="G9" s="19" t="s">
        <v>311</v>
      </c>
      <c r="H9" s="19" t="s">
        <v>312</v>
      </c>
      <c r="I9" s="19" t="s">
        <v>313</v>
      </c>
      <c r="J9" s="19" t="s">
        <v>314</v>
      </c>
      <c r="K9" s="19" t="s">
        <v>315</v>
      </c>
      <c r="L9" s="19" t="s">
        <v>316</v>
      </c>
      <c r="M9" s="19" t="s">
        <v>317</v>
      </c>
      <c r="N9" s="19" t="s">
        <v>318</v>
      </c>
    </row>
    <row r="10" customFormat="false" ht="15" hidden="false" customHeight="false" outlineLevel="0" collapsed="false">
      <c r="B10" s="20" t="s">
        <v>319</v>
      </c>
      <c r="C10" s="21" t="n">
        <v>1.4073</v>
      </c>
      <c r="D10" s="21" t="n">
        <v>1.3892</v>
      </c>
      <c r="E10" s="21" t="n">
        <v>1.4374</v>
      </c>
      <c r="F10" s="21" t="n">
        <v>1.4302</v>
      </c>
      <c r="G10" s="21" t="n">
        <v>1.4252</v>
      </c>
      <c r="H10" s="21" t="n">
        <v>1.401</v>
      </c>
      <c r="I10" s="21" t="n">
        <v>1.4026</v>
      </c>
      <c r="J10" s="21" t="n">
        <v>1.4145</v>
      </c>
      <c r="K10" s="21" t="n">
        <v>1.4168</v>
      </c>
      <c r="L10" s="21" t="n">
        <v>1.4382</v>
      </c>
      <c r="M10" s="21" t="n">
        <v>1.4793</v>
      </c>
      <c r="N10" s="21" t="n">
        <v>1.5056</v>
      </c>
    </row>
    <row r="11" customFormat="false" ht="15" hidden="false" customHeight="false" outlineLevel="0" collapsed="false">
      <c r="B11" s="24" t="s">
        <v>320</v>
      </c>
      <c r="C11" s="25" t="n">
        <v>1.3109</v>
      </c>
      <c r="D11" s="25" t="n">
        <v>1.2466</v>
      </c>
      <c r="E11" s="25" t="n">
        <v>1.2201</v>
      </c>
      <c r="F11" s="25" t="n">
        <v>1.2514</v>
      </c>
      <c r="G11" s="25" t="n">
        <v>1.2135</v>
      </c>
      <c r="H11" s="25" t="n">
        <v>1.3117</v>
      </c>
      <c r="I11" s="25" t="n">
        <v>1.3798</v>
      </c>
      <c r="J11" s="25" t="n">
        <v>1.34</v>
      </c>
      <c r="K11" s="25" t="n">
        <v>1.2764</v>
      </c>
      <c r="L11" s="25" t="n">
        <v>1.3291</v>
      </c>
      <c r="M11" s="25" t="n">
        <v>1.3544</v>
      </c>
      <c r="N11" s="25" t="n">
        <v>1.0724</v>
      </c>
    </row>
    <row r="12" customFormat="false" ht="15" hidden="false" customHeight="false" outlineLevel="0" collapsed="false">
      <c r="B12" s="20" t="s">
        <v>321</v>
      </c>
      <c r="C12" s="21" t="n">
        <v>1.1627</v>
      </c>
      <c r="D12" s="21" t="n">
        <v>1.235</v>
      </c>
      <c r="E12" s="21" t="n">
        <v>1.2546</v>
      </c>
      <c r="F12" s="21" t="n">
        <v>1.239</v>
      </c>
      <c r="G12" s="21" t="n">
        <v>1.2473</v>
      </c>
      <c r="H12" s="21" t="n">
        <v>1.1904</v>
      </c>
      <c r="I12" s="21" t="n">
        <v>1.1429</v>
      </c>
      <c r="J12" s="21" t="n">
        <v>1.111</v>
      </c>
      <c r="K12" s="21" t="n">
        <v>1.1568</v>
      </c>
      <c r="L12" s="21" t="n">
        <v>1.1436</v>
      </c>
      <c r="M12" s="21" t="n">
        <v>1.1688</v>
      </c>
      <c r="N12" s="21" t="n">
        <v>1.1518</v>
      </c>
    </row>
    <row r="13" customFormat="false" ht="15" hidden="false" customHeight="false" outlineLevel="0" collapsed="false">
      <c r="B13" s="24" t="s">
        <v>322</v>
      </c>
      <c r="C13" s="25" t="n">
        <v>0.829</v>
      </c>
      <c r="D13" s="25" t="n">
        <v>0.7702</v>
      </c>
      <c r="E13" s="25" t="n">
        <v>0.7282</v>
      </c>
      <c r="F13" s="25" t="n">
        <v>0.7345</v>
      </c>
      <c r="G13" s="25" t="n">
        <v>0.7637</v>
      </c>
      <c r="H13" s="25" t="n">
        <v>0.874</v>
      </c>
      <c r="I13" s="25" t="n">
        <v>1.0551</v>
      </c>
      <c r="J13" s="25" t="n">
        <v>0.9797</v>
      </c>
      <c r="K13" s="25" t="n">
        <v>0.8632</v>
      </c>
      <c r="L13" s="25" t="n">
        <v>0.8622</v>
      </c>
      <c r="M13" s="25" t="n">
        <v>0.9264</v>
      </c>
      <c r="N13" s="25" t="n">
        <v>0.8036</v>
      </c>
    </row>
    <row r="14" customFormat="false" ht="15" hidden="false" customHeight="false" outlineLevel="0" collapsed="false">
      <c r="B14" s="20" t="s">
        <v>323</v>
      </c>
      <c r="C14" s="21" t="n">
        <v>0.7998</v>
      </c>
      <c r="D14" s="21" t="n">
        <v>0.7816</v>
      </c>
      <c r="E14" s="21" t="n">
        <v>0.7567</v>
      </c>
      <c r="F14" s="21" t="n">
        <v>0.7573</v>
      </c>
      <c r="G14" s="21" t="n">
        <v>0.8104</v>
      </c>
      <c r="H14" s="21" t="n">
        <v>0.9421</v>
      </c>
      <c r="I14" s="21" t="n">
        <v>0.9447</v>
      </c>
      <c r="J14" s="21" t="n">
        <v>0.8918</v>
      </c>
      <c r="K14" s="21" t="n">
        <v>0.9179</v>
      </c>
      <c r="L14" s="21" t="n">
        <v>0.9237</v>
      </c>
      <c r="M14" s="21" t="n">
        <v>0.8559</v>
      </c>
      <c r="N14" s="21" t="n">
        <v>0.8205</v>
      </c>
    </row>
    <row r="17" customFormat="false" ht="24" hidden="false" customHeight="true" outlineLevel="0" collapsed="false">
      <c r="B17" s="19" t="s">
        <v>324</v>
      </c>
      <c r="C17" s="19" t="s">
        <v>307</v>
      </c>
      <c r="D17" s="19" t="s">
        <v>308</v>
      </c>
      <c r="E17" s="19" t="s">
        <v>309</v>
      </c>
      <c r="F17" s="19" t="s">
        <v>310</v>
      </c>
      <c r="G17" s="19" t="s">
        <v>311</v>
      </c>
      <c r="H17" s="19" t="s">
        <v>312</v>
      </c>
      <c r="I17" s="19" t="s">
        <v>313</v>
      </c>
      <c r="J17" s="19" t="s">
        <v>314</v>
      </c>
      <c r="K17" s="19" t="s">
        <v>315</v>
      </c>
      <c r="L17" s="19" t="s">
        <v>316</v>
      </c>
      <c r="M17" s="19" t="s">
        <v>317</v>
      </c>
      <c r="N17" s="19" t="s">
        <v>318</v>
      </c>
    </row>
    <row r="18" customFormat="false" ht="15" hidden="false" customHeight="false" outlineLevel="0" collapsed="false">
      <c r="B18" s="20" t="s">
        <v>319</v>
      </c>
      <c r="C18" s="21" t="n">
        <v>2.8518</v>
      </c>
      <c r="D18" s="21" t="n">
        <v>2.8034</v>
      </c>
      <c r="E18" s="21" t="n">
        <v>2.9245</v>
      </c>
      <c r="F18" s="21" t="n">
        <v>2.9174</v>
      </c>
      <c r="G18" s="21" t="n">
        <v>2.9011</v>
      </c>
      <c r="H18" s="21" t="n">
        <v>2.8638</v>
      </c>
      <c r="I18" s="21" t="n">
        <v>2.881</v>
      </c>
      <c r="J18" s="21" t="n">
        <v>2.9345</v>
      </c>
      <c r="K18" s="21" t="n">
        <v>2.9356</v>
      </c>
      <c r="L18" s="21" t="n">
        <v>2.9828</v>
      </c>
      <c r="M18" s="21" t="n">
        <v>3.0494</v>
      </c>
      <c r="N18" s="21" t="n">
        <v>3.0302</v>
      </c>
    </row>
    <row r="19" customFormat="false" ht="15" hidden="false" customHeight="false" outlineLevel="0" collapsed="false">
      <c r="B19" s="24" t="s">
        <v>320</v>
      </c>
      <c r="C19" s="25" t="n">
        <v>2.6566</v>
      </c>
      <c r="D19" s="25" t="n">
        <v>2.5158</v>
      </c>
      <c r="E19" s="25" t="n">
        <v>2.4823</v>
      </c>
      <c r="F19" s="25" t="n">
        <v>2.5527</v>
      </c>
      <c r="G19" s="25" t="n">
        <v>2.4702</v>
      </c>
      <c r="H19" s="25" t="n">
        <v>2.6813</v>
      </c>
      <c r="I19" s="25" t="n">
        <v>2.8343</v>
      </c>
      <c r="J19" s="25" t="n">
        <v>2.78</v>
      </c>
      <c r="K19" s="25" t="n">
        <v>2.6447</v>
      </c>
      <c r="L19" s="25" t="n">
        <v>2.7564</v>
      </c>
      <c r="M19" s="25" t="n">
        <v>2.7919</v>
      </c>
      <c r="N19" s="25" t="n">
        <v>2.1583</v>
      </c>
    </row>
    <row r="20" customFormat="false" ht="15" hidden="false" customHeight="false" outlineLevel="0" collapsed="false">
      <c r="B20" s="20" t="s">
        <v>321</v>
      </c>
      <c r="C20" s="21" t="n">
        <v>2.3562</v>
      </c>
      <c r="D20" s="21" t="n">
        <v>2.4923</v>
      </c>
      <c r="E20" s="21" t="n">
        <v>2.5526</v>
      </c>
      <c r="F20" s="21" t="n">
        <v>2.5275</v>
      </c>
      <c r="G20" s="21" t="n">
        <v>2.539</v>
      </c>
      <c r="H20" s="21" t="n">
        <v>2.4333</v>
      </c>
      <c r="I20" s="21" t="n">
        <v>2.3476</v>
      </c>
      <c r="J20" s="21" t="n">
        <v>2.3049</v>
      </c>
      <c r="K20" s="21" t="n">
        <v>2.3969</v>
      </c>
      <c r="L20" s="21" t="n">
        <v>2.3719</v>
      </c>
      <c r="M20" s="21" t="n">
        <v>2.4093</v>
      </c>
      <c r="N20" s="21" t="n">
        <v>2.3183</v>
      </c>
    </row>
    <row r="21" customFormat="false" ht="15" hidden="false" customHeight="false" outlineLevel="0" collapsed="false">
      <c r="B21" s="24" t="s">
        <v>322</v>
      </c>
      <c r="C21" s="25" t="n">
        <v>1.68</v>
      </c>
      <c r="D21" s="25" t="n">
        <v>1.5543</v>
      </c>
      <c r="E21" s="25" t="n">
        <v>1.4816</v>
      </c>
      <c r="F21" s="25" t="n">
        <v>1.4982</v>
      </c>
      <c r="G21" s="25" t="n">
        <v>1.5545</v>
      </c>
      <c r="H21" s="25" t="n">
        <v>1.7866</v>
      </c>
      <c r="I21" s="25" t="n">
        <v>2.1673</v>
      </c>
      <c r="J21" s="25" t="n">
        <v>2.0324</v>
      </c>
      <c r="K21" s="25" t="n">
        <v>1.7885</v>
      </c>
      <c r="L21" s="25" t="n">
        <v>1.7882</v>
      </c>
      <c r="M21" s="25" t="n">
        <v>1.9097</v>
      </c>
      <c r="N21" s="25" t="n">
        <v>1.6174</v>
      </c>
    </row>
    <row r="22" customFormat="false" ht="15" hidden="false" customHeight="false" outlineLevel="0" collapsed="false">
      <c r="B22" s="20" t="s">
        <v>323</v>
      </c>
      <c r="C22" s="21" t="n">
        <v>1.6209</v>
      </c>
      <c r="D22" s="21" t="n">
        <v>1.5773</v>
      </c>
      <c r="E22" s="21" t="n">
        <v>1.5395</v>
      </c>
      <c r="F22" s="21" t="n">
        <v>1.5449</v>
      </c>
      <c r="G22" s="21" t="n">
        <v>1.6497</v>
      </c>
      <c r="H22" s="21" t="n">
        <v>1.9259</v>
      </c>
      <c r="I22" s="21" t="n">
        <v>1.9406</v>
      </c>
      <c r="J22" s="21" t="n">
        <v>1.8501</v>
      </c>
      <c r="K22" s="21" t="n">
        <v>1.9019</v>
      </c>
      <c r="L22" s="21" t="n">
        <v>1.9157</v>
      </c>
      <c r="M22" s="21" t="n">
        <v>1.7644</v>
      </c>
      <c r="N22" s="21" t="n">
        <v>1.6513</v>
      </c>
    </row>
  </sheetData>
  <mergeCells count="3">
    <mergeCell ref="B3:N3"/>
    <mergeCell ref="B6:N6"/>
    <mergeCell ref="B7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4"/>
    <col collapsed="false" customWidth="true" hidden="false" outlineLevel="0" max="3" min="3" style="0" width="84"/>
    <col collapsed="false" customWidth="true" hidden="false" outlineLevel="0" max="4" min="4" style="0" width="20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325</v>
      </c>
    </row>
    <row r="3" customFormat="false" ht="24.75" hidden="false" customHeight="true" outlineLevel="0" collapsed="false">
      <c r="B3" s="17" t="s">
        <v>326</v>
      </c>
      <c r="C3" s="17"/>
      <c r="D3" s="17"/>
    </row>
    <row r="6" customFormat="false" ht="24" hidden="false" customHeight="true" outlineLevel="0" collapsed="false">
      <c r="B6" s="19" t="s">
        <v>327</v>
      </c>
      <c r="C6" s="19" t="s">
        <v>328</v>
      </c>
      <c r="D6" s="19" t="s">
        <v>329</v>
      </c>
    </row>
    <row r="7" customFormat="false" ht="22.35" hidden="false" customHeight="false" outlineLevel="0" collapsed="false">
      <c r="B7" s="20" t="s">
        <v>330</v>
      </c>
      <c r="C7" s="20" t="s">
        <v>331</v>
      </c>
      <c r="D7" s="20"/>
    </row>
    <row r="8" customFormat="false" ht="15" hidden="false" customHeight="false" outlineLevel="0" collapsed="false">
      <c r="B8" s="24" t="s">
        <v>332</v>
      </c>
      <c r="C8" s="24" t="s">
        <v>333</v>
      </c>
      <c r="D8" s="24" t="s">
        <v>334</v>
      </c>
    </row>
    <row r="9" customFormat="false" ht="15" hidden="false" customHeight="false" outlineLevel="0" collapsed="false">
      <c r="B9" s="20" t="s">
        <v>335</v>
      </c>
      <c r="C9" s="20" t="s">
        <v>336</v>
      </c>
      <c r="D9" s="20" t="s">
        <v>334</v>
      </c>
    </row>
    <row r="10" customFormat="false" ht="15" hidden="false" customHeight="false" outlineLevel="0" collapsed="false">
      <c r="B10" s="24" t="s">
        <v>337</v>
      </c>
      <c r="C10" s="24" t="s">
        <v>338</v>
      </c>
      <c r="D10" s="24" t="s">
        <v>334</v>
      </c>
    </row>
    <row r="11" customFormat="false" ht="15" hidden="false" customHeight="false" outlineLevel="0" collapsed="false">
      <c r="B11" s="20" t="s">
        <v>339</v>
      </c>
      <c r="C11" s="20" t="s">
        <v>340</v>
      </c>
      <c r="D11" s="20" t="s">
        <v>341</v>
      </c>
    </row>
    <row r="12" customFormat="false" ht="15" hidden="false" customHeight="false" outlineLevel="0" collapsed="false">
      <c r="B12" s="24" t="s">
        <v>342</v>
      </c>
      <c r="C12" s="24" t="s">
        <v>343</v>
      </c>
      <c r="D12" s="24" t="s">
        <v>344</v>
      </c>
    </row>
    <row r="13" customFormat="false" ht="15" hidden="false" customHeight="false" outlineLevel="0" collapsed="false">
      <c r="B13" s="20" t="s">
        <v>345</v>
      </c>
      <c r="C13" s="20" t="s">
        <v>346</v>
      </c>
      <c r="D13" s="20" t="s">
        <v>347</v>
      </c>
    </row>
    <row r="14" customFormat="false" ht="22.35" hidden="false" customHeight="false" outlineLevel="0" collapsed="false">
      <c r="B14" s="24" t="s">
        <v>348</v>
      </c>
      <c r="C14" s="24" t="s">
        <v>349</v>
      </c>
      <c r="D14" s="24" t="s">
        <v>350</v>
      </c>
    </row>
    <row r="15" customFormat="false" ht="15" hidden="false" customHeight="false" outlineLevel="0" collapsed="false">
      <c r="B15" s="20" t="s">
        <v>351</v>
      </c>
      <c r="C15" s="20" t="s">
        <v>352</v>
      </c>
      <c r="D15" s="20" t="s">
        <v>353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354</v>
      </c>
    </row>
    <row r="3" customFormat="false" ht="24.75" hidden="false" customHeight="true" outlineLevel="0" collapsed="false">
      <c r="B3" s="17" t="s">
        <v>355</v>
      </c>
      <c r="C3" s="17"/>
      <c r="D3" s="17"/>
      <c r="E3" s="17"/>
      <c r="F3" s="17"/>
      <c r="G3" s="17"/>
      <c r="H3" s="17"/>
    </row>
    <row r="5" customFormat="false" ht="15" hidden="false" customHeight="false" outlineLevel="0" collapsed="false">
      <c r="B5" s="5" t="s">
        <v>59</v>
      </c>
    </row>
    <row r="6" customFormat="false" ht="13.5" hidden="false" customHeight="true" outlineLevel="0" collapsed="false">
      <c r="B6" s="18" t="s">
        <v>356</v>
      </c>
      <c r="C6" s="18"/>
      <c r="D6" s="18"/>
      <c r="E6" s="18"/>
      <c r="F6" s="18"/>
      <c r="G6" s="18"/>
      <c r="H6" s="18"/>
    </row>
    <row r="7" customFormat="false" ht="13.5" hidden="false" customHeight="true" outlineLevel="0" collapsed="false">
      <c r="B7" s="18" t="s">
        <v>357</v>
      </c>
      <c r="C7" s="18"/>
      <c r="D7" s="18"/>
      <c r="E7" s="18"/>
      <c r="F7" s="18"/>
      <c r="G7" s="18"/>
      <c r="H7" s="18"/>
    </row>
    <row r="9" customFormat="false" ht="24" hidden="false" customHeight="true" outlineLevel="0" collapsed="false">
      <c r="B9" s="19" t="s">
        <v>358</v>
      </c>
      <c r="C9" s="19" t="s">
        <v>359</v>
      </c>
      <c r="D9" s="19" t="s">
        <v>360</v>
      </c>
      <c r="E9" s="19" t="s">
        <v>361</v>
      </c>
      <c r="F9" s="19" t="s">
        <v>362</v>
      </c>
      <c r="G9" s="19" t="s">
        <v>363</v>
      </c>
      <c r="H9" s="19" t="s">
        <v>364</v>
      </c>
    </row>
    <row r="10" customFormat="false" ht="15" hidden="false" customHeight="false" outlineLevel="0" collapsed="false">
      <c r="B10" s="32" t="s">
        <v>365</v>
      </c>
      <c r="C10" s="20" t="s">
        <v>366</v>
      </c>
      <c r="D10" s="21" t="n">
        <v>24.9</v>
      </c>
      <c r="E10" s="20" t="s">
        <v>367</v>
      </c>
      <c r="F10" s="21" t="n">
        <f aca="false">AVERAGE(01_Setores!F10:F35)</f>
        <v>24.9038461538462</v>
      </c>
      <c r="G10" s="21" t="n">
        <f aca="false">F10-D10</f>
        <v>0.00384615384615472</v>
      </c>
      <c r="H10" s="32" t="str">
        <f aca="false">IF(ABS(ROUND(G10,4))&lt;=0.05,"✓",IF(ABS(ROUND(G10,4))&lt;=0.6,"~","⚑"))</f>
        <v>✓</v>
      </c>
    </row>
    <row r="11" customFormat="false" ht="15" hidden="false" customHeight="false" outlineLevel="0" collapsed="false">
      <c r="B11" s="33" t="s">
        <v>365</v>
      </c>
      <c r="C11" s="24" t="s">
        <v>368</v>
      </c>
      <c r="D11" s="25" t="n">
        <v>22.9</v>
      </c>
      <c r="E11" s="24" t="s">
        <v>369</v>
      </c>
      <c r="F11" s="25" t="n">
        <f aca="false">SUMPRODUCT(01_Setores!F10:F35,01_Setores!K10:K35)/SUM(01_Setores!K10:K35)</f>
        <v>22.8695709107871</v>
      </c>
      <c r="G11" s="25" t="n">
        <f aca="false">F11-D11</f>
        <v>-0.0304290892129302</v>
      </c>
      <c r="H11" s="33" t="str">
        <f aca="false">IF(ABS(ROUND(G11,4))&lt;=0.05,"✓",IF(ABS(ROUND(G11,4))&lt;=0.6,"~","⚑"))</f>
        <v>✓</v>
      </c>
    </row>
    <row r="12" customFormat="false" ht="15" hidden="false" customHeight="false" outlineLevel="0" collapsed="false">
      <c r="B12" s="32" t="s">
        <v>365</v>
      </c>
      <c r="C12" s="20" t="s">
        <v>370</v>
      </c>
      <c r="D12" s="21" t="n">
        <v>5.2</v>
      </c>
      <c r="E12" s="20" t="s">
        <v>371</v>
      </c>
      <c r="F12" s="21" t="n">
        <f aca="false">INDEX(01_Setores!F10:F35,MATCH("Serviços imobiliários e aluguel",01_Setores!B10:B35,0))</f>
        <v>5.25</v>
      </c>
      <c r="G12" s="21" t="n">
        <f aca="false">F12-D12</f>
        <v>0.0499999999999998</v>
      </c>
      <c r="H12" s="32" t="str">
        <f aca="false">IF(ABS(ROUND(G12,4))&lt;=0.05,"✓",IF(ABS(ROUND(G12,4))&lt;=0.6,"~","⚑"))</f>
        <v>✓</v>
      </c>
    </row>
    <row r="13" customFormat="false" ht="15" hidden="false" customHeight="false" outlineLevel="0" collapsed="false">
      <c r="B13" s="33" t="s">
        <v>365</v>
      </c>
      <c r="C13" s="24" t="s">
        <v>372</v>
      </c>
      <c r="D13" s="25" t="n">
        <v>37.4</v>
      </c>
      <c r="E13" s="24" t="s">
        <v>371</v>
      </c>
      <c r="F13" s="25" t="n">
        <f aca="false">INDEX(01_Setores!F10:F35,MATCH("Alimentos, bebidas e fumo",01_Setores!B10:B35,0))</f>
        <v>37.39</v>
      </c>
      <c r="G13" s="25" t="n">
        <f aca="false">F13-D13</f>
        <v>-0.00999999999999801</v>
      </c>
      <c r="H13" s="33" t="str">
        <f aca="false">IF(ABS(ROUND(G13,4))&lt;=0.05,"✓",IF(ABS(ROUND(G13,4))&lt;=0.6,"~","⚑"))</f>
        <v>✓</v>
      </c>
    </row>
    <row r="14" customFormat="false" ht="15" hidden="false" customHeight="false" outlineLevel="0" collapsed="false">
      <c r="B14" s="32" t="s">
        <v>365</v>
      </c>
      <c r="C14" s="20" t="s">
        <v>373</v>
      </c>
      <c r="D14" s="21" t="n">
        <v>61.6</v>
      </c>
      <c r="E14" s="20" t="s">
        <v>371</v>
      </c>
      <c r="F14" s="21" t="n">
        <f aca="false">INDEX(01_Setores!H10:H35,MATCH("Refino de petróleo, coque e álcool",01_Setores!B10:B35,0))</f>
        <v>61.63</v>
      </c>
      <c r="G14" s="21" t="n">
        <f aca="false">F14-D14</f>
        <v>0.0300000000000011</v>
      </c>
      <c r="H14" s="32" t="str">
        <f aca="false">IF(ABS(ROUND(G14,4))&lt;=0.05,"✓",IF(ABS(ROUND(G14,4))&lt;=0.6,"~","⚑"))</f>
        <v>✓</v>
      </c>
    </row>
    <row r="15" customFormat="false" ht="15" hidden="false" customHeight="false" outlineLevel="0" collapsed="false">
      <c r="B15" s="33" t="s">
        <v>365</v>
      </c>
      <c r="C15" s="24" t="s">
        <v>374</v>
      </c>
      <c r="D15" s="25" t="n">
        <v>49.3</v>
      </c>
      <c r="E15" s="24" t="s">
        <v>371</v>
      </c>
      <c r="F15" s="25" t="n">
        <f aca="false">INDEX(01_Setores!H10:H35,MATCH("Metalurgia",01_Setores!B10:B35,0))</f>
        <v>49.25</v>
      </c>
      <c r="G15" s="25" t="n">
        <f aca="false">F15-D15</f>
        <v>-0.0499999999999972</v>
      </c>
      <c r="H15" s="33" t="str">
        <f aca="false">IF(ABS(ROUND(G15,4))&lt;=0.05,"✓",IF(ABS(ROUND(G15,4))&lt;=0.6,"~","⚑"))</f>
        <v>✓</v>
      </c>
    </row>
    <row r="16" customFormat="false" ht="15" hidden="false" customHeight="false" outlineLevel="0" collapsed="false">
      <c r="B16" s="32" t="s">
        <v>375</v>
      </c>
      <c r="C16" s="20" t="s">
        <v>376</v>
      </c>
      <c r="D16" s="21" t="n">
        <v>1.76</v>
      </c>
      <c r="E16" s="20" t="s">
        <v>377</v>
      </c>
      <c r="F16" s="21" t="n">
        <f aca="false">AVERAGE(02_Multiplicadores!C10:C35)</f>
        <v>1.76127692307692</v>
      </c>
      <c r="G16" s="21" t="n">
        <f aca="false">F16-D16</f>
        <v>0.00127692307692295</v>
      </c>
      <c r="H16" s="32" t="str">
        <f aca="false">IF(ABS(ROUND(G16,4))&lt;=0.05,"✓",IF(ABS(ROUND(G16,4))&lt;=0.6,"~","⚑"))</f>
        <v>✓</v>
      </c>
    </row>
    <row r="17" customFormat="false" ht="15" hidden="false" customHeight="false" outlineLevel="0" collapsed="false">
      <c r="B17" s="33" t="s">
        <v>375</v>
      </c>
      <c r="C17" s="24" t="s">
        <v>378</v>
      </c>
      <c r="D17" s="25" t="n">
        <v>2.45</v>
      </c>
      <c r="E17" s="24" t="s">
        <v>377</v>
      </c>
      <c r="F17" s="25" t="n">
        <f aca="false">AVERAGE(02_Multiplicadores!D10:D35)</f>
        <v>2.45359615384615</v>
      </c>
      <c r="G17" s="25" t="n">
        <f aca="false">F17-D17</f>
        <v>0.00359615384615353</v>
      </c>
      <c r="H17" s="33" t="str">
        <f aca="false">IF(ABS(ROUND(G17,4))&lt;=0.05,"✓",IF(ABS(ROUND(G17,4))&lt;=0.6,"~","⚑"))</f>
        <v>✓</v>
      </c>
    </row>
    <row r="18" customFormat="false" ht="15" hidden="false" customHeight="false" outlineLevel="0" collapsed="false">
      <c r="B18" s="32" t="s">
        <v>375</v>
      </c>
      <c r="C18" s="20" t="s">
        <v>379</v>
      </c>
      <c r="D18" s="21" t="n">
        <v>27.9</v>
      </c>
      <c r="E18" s="20" t="s">
        <v>377</v>
      </c>
      <c r="F18" s="21" t="n">
        <f aca="false">AVERAGE(02_Multiplicadores!E10:E35)</f>
        <v>27.9037881869231</v>
      </c>
      <c r="G18" s="21" t="n">
        <f aca="false">F18-D18</f>
        <v>0.00378818692308158</v>
      </c>
      <c r="H18" s="32" t="str">
        <f aca="false">IF(ABS(ROUND(G18,4))&lt;=0.05,"✓",IF(ABS(ROUND(G18,4))&lt;=0.6,"~","⚑"))</f>
        <v>✓</v>
      </c>
    </row>
    <row r="19" customFormat="false" ht="15" hidden="false" customHeight="false" outlineLevel="0" collapsed="false">
      <c r="B19" s="33" t="s">
        <v>375</v>
      </c>
      <c r="C19" s="24" t="s">
        <v>380</v>
      </c>
      <c r="D19" s="25" t="n">
        <v>40.4</v>
      </c>
      <c r="E19" s="24" t="s">
        <v>377</v>
      </c>
      <c r="F19" s="25" t="n">
        <f aca="false">AVERAGE(02_Multiplicadores!F10:F35)</f>
        <v>40.4107175873077</v>
      </c>
      <c r="G19" s="25" t="n">
        <f aca="false">F19-D19</f>
        <v>0.0107175873076955</v>
      </c>
      <c r="H19" s="33" t="str">
        <f aca="false">IF(ABS(ROUND(G19,4))&lt;=0.05,"✓",IF(ABS(ROUND(G19,4))&lt;=0.6,"~","⚑"))</f>
        <v>✓</v>
      </c>
    </row>
    <row r="20" customFormat="false" ht="15" hidden="false" customHeight="false" outlineLevel="0" collapsed="false">
      <c r="B20" s="32" t="s">
        <v>381</v>
      </c>
      <c r="C20" s="20" t="s">
        <v>382</v>
      </c>
      <c r="D20" s="21" t="n">
        <v>4.4</v>
      </c>
      <c r="E20" s="20" t="s">
        <v>383</v>
      </c>
      <c r="F20" s="21" t="n">
        <f aca="false">INDEX(02_Multiplicadores!K10:K35,MATCH("Mineração",02_Multiplicadores!B10:B35,0))</f>
        <v>4.4268</v>
      </c>
      <c r="G20" s="21" t="n">
        <f aca="false">F20-D20</f>
        <v>0.0267999999999997</v>
      </c>
      <c r="H20" s="32" t="str">
        <f aca="false">IF(ABS(ROUND(G20,4))&lt;=0.05,"✓",IF(ABS(ROUND(G20,4))&lt;=0.6,"~","⚑"))</f>
        <v>✓</v>
      </c>
    </row>
    <row r="21" customFormat="false" ht="15" hidden="false" customHeight="false" outlineLevel="0" collapsed="false">
      <c r="B21" s="33" t="s">
        <v>381</v>
      </c>
      <c r="C21" s="24" t="s">
        <v>384</v>
      </c>
      <c r="D21" s="25" t="n">
        <v>3.4</v>
      </c>
      <c r="E21" s="24" t="s">
        <v>383</v>
      </c>
      <c r="F21" s="25" t="n">
        <f aca="false">INDEX(02_Multiplicadores!K10:K35,MATCH("Metalurgia",02_Multiplicadores!B10:B35,0))</f>
        <v>3.4094</v>
      </c>
      <c r="G21" s="25" t="n">
        <f aca="false">F21-D21</f>
        <v>0.0094000000000003</v>
      </c>
      <c r="H21" s="33" t="str">
        <f aca="false">IF(ABS(ROUND(G21,4))&lt;=0.05,"✓",IF(ABS(ROUND(G21,4))&lt;=0.6,"~","⚑"))</f>
        <v>✓</v>
      </c>
    </row>
    <row r="22" customFormat="false" ht="15" hidden="false" customHeight="false" outlineLevel="0" collapsed="false">
      <c r="B22" s="32" t="s">
        <v>385</v>
      </c>
      <c r="C22" s="20" t="s">
        <v>386</v>
      </c>
      <c r="D22" s="21" t="n">
        <v>61.7</v>
      </c>
      <c r="E22" s="20" t="s">
        <v>387</v>
      </c>
      <c r="F22" s="21" t="n">
        <f aca="false">03_DemandaFinal!D17</f>
        <v>61.7421624768093</v>
      </c>
      <c r="G22" s="21" t="n">
        <f aca="false">F22-D22</f>
        <v>0.0421624768093025</v>
      </c>
      <c r="H22" s="32" t="str">
        <f aca="false">IF(ABS(ROUND(G22,4))&lt;=0.05,"✓",IF(ABS(ROUND(G22,4))&lt;=0.6,"~","⚑"))</f>
        <v>✓</v>
      </c>
    </row>
    <row r="23" customFormat="false" ht="15" hidden="false" customHeight="false" outlineLevel="0" collapsed="false">
      <c r="B23" s="33" t="s">
        <v>385</v>
      </c>
      <c r="C23" s="24" t="s">
        <v>388</v>
      </c>
      <c r="D23" s="25" t="n">
        <v>47.5</v>
      </c>
      <c r="E23" s="24" t="s">
        <v>387</v>
      </c>
      <c r="F23" s="25" t="n">
        <f aca="false">03_DemandaFinal!F17</f>
        <v>47.4982725151751</v>
      </c>
      <c r="G23" s="25" t="n">
        <f aca="false">F23-D23</f>
        <v>-0.00172748482491158</v>
      </c>
      <c r="H23" s="33" t="str">
        <f aca="false">IF(ABS(ROUND(G23,4))&lt;=0.05,"✓",IF(ABS(ROUND(G23,4))&lt;=0.6,"~","⚑"))</f>
        <v>✓</v>
      </c>
    </row>
    <row r="24" customFormat="false" ht="15" hidden="false" customHeight="false" outlineLevel="0" collapsed="false">
      <c r="B24" s="32" t="s">
        <v>385</v>
      </c>
      <c r="C24" s="20" t="s">
        <v>389</v>
      </c>
      <c r="D24" s="21" t="n">
        <v>104.6</v>
      </c>
      <c r="E24" s="20" t="s">
        <v>390</v>
      </c>
      <c r="F24" s="21" t="n">
        <f aca="false">03_DemandaFinal!C16/1000</f>
        <v>104.6217</v>
      </c>
      <c r="G24" s="21" t="n">
        <f aca="false">F24-D24</f>
        <v>0.0217000000000098</v>
      </c>
      <c r="H24" s="32" t="str">
        <f aca="false">IF(ABS(ROUND(G24,4))&lt;=0.05,"✓",IF(ABS(ROUND(G24,4))&lt;=0.6,"~","⚑"))</f>
        <v>✓</v>
      </c>
    </row>
    <row r="25" customFormat="false" ht="15" hidden="false" customHeight="false" outlineLevel="0" collapsed="false">
      <c r="B25" s="33" t="s">
        <v>385</v>
      </c>
      <c r="C25" s="24" t="s">
        <v>391</v>
      </c>
      <c r="D25" s="25" t="n">
        <v>1611.7</v>
      </c>
      <c r="E25" s="24" t="s">
        <v>390</v>
      </c>
      <c r="F25" s="25" t="n">
        <f aca="false">03_DemandaFinal!E16/1000</f>
        <v>1611.7363</v>
      </c>
      <c r="G25" s="25" t="n">
        <f aca="false">F25-D25</f>
        <v>0.0362999999999829</v>
      </c>
      <c r="H25" s="33" t="str">
        <f aca="false">IF(ABS(ROUND(G25,4))&lt;=0.05,"✓",IF(ABS(ROUND(G25,4))&lt;=0.6,"~","⚑"))</f>
        <v>✓</v>
      </c>
    </row>
    <row r="26" customFormat="false" ht="15" hidden="false" customHeight="false" outlineLevel="0" collapsed="false">
      <c r="B26" s="32" t="s">
        <v>392</v>
      </c>
      <c r="C26" s="20" t="s">
        <v>393</v>
      </c>
      <c r="D26" s="21" t="n">
        <v>36.4</v>
      </c>
      <c r="E26" s="20" t="s">
        <v>394</v>
      </c>
      <c r="F26" s="21" t="n">
        <f aca="false">04_Cluster!F10</f>
        <v>36.42</v>
      </c>
      <c r="G26" s="21" t="n">
        <f aca="false">F26-D26</f>
        <v>0.0200000000000031</v>
      </c>
      <c r="H26" s="32" t="str">
        <f aca="false">IF(ABS(ROUND(G26,4))&lt;=0.05,"✓",IF(ABS(ROUND(G26,4))&lt;=0.6,"~","⚑"))</f>
        <v>✓</v>
      </c>
    </row>
    <row r="27" customFormat="false" ht="15" hidden="false" customHeight="false" outlineLevel="0" collapsed="false">
      <c r="B27" s="33" t="s">
        <v>392</v>
      </c>
      <c r="C27" s="24" t="s">
        <v>395</v>
      </c>
      <c r="D27" s="25" t="n">
        <v>1.66</v>
      </c>
      <c r="E27" s="24" t="s">
        <v>394</v>
      </c>
      <c r="F27" s="25" t="n">
        <f aca="false">04_Cluster!G10</f>
        <v>1.6582</v>
      </c>
      <c r="G27" s="25" t="n">
        <f aca="false">F27-D27</f>
        <v>-0.00180000000000002</v>
      </c>
      <c r="H27" s="33" t="str">
        <f aca="false">IF(ABS(ROUND(G27,4))&lt;=0.05,"✓",IF(ABS(ROUND(G27,4))&lt;=0.6,"~","⚑"))</f>
        <v>✓</v>
      </c>
    </row>
    <row r="28" customFormat="false" ht="15" hidden="false" customHeight="false" outlineLevel="0" collapsed="false">
      <c r="B28" s="32" t="s">
        <v>392</v>
      </c>
      <c r="C28" s="20" t="s">
        <v>396</v>
      </c>
      <c r="D28" s="21" t="n">
        <v>25.4</v>
      </c>
      <c r="E28" s="20" t="s">
        <v>394</v>
      </c>
      <c r="F28" s="21" t="n">
        <f aca="false">04_Cluster!H10</f>
        <v>25.4</v>
      </c>
      <c r="G28" s="21" t="n">
        <f aca="false">F28-D28</f>
        <v>0</v>
      </c>
      <c r="H28" s="32" t="str">
        <f aca="false">IF(ABS(ROUND(G28,4))&lt;=0.05,"✓",IF(ABS(ROUND(G28,4))&lt;=0.6,"~","⚑"))</f>
        <v>✓</v>
      </c>
    </row>
    <row r="29" customFormat="false" ht="15" hidden="false" customHeight="false" outlineLevel="0" collapsed="false">
      <c r="B29" s="33" t="s">
        <v>392</v>
      </c>
      <c r="C29" s="24" t="s">
        <v>397</v>
      </c>
      <c r="D29" s="25" t="n">
        <v>0.92</v>
      </c>
      <c r="E29" s="24" t="s">
        <v>394</v>
      </c>
      <c r="F29" s="25" t="n">
        <f aca="false">04_Cluster!I10</f>
        <v>0.9211</v>
      </c>
      <c r="G29" s="25" t="n">
        <f aca="false">F29-D29</f>
        <v>0.00109999999999999</v>
      </c>
      <c r="H29" s="33" t="str">
        <f aca="false">IF(ABS(ROUND(G29,4))&lt;=0.05,"✓",IF(ABS(ROUND(G29,4))&lt;=0.6,"~","⚑"))</f>
        <v>✓</v>
      </c>
    </row>
    <row r="30" customFormat="false" ht="15" hidden="false" customHeight="false" outlineLevel="0" collapsed="false">
      <c r="B30" s="32" t="s">
        <v>392</v>
      </c>
      <c r="C30" s="20" t="s">
        <v>398</v>
      </c>
      <c r="D30" s="21" t="n">
        <v>0.39</v>
      </c>
      <c r="E30" s="20" t="s">
        <v>394</v>
      </c>
      <c r="F30" s="21" t="n">
        <f aca="false">04_Cluster!J10</f>
        <v>0.385</v>
      </c>
      <c r="G30" s="21" t="n">
        <f aca="false">F30-D30</f>
        <v>-0.005</v>
      </c>
      <c r="H30" s="32" t="str">
        <f aca="false">IF(ABS(ROUND(G30,4))&lt;=0.05,"✓",IF(ABS(ROUND(G30,4))&lt;=0.6,"~","⚑"))</f>
        <v>✓</v>
      </c>
    </row>
    <row r="31" customFormat="false" ht="15" hidden="false" customHeight="false" outlineLevel="0" collapsed="false">
      <c r="B31" s="33" t="s">
        <v>392</v>
      </c>
      <c r="C31" s="24" t="s">
        <v>399</v>
      </c>
      <c r="D31" s="25" t="n">
        <v>21</v>
      </c>
      <c r="E31" s="24" t="s">
        <v>400</v>
      </c>
      <c r="F31" s="25" t="n">
        <f aca="false">05_Estados!H37</f>
        <v>21.03</v>
      </c>
      <c r="G31" s="25" t="n">
        <f aca="false">F31-D31</f>
        <v>0.0300000000000011</v>
      </c>
      <c r="H31" s="33" t="str">
        <f aca="false">IF(ABS(ROUND(G31,4))&lt;=0.05,"✓",IF(ABS(ROUND(G31,4))&lt;=0.6,"~","⚑"))</f>
        <v>✓</v>
      </c>
    </row>
    <row r="32" customFormat="false" ht="15" hidden="false" customHeight="false" outlineLevel="0" collapsed="false">
      <c r="B32" s="32" t="s">
        <v>392</v>
      </c>
      <c r="C32" s="20" t="s">
        <v>401</v>
      </c>
      <c r="D32" s="21" t="n">
        <v>42.5</v>
      </c>
      <c r="E32" s="20" t="s">
        <v>400</v>
      </c>
      <c r="F32" s="21" t="n">
        <f aca="false">05_Estados!J37</f>
        <v>42.45</v>
      </c>
      <c r="G32" s="21" t="n">
        <f aca="false">F32-D32</f>
        <v>-0.0499999999999972</v>
      </c>
      <c r="H32" s="32" t="str">
        <f aca="false">IF(ABS(ROUND(G32,4))&lt;=0.05,"✓",IF(ABS(ROUND(G32,4))&lt;=0.6,"~","⚑"))</f>
        <v>✓</v>
      </c>
    </row>
    <row r="33" customFormat="false" ht="15" hidden="false" customHeight="false" outlineLevel="0" collapsed="false">
      <c r="B33" s="33" t="s">
        <v>392</v>
      </c>
      <c r="C33" s="24" t="s">
        <v>402</v>
      </c>
      <c r="D33" s="25" t="n">
        <v>0.65</v>
      </c>
      <c r="E33" s="24" t="s">
        <v>400</v>
      </c>
      <c r="F33" s="25" t="n">
        <f aca="false">05_Estados!L37</f>
        <v>0.654</v>
      </c>
      <c r="G33" s="25" t="n">
        <f aca="false">F33-D33</f>
        <v>0.004</v>
      </c>
      <c r="H33" s="33" t="str">
        <f aca="false">IF(ABS(ROUND(G33,4))&lt;=0.05,"✓",IF(ABS(ROUND(G33,4))&lt;=0.6,"~","⚑"))</f>
        <v>✓</v>
      </c>
    </row>
    <row r="34" customFormat="false" ht="15" hidden="false" customHeight="false" outlineLevel="0" collapsed="false">
      <c r="B34" s="32" t="s">
        <v>365</v>
      </c>
      <c r="C34" s="20" t="s">
        <v>403</v>
      </c>
      <c r="D34" s="21" t="n">
        <v>65.4</v>
      </c>
      <c r="E34" s="20" t="s">
        <v>404</v>
      </c>
      <c r="F34" s="21" t="n">
        <f aca="false">07_Destino!D36</f>
        <v>65.44</v>
      </c>
      <c r="G34" s="21" t="n">
        <f aca="false">F34-D34</f>
        <v>0.039999999999992</v>
      </c>
      <c r="H34" s="32" t="str">
        <f aca="false">IF(ABS(ROUND(G34,4))&lt;=0.05,"✓",IF(ABS(ROUND(G34,4))&lt;=0.6,"~","⚑"))</f>
        <v>✓</v>
      </c>
    </row>
    <row r="35" customFormat="false" ht="15" hidden="false" customHeight="false" outlineLevel="0" collapsed="false">
      <c r="B35" s="33" t="s">
        <v>365</v>
      </c>
      <c r="C35" s="24" t="s">
        <v>405</v>
      </c>
      <c r="D35" s="25" t="n">
        <v>52.5</v>
      </c>
      <c r="E35" s="24" t="s">
        <v>406</v>
      </c>
      <c r="F35" s="25" t="n">
        <f aca="false">07_Destino!D37</f>
        <v>52.5</v>
      </c>
      <c r="G35" s="25" t="n">
        <f aca="false">F35-D35</f>
        <v>0</v>
      </c>
      <c r="H35" s="33" t="str">
        <f aca="false">IF(ABS(ROUND(G35,4))&lt;=0.05,"✓",IF(ABS(ROUND(G35,4))&lt;=0.6,"~","⚑"))</f>
        <v>✓</v>
      </c>
    </row>
    <row r="36" customFormat="false" ht="15" hidden="false" customHeight="false" outlineLevel="0" collapsed="false">
      <c r="B36" s="32" t="s">
        <v>365</v>
      </c>
      <c r="C36" s="20" t="s">
        <v>213</v>
      </c>
      <c r="D36" s="21" t="n">
        <v>0.32</v>
      </c>
      <c r="E36" s="20" t="s">
        <v>407</v>
      </c>
      <c r="F36" s="21" t="n">
        <f aca="false">06_Spillover!C15</f>
        <v>0.317861281178991</v>
      </c>
      <c r="G36" s="21" t="n">
        <f aca="false">F36-D36</f>
        <v>-0.00213871882100941</v>
      </c>
      <c r="H36" s="32" t="str">
        <f aca="false">IF(ABS(ROUND(G36,4))&lt;=0.05,"✓",IF(ABS(ROUND(G36,4))&lt;=0.6,"~","⚑"))</f>
        <v>✓</v>
      </c>
    </row>
    <row r="37" customFormat="false" ht="15" hidden="false" customHeight="false" outlineLevel="0" collapsed="false">
      <c r="B37" s="33" t="s">
        <v>408</v>
      </c>
      <c r="C37" s="24" t="s">
        <v>409</v>
      </c>
      <c r="D37" s="25" t="n">
        <v>90.9</v>
      </c>
      <c r="E37" s="24" t="s">
        <v>410</v>
      </c>
      <c r="F37" s="25" t="n">
        <f aca="false">08_Micro!G10</f>
        <v>90.88</v>
      </c>
      <c r="G37" s="25" t="n">
        <f aca="false">F37-D37</f>
        <v>-0.0200000000000102</v>
      </c>
      <c r="H37" s="33" t="str">
        <f aca="false">IF(ABS(ROUND(G37,4))&lt;=0.05,"✓",IF(ABS(ROUND(G37,4))&lt;=0.6,"~","⚑"))</f>
        <v>✓</v>
      </c>
    </row>
    <row r="38" customFormat="false" ht="15" hidden="false" customHeight="false" outlineLevel="0" collapsed="false">
      <c r="B38" s="32" t="s">
        <v>408</v>
      </c>
      <c r="C38" s="20" t="s">
        <v>411</v>
      </c>
      <c r="D38" s="21" t="n">
        <v>66.2</v>
      </c>
      <c r="E38" s="20" t="s">
        <v>412</v>
      </c>
      <c r="F38" s="21" t="n">
        <f aca="false">08_Micro!G15</f>
        <v>66.18</v>
      </c>
      <c r="G38" s="21" t="n">
        <f aca="false">F38-D38</f>
        <v>-0.019999999999996</v>
      </c>
      <c r="H38" s="32" t="str">
        <f aca="false">IF(ABS(ROUND(G38,4))&lt;=0.05,"✓",IF(ABS(ROUND(G38,4))&lt;=0.6,"~","⚑"))</f>
        <v>✓</v>
      </c>
    </row>
    <row r="39" customFormat="false" ht="15" hidden="false" customHeight="false" outlineLevel="0" collapsed="false">
      <c r="B39" s="33" t="s">
        <v>408</v>
      </c>
      <c r="C39" s="24" t="s">
        <v>413</v>
      </c>
      <c r="D39" s="25" t="n">
        <v>62.3</v>
      </c>
      <c r="E39" s="24" t="s">
        <v>410</v>
      </c>
      <c r="F39" s="25" t="n">
        <f aca="false">08_Micro!D10</f>
        <v>62.28</v>
      </c>
      <c r="G39" s="25" t="n">
        <f aca="false">F39-D39</f>
        <v>-0.019999999999996</v>
      </c>
      <c r="H39" s="33" t="str">
        <f aca="false">IF(ABS(ROUND(G39,4))&lt;=0.05,"✓",IF(ABS(ROUND(G39,4))&lt;=0.6,"~","⚑"))</f>
        <v>✓</v>
      </c>
    </row>
    <row r="40" customFormat="false" ht="15" hidden="false" customHeight="false" outlineLevel="0" collapsed="false">
      <c r="B40" s="32" t="s">
        <v>414</v>
      </c>
      <c r="C40" s="20" t="s">
        <v>415</v>
      </c>
      <c r="D40" s="21" t="n">
        <v>13</v>
      </c>
      <c r="E40" s="20" t="s">
        <v>416</v>
      </c>
      <c r="F40" s="21" t="n">
        <f aca="false">08_Micro!E24</f>
        <v>12.98</v>
      </c>
      <c r="G40" s="21" t="n">
        <f aca="false">F40-D40</f>
        <v>-0.0199999999999996</v>
      </c>
      <c r="H40" s="32" t="str">
        <f aca="false">IF(ABS(ROUND(G40,4))&lt;=0.05,"✓",IF(ABS(ROUND(G40,4))&lt;=0.6,"~","⚑"))</f>
        <v>✓</v>
      </c>
    </row>
    <row r="41" customFormat="false" ht="15" hidden="false" customHeight="false" outlineLevel="0" collapsed="false">
      <c r="B41" s="33" t="s">
        <v>414</v>
      </c>
      <c r="C41" s="24" t="s">
        <v>417</v>
      </c>
      <c r="D41" s="25" t="n">
        <v>8.2</v>
      </c>
      <c r="E41" s="24" t="s">
        <v>418</v>
      </c>
      <c r="F41" s="25" t="n">
        <f aca="false">09_Micro_LQ!I19</f>
        <v>8.187</v>
      </c>
      <c r="G41" s="25" t="n">
        <f aca="false">F41-D41</f>
        <v>-0.0129999999999999</v>
      </c>
      <c r="H41" s="33" t="str">
        <f aca="false">IF(ABS(ROUND(G41,4))&lt;=0.05,"✓",IF(ABS(ROUND(G41,4))&lt;=0.6,"~","⚑"))</f>
        <v>✓</v>
      </c>
    </row>
    <row r="42" customFormat="false" ht="15" hidden="false" customHeight="false" outlineLevel="0" collapsed="false">
      <c r="B42" s="32" t="s">
        <v>414</v>
      </c>
      <c r="C42" s="20" t="s">
        <v>419</v>
      </c>
      <c r="D42" s="21" t="n">
        <v>9.5</v>
      </c>
      <c r="E42" s="20" t="s">
        <v>420</v>
      </c>
      <c r="F42" s="21" t="n">
        <f aca="false">09_Micro_LQ!F15</f>
        <v>9.534</v>
      </c>
      <c r="G42" s="21" t="n">
        <f aca="false">F42-D42</f>
        <v>0.0340000000000007</v>
      </c>
      <c r="H42" s="32" t="str">
        <f aca="false">IF(ABS(ROUND(G42,4))&lt;=0.05,"✓",IF(ABS(ROUND(G42,4))&lt;=0.6,"~","⚑"))</f>
        <v>✓</v>
      </c>
    </row>
    <row r="43" customFormat="false" ht="15" hidden="false" customHeight="false" outlineLevel="0" collapsed="false">
      <c r="B43" s="33" t="s">
        <v>414</v>
      </c>
      <c r="C43" s="24" t="s">
        <v>421</v>
      </c>
      <c r="D43" s="25" t="n">
        <v>9.6</v>
      </c>
      <c r="E43" s="24" t="s">
        <v>422</v>
      </c>
      <c r="F43" s="25" t="n">
        <f aca="false">09_Micro_LQ!J17</f>
        <v>9.636</v>
      </c>
      <c r="G43" s="25" t="n">
        <f aca="false">F43-D43</f>
        <v>0.0359999999999996</v>
      </c>
      <c r="H43" s="33" t="str">
        <f aca="false">IF(ABS(ROUND(G43,4))&lt;=0.05,"✓",IF(ABS(ROUND(G43,4))&lt;=0.6,"~","⚑"))</f>
        <v>✓</v>
      </c>
    </row>
    <row r="44" customFormat="false" ht="15" hidden="false" customHeight="false" outlineLevel="0" collapsed="false">
      <c r="B44" s="32" t="s">
        <v>414</v>
      </c>
      <c r="C44" s="20" t="s">
        <v>423</v>
      </c>
      <c r="D44" s="21" t="n">
        <v>21.9</v>
      </c>
      <c r="E44" s="20" t="s">
        <v>424</v>
      </c>
      <c r="F44" s="21" t="n">
        <f aca="false">09_Micro_LQ!D11</f>
        <v>21.907</v>
      </c>
      <c r="G44" s="21" t="n">
        <f aca="false">F44-D44</f>
        <v>0.00700000000000145</v>
      </c>
      <c r="H44" s="32" t="str">
        <f aca="false">IF(ABS(ROUND(G44,4))&lt;=0.05,"✓",IF(ABS(ROUND(G44,4))&lt;=0.6,"~","⚑"))</f>
        <v>✓</v>
      </c>
    </row>
    <row r="45" customFormat="false" ht="15" hidden="false" customHeight="false" outlineLevel="0" collapsed="false">
      <c r="B45" s="33" t="s">
        <v>414</v>
      </c>
      <c r="C45" s="24" t="s">
        <v>425</v>
      </c>
      <c r="D45" s="25" t="n">
        <v>7.7</v>
      </c>
      <c r="E45" s="24" t="s">
        <v>426</v>
      </c>
      <c r="F45" s="25" t="n">
        <f aca="false">09_Micro_LQ!G22</f>
        <v>7.687</v>
      </c>
      <c r="G45" s="25" t="n">
        <f aca="false">F45-D45</f>
        <v>-0.0129999999999999</v>
      </c>
      <c r="H45" s="33" t="str">
        <f aca="false">IF(ABS(ROUND(G45,4))&lt;=0.05,"✓",IF(ABS(ROUND(G45,4))&lt;=0.6,"~","⚑"))</f>
        <v>✓</v>
      </c>
    </row>
    <row r="46" customFormat="false" ht="15" hidden="false" customHeight="false" outlineLevel="0" collapsed="false">
      <c r="B46" s="32" t="s">
        <v>427</v>
      </c>
      <c r="C46" s="20" t="s">
        <v>428</v>
      </c>
      <c r="D46" s="21" t="n">
        <v>1.41</v>
      </c>
      <c r="E46" s="20" t="s">
        <v>429</v>
      </c>
      <c r="F46" s="21" t="n">
        <f aca="false">10_Trajetoria!C10</f>
        <v>1.4073</v>
      </c>
      <c r="G46" s="21" t="n">
        <f aca="false">F46-D46</f>
        <v>-0.00269999999999992</v>
      </c>
      <c r="H46" s="32" t="str">
        <f aca="false">IF(ABS(ROUND(G46,4))&lt;=0.05,"✓",IF(ABS(ROUND(G46,4))&lt;=0.6,"~","⚑"))</f>
        <v>✓</v>
      </c>
    </row>
    <row r="47" customFormat="false" ht="15" hidden="false" customHeight="false" outlineLevel="0" collapsed="false">
      <c r="B47" s="33" t="s">
        <v>427</v>
      </c>
      <c r="C47" s="24" t="s">
        <v>430</v>
      </c>
      <c r="D47" s="25" t="n">
        <v>1.51</v>
      </c>
      <c r="E47" s="24" t="s">
        <v>429</v>
      </c>
      <c r="F47" s="25" t="n">
        <f aca="false">10_Trajetoria!N10</f>
        <v>1.5056</v>
      </c>
      <c r="G47" s="25" t="n">
        <f aca="false">F47-D47</f>
        <v>-0.00439999999999996</v>
      </c>
      <c r="H47" s="33" t="str">
        <f aca="false">IF(ABS(ROUND(G47,4))&lt;=0.05,"✓",IF(ABS(ROUND(G47,4))&lt;=0.6,"~","⚑"))</f>
        <v>✓</v>
      </c>
    </row>
    <row r="48" customFormat="false" ht="15" hidden="false" customHeight="false" outlineLevel="0" collapsed="false">
      <c r="B48" s="32" t="s">
        <v>431</v>
      </c>
      <c r="C48" s="20" t="s">
        <v>432</v>
      </c>
      <c r="D48" s="21" t="n">
        <v>2.85</v>
      </c>
      <c r="E48" s="20" t="s">
        <v>433</v>
      </c>
      <c r="F48" s="21" t="n">
        <f aca="false">10_Trajetoria!C18</f>
        <v>2.8518</v>
      </c>
      <c r="G48" s="21" t="n">
        <f aca="false">F48-D48</f>
        <v>0.0017999999999998</v>
      </c>
      <c r="H48" s="32" t="str">
        <f aca="false">IF(ABS(ROUND(G48,4))&lt;=0.05,"✓",IF(ABS(ROUND(G48,4))&lt;=0.6,"~","⚑"))</f>
        <v>✓</v>
      </c>
    </row>
    <row r="49" customFormat="false" ht="15" hidden="false" customHeight="false" outlineLevel="0" collapsed="false">
      <c r="B49" s="33" t="s">
        <v>431</v>
      </c>
      <c r="C49" s="24" t="s">
        <v>434</v>
      </c>
      <c r="D49" s="25" t="n">
        <v>3.05</v>
      </c>
      <c r="E49" s="24" t="s">
        <v>433</v>
      </c>
      <c r="F49" s="25" t="n">
        <f aca="false">10_Trajetoria!N18</f>
        <v>3.0302</v>
      </c>
      <c r="G49" s="25" t="n">
        <f aca="false">F49-D49</f>
        <v>-0.0198</v>
      </c>
      <c r="H49" s="33" t="str">
        <f aca="false">IF(ABS(ROUND(G49,4))&lt;=0.05,"✓",IF(ABS(ROUND(G49,4))&lt;=0.6,"~","⚑"))</f>
        <v>✓</v>
      </c>
    </row>
    <row r="50" customFormat="false" ht="22.35" hidden="false" customHeight="false" outlineLevel="0" collapsed="false">
      <c r="B50" s="32" t="s">
        <v>392</v>
      </c>
      <c r="C50" s="20" t="s">
        <v>435</v>
      </c>
      <c r="D50" s="21" t="n">
        <v>2.2</v>
      </c>
      <c r="E50" s="20" t="s">
        <v>436</v>
      </c>
      <c r="F50" s="21" t="n">
        <f aca="false">04_Cluster!D10</f>
        <v>2.15</v>
      </c>
      <c r="G50" s="21" t="n">
        <f aca="false">F50-D50</f>
        <v>-0.0500000000000003</v>
      </c>
      <c r="H50" s="32" t="str">
        <f aca="false">IF(ABS(ROUND(G50,4))&lt;=0.05,"✓",IF(ABS(ROUND(G50,4))&lt;=0.6,"~","⚑"))</f>
        <v>✓</v>
      </c>
    </row>
    <row r="52" customFormat="false" ht="30" hidden="false" customHeight="true" outlineLevel="0" collapsed="false">
      <c r="B52" s="47" t="s">
        <v>437</v>
      </c>
      <c r="C52" s="47"/>
      <c r="D52" s="47"/>
      <c r="E52" s="47"/>
      <c r="F52" s="47"/>
      <c r="G52" s="47"/>
      <c r="H52" s="47"/>
    </row>
  </sheetData>
  <mergeCells count="4">
    <mergeCell ref="B3:H3"/>
    <mergeCell ref="B6:H6"/>
    <mergeCell ref="B7:H7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4"/>
    <col collapsed="false" customWidth="true" hidden="false" outlineLevel="0" max="3" min="3" style="0" width="84"/>
    <col collapsed="false" customWidth="true" hidden="false" outlineLevel="0" max="4" min="4" style="0" width="26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44</v>
      </c>
    </row>
    <row r="3" customFormat="false" ht="24.75" hidden="false" customHeight="true" outlineLevel="0" collapsed="false">
      <c r="B3" s="17" t="s">
        <v>438</v>
      </c>
      <c r="C3" s="17"/>
      <c r="D3" s="17"/>
    </row>
    <row r="6" customFormat="false" ht="24" hidden="false" customHeight="true" outlineLevel="0" collapsed="false">
      <c r="B6" s="19" t="s">
        <v>439</v>
      </c>
      <c r="C6" s="19" t="s">
        <v>440</v>
      </c>
      <c r="D6" s="19" t="s">
        <v>441</v>
      </c>
    </row>
    <row r="7" customFormat="false" ht="15" hidden="false" customHeight="false" outlineLevel="0" collapsed="false">
      <c r="B7" s="20" t="s">
        <v>442</v>
      </c>
      <c r="C7" s="20" t="s">
        <v>443</v>
      </c>
      <c r="D7" s="20" t="s">
        <v>444</v>
      </c>
    </row>
    <row r="8" customFormat="false" ht="15" hidden="false" customHeight="false" outlineLevel="0" collapsed="false">
      <c r="B8" s="24" t="s">
        <v>445</v>
      </c>
      <c r="C8" s="24" t="s">
        <v>446</v>
      </c>
      <c r="D8" s="24" t="s">
        <v>447</v>
      </c>
    </row>
    <row r="9" customFormat="false" ht="15" hidden="false" customHeight="false" outlineLevel="0" collapsed="false">
      <c r="B9" s="20" t="s">
        <v>448</v>
      </c>
      <c r="C9" s="20" t="s">
        <v>449</v>
      </c>
      <c r="D9" s="20" t="s">
        <v>447</v>
      </c>
    </row>
    <row r="10" customFormat="false" ht="15" hidden="false" customHeight="false" outlineLevel="0" collapsed="false">
      <c r="B10" s="24" t="s">
        <v>450</v>
      </c>
      <c r="C10" s="24" t="s">
        <v>451</v>
      </c>
      <c r="D10" s="24" t="s">
        <v>447</v>
      </c>
    </row>
    <row r="11" customFormat="false" ht="15" hidden="false" customHeight="false" outlineLevel="0" collapsed="false">
      <c r="B11" s="20" t="s">
        <v>452</v>
      </c>
      <c r="C11" s="20" t="s">
        <v>453</v>
      </c>
      <c r="D11" s="20" t="s">
        <v>454</v>
      </c>
    </row>
    <row r="12" customFormat="false" ht="15" hidden="false" customHeight="false" outlineLevel="0" collapsed="false">
      <c r="B12" s="24" t="s">
        <v>455</v>
      </c>
      <c r="C12" s="24" t="s">
        <v>456</v>
      </c>
      <c r="D12" s="24" t="s">
        <v>457</v>
      </c>
    </row>
    <row r="13" customFormat="false" ht="15" hidden="false" customHeight="false" outlineLevel="0" collapsed="false">
      <c r="B13" s="20" t="s">
        <v>458</v>
      </c>
      <c r="C13" s="20" t="s">
        <v>459</v>
      </c>
      <c r="D13" s="20" t="s">
        <v>460</v>
      </c>
    </row>
    <row r="14" customFormat="false" ht="22.35" hidden="false" customHeight="false" outlineLevel="0" collapsed="false">
      <c r="B14" s="24" t="s">
        <v>461</v>
      </c>
      <c r="C14" s="24" t="s">
        <v>462</v>
      </c>
      <c r="D14" s="24" t="s">
        <v>463</v>
      </c>
    </row>
    <row r="15" customFormat="false" ht="15" hidden="false" customHeight="false" outlineLevel="0" collapsed="false">
      <c r="B15" s="20" t="s">
        <v>464</v>
      </c>
      <c r="C15" s="20" t="s">
        <v>465</v>
      </c>
      <c r="D15" s="20" t="s">
        <v>466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62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467</v>
      </c>
    </row>
    <row r="3" customFormat="false" ht="24.75" hidden="false" customHeight="true" outlineLevel="0" collapsed="false">
      <c r="B3" s="17" t="s">
        <v>468</v>
      </c>
      <c r="C3" s="17"/>
      <c r="D3" s="17"/>
      <c r="E3" s="17"/>
    </row>
    <row r="6" customFormat="false" ht="24" hidden="false" customHeight="true" outlineLevel="0" collapsed="false">
      <c r="B6" s="19" t="s">
        <v>469</v>
      </c>
      <c r="C6" s="19" t="s">
        <v>470</v>
      </c>
      <c r="D6" s="19" t="s">
        <v>471</v>
      </c>
      <c r="E6" s="19" t="s">
        <v>203</v>
      </c>
    </row>
    <row r="7" customFormat="false" ht="15" hidden="false" customHeight="false" outlineLevel="0" collapsed="false">
      <c r="B7" s="20" t="s">
        <v>472</v>
      </c>
      <c r="C7" s="20" t="s">
        <v>473</v>
      </c>
      <c r="D7" s="20" t="s">
        <v>474</v>
      </c>
      <c r="E7" s="20" t="s">
        <v>475</v>
      </c>
    </row>
    <row r="8" customFormat="false" ht="15" hidden="false" customHeight="false" outlineLevel="0" collapsed="false">
      <c r="B8" s="24" t="s">
        <v>476</v>
      </c>
      <c r="C8" s="24" t="s">
        <v>477</v>
      </c>
      <c r="D8" s="24" t="s">
        <v>474</v>
      </c>
      <c r="E8" s="24" t="s">
        <v>475</v>
      </c>
    </row>
    <row r="9" customFormat="false" ht="15" hidden="false" customHeight="false" outlineLevel="0" collapsed="false">
      <c r="B9" s="20" t="s">
        <v>478</v>
      </c>
      <c r="C9" s="20" t="s">
        <v>479</v>
      </c>
      <c r="D9" s="20" t="s">
        <v>474</v>
      </c>
      <c r="E9" s="20" t="s">
        <v>475</v>
      </c>
    </row>
    <row r="10" customFormat="false" ht="22.35" hidden="false" customHeight="false" outlineLevel="0" collapsed="false">
      <c r="B10" s="24" t="s">
        <v>480</v>
      </c>
      <c r="C10" s="24" t="s">
        <v>481</v>
      </c>
      <c r="D10" s="24" t="s">
        <v>482</v>
      </c>
      <c r="E10" s="24" t="s">
        <v>483</v>
      </c>
    </row>
    <row r="11" customFormat="false" ht="15" hidden="false" customHeight="false" outlineLevel="0" collapsed="false">
      <c r="B11" s="20" t="s">
        <v>484</v>
      </c>
      <c r="C11" s="20" t="s">
        <v>485</v>
      </c>
      <c r="D11" s="20" t="s">
        <v>486</v>
      </c>
      <c r="E11" s="20" t="s">
        <v>487</v>
      </c>
    </row>
    <row r="12" customFormat="false" ht="15" hidden="false" customHeight="false" outlineLevel="0" collapsed="false">
      <c r="B12" s="24" t="s">
        <v>488</v>
      </c>
      <c r="C12" s="24" t="s">
        <v>489</v>
      </c>
      <c r="D12" s="24" t="s">
        <v>474</v>
      </c>
      <c r="E12" s="24" t="s">
        <v>490</v>
      </c>
    </row>
    <row r="13" customFormat="false" ht="15" hidden="false" customHeight="false" outlineLevel="0" collapsed="false">
      <c r="B13" s="20" t="s">
        <v>491</v>
      </c>
      <c r="C13" s="20" t="s">
        <v>492</v>
      </c>
      <c r="D13" s="20" t="s">
        <v>474</v>
      </c>
      <c r="E13" s="20" t="s">
        <v>493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78"/>
    <col collapsed="false" customWidth="true" hidden="false" outlineLevel="0" max="5" min="5" style="0" width="44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48</v>
      </c>
    </row>
    <row r="3" customFormat="false" ht="24.75" hidden="false" customHeight="true" outlineLevel="0" collapsed="false">
      <c r="B3" s="17" t="s">
        <v>494</v>
      </c>
      <c r="C3" s="17"/>
      <c r="D3" s="17"/>
      <c r="E3" s="17"/>
    </row>
    <row r="6" customFormat="false" ht="24" hidden="false" customHeight="true" outlineLevel="0" collapsed="false">
      <c r="B6" s="19" t="s">
        <v>495</v>
      </c>
      <c r="C6" s="19" t="s">
        <v>496</v>
      </c>
      <c r="D6" s="19" t="s">
        <v>328</v>
      </c>
      <c r="E6" s="19" t="s">
        <v>364</v>
      </c>
    </row>
    <row r="7" customFormat="false" ht="15" hidden="false" customHeight="false" outlineLevel="0" collapsed="false">
      <c r="B7" s="32" t="s">
        <v>497</v>
      </c>
      <c r="C7" s="20" t="s">
        <v>498</v>
      </c>
      <c r="D7" s="20" t="s">
        <v>499</v>
      </c>
      <c r="E7" s="20" t="s">
        <v>500</v>
      </c>
    </row>
    <row r="8" customFormat="false" ht="15" hidden="false" customHeight="false" outlineLevel="0" collapsed="false">
      <c r="B8" s="33" t="s">
        <v>501</v>
      </c>
      <c r="C8" s="24" t="s">
        <v>502</v>
      </c>
      <c r="D8" s="24" t="s">
        <v>503</v>
      </c>
      <c r="E8" s="24" t="s">
        <v>504</v>
      </c>
    </row>
    <row r="9" customFormat="false" ht="15" hidden="false" customHeight="false" outlineLevel="0" collapsed="false">
      <c r="B9" s="32" t="s">
        <v>505</v>
      </c>
      <c r="C9" s="20" t="s">
        <v>502</v>
      </c>
      <c r="D9" s="20" t="s">
        <v>506</v>
      </c>
      <c r="E9" s="20" t="s">
        <v>507</v>
      </c>
    </row>
    <row r="10" customFormat="false" ht="15" hidden="false" customHeight="false" outlineLevel="0" collapsed="false">
      <c r="B10" s="33" t="s">
        <v>508</v>
      </c>
      <c r="C10" s="24" t="s">
        <v>502</v>
      </c>
      <c r="D10" s="24" t="s">
        <v>509</v>
      </c>
      <c r="E10" s="24" t="s">
        <v>510</v>
      </c>
    </row>
    <row r="11" customFormat="false" ht="15" hidden="false" customHeight="false" outlineLevel="0" collapsed="false">
      <c r="B11" s="32" t="s">
        <v>511</v>
      </c>
      <c r="C11" s="20" t="s">
        <v>512</v>
      </c>
      <c r="D11" s="20" t="s">
        <v>513</v>
      </c>
      <c r="E11" s="20" t="s">
        <v>504</v>
      </c>
    </row>
    <row r="12" customFormat="false" ht="15" hidden="false" customHeight="false" outlineLevel="0" collapsed="false">
      <c r="B12" s="33" t="s">
        <v>514</v>
      </c>
      <c r="C12" s="24" t="s">
        <v>512</v>
      </c>
      <c r="D12" s="24" t="s">
        <v>515</v>
      </c>
      <c r="E12" s="24" t="s">
        <v>516</v>
      </c>
    </row>
    <row r="13" customFormat="false" ht="15" hidden="false" customHeight="false" outlineLevel="0" collapsed="false">
      <c r="B13" s="32" t="s">
        <v>517</v>
      </c>
      <c r="C13" s="20" t="s">
        <v>518</v>
      </c>
      <c r="D13" s="20" t="s">
        <v>519</v>
      </c>
      <c r="E13" s="20" t="s">
        <v>520</v>
      </c>
    </row>
    <row r="14" customFormat="false" ht="15" hidden="false" customHeight="false" outlineLevel="0" collapsed="false">
      <c r="B14" s="33" t="s">
        <v>521</v>
      </c>
      <c r="C14" s="24" t="s">
        <v>522</v>
      </c>
      <c r="D14" s="24" t="s">
        <v>523</v>
      </c>
      <c r="E14" s="24" t="s">
        <v>524</v>
      </c>
    </row>
    <row r="15" customFormat="false" ht="22.35" hidden="false" customHeight="false" outlineLevel="0" collapsed="false">
      <c r="B15" s="32" t="s">
        <v>525</v>
      </c>
      <c r="C15" s="20" t="s">
        <v>502</v>
      </c>
      <c r="D15" s="20" t="s">
        <v>526</v>
      </c>
      <c r="E15" s="20" t="s">
        <v>527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88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528</v>
      </c>
    </row>
    <row r="3" customFormat="false" ht="24.75" hidden="false" customHeight="true" outlineLevel="0" collapsed="false">
      <c r="B3" s="17" t="s">
        <v>529</v>
      </c>
      <c r="C3" s="17"/>
      <c r="D3" s="17"/>
    </row>
    <row r="6" customFormat="false" ht="24" hidden="false" customHeight="true" outlineLevel="0" collapsed="false">
      <c r="B6" s="19" t="s">
        <v>530</v>
      </c>
      <c r="C6" s="19" t="s">
        <v>531</v>
      </c>
      <c r="D6" s="19" t="s">
        <v>532</v>
      </c>
    </row>
    <row r="7" customFormat="false" ht="15" hidden="false" customHeight="false" outlineLevel="0" collapsed="false">
      <c r="B7" s="20" t="s">
        <v>533</v>
      </c>
      <c r="C7" s="20" t="s">
        <v>534</v>
      </c>
      <c r="D7" s="20" t="s">
        <v>535</v>
      </c>
    </row>
    <row r="8" customFormat="false" ht="15" hidden="false" customHeight="false" outlineLevel="0" collapsed="false">
      <c r="B8" s="24" t="s">
        <v>536</v>
      </c>
      <c r="C8" s="24" t="s">
        <v>537</v>
      </c>
      <c r="D8" s="24" t="s">
        <v>538</v>
      </c>
    </row>
    <row r="9" customFormat="false" ht="15" hidden="false" customHeight="false" outlineLevel="0" collapsed="false">
      <c r="B9" s="20" t="s">
        <v>539</v>
      </c>
      <c r="C9" s="20" t="s">
        <v>540</v>
      </c>
      <c r="D9" s="20" t="s">
        <v>541</v>
      </c>
    </row>
    <row r="10" customFormat="false" ht="15" hidden="false" customHeight="false" outlineLevel="0" collapsed="false">
      <c r="B10" s="24" t="s">
        <v>460</v>
      </c>
      <c r="C10" s="24" t="s">
        <v>542</v>
      </c>
      <c r="D10" s="24" t="s">
        <v>543</v>
      </c>
    </row>
    <row r="11" customFormat="false" ht="15" hidden="false" customHeight="false" outlineLevel="0" collapsed="false">
      <c r="B11" s="20" t="s">
        <v>544</v>
      </c>
      <c r="C11" s="20" t="s">
        <v>545</v>
      </c>
      <c r="D11" s="20" t="s">
        <v>546</v>
      </c>
    </row>
    <row r="12" customFormat="false" ht="15" hidden="false" customHeight="false" outlineLevel="0" collapsed="false">
      <c r="B12" s="24" t="s">
        <v>547</v>
      </c>
      <c r="C12" s="24" t="s">
        <v>548</v>
      </c>
      <c r="D12" s="24" t="s">
        <v>549</v>
      </c>
    </row>
    <row r="13" customFormat="false" ht="15" hidden="false" customHeight="false" outlineLevel="0" collapsed="false">
      <c r="B13" s="20" t="s">
        <v>550</v>
      </c>
      <c r="C13" s="20" t="s">
        <v>551</v>
      </c>
      <c r="D13" s="20" t="s">
        <v>552</v>
      </c>
    </row>
    <row r="14" customFormat="false" ht="15" hidden="false" customHeight="false" outlineLevel="0" collapsed="false">
      <c r="B14" s="24" t="s">
        <v>553</v>
      </c>
      <c r="C14" s="24" t="s">
        <v>554</v>
      </c>
      <c r="D14" s="24" t="s">
        <v>555</v>
      </c>
    </row>
    <row r="15" customFormat="false" ht="15" hidden="false" customHeight="false" outlineLevel="0" collapsed="false">
      <c r="B15" s="20" t="s">
        <v>556</v>
      </c>
      <c r="C15" s="20" t="s">
        <v>557</v>
      </c>
      <c r="D15" s="20" t="s">
        <v>558</v>
      </c>
    </row>
    <row r="16" customFormat="false" ht="15" hidden="false" customHeight="false" outlineLevel="0" collapsed="false">
      <c r="B16" s="24" t="s">
        <v>559</v>
      </c>
      <c r="C16" s="24" t="s">
        <v>560</v>
      </c>
      <c r="D16" s="24" t="s">
        <v>561</v>
      </c>
    </row>
    <row r="17" customFormat="false" ht="15" hidden="false" customHeight="false" outlineLevel="0" collapsed="false">
      <c r="B17" s="20" t="s">
        <v>562</v>
      </c>
      <c r="C17" s="20" t="s">
        <v>563</v>
      </c>
      <c r="D17" s="20" t="s">
        <v>564</v>
      </c>
    </row>
    <row r="18" customFormat="false" ht="15" hidden="false" customHeight="false" outlineLevel="0" collapsed="false">
      <c r="B18" s="24" t="s">
        <v>565</v>
      </c>
      <c r="C18" s="24" t="s">
        <v>566</v>
      </c>
      <c r="D18" s="24" t="s">
        <v>567</v>
      </c>
    </row>
    <row r="19" customFormat="false" ht="15" hidden="false" customHeight="false" outlineLevel="0" collapsed="false">
      <c r="B19" s="20" t="s">
        <v>568</v>
      </c>
      <c r="C19" s="20" t="s">
        <v>569</v>
      </c>
      <c r="D19" s="20" t="s">
        <v>570</v>
      </c>
    </row>
    <row r="20" customFormat="false" ht="15" hidden="false" customHeight="false" outlineLevel="0" collapsed="false">
      <c r="B20" s="24" t="s">
        <v>571</v>
      </c>
      <c r="C20" s="24" t="s">
        <v>572</v>
      </c>
      <c r="D20" s="24" t="s">
        <v>573</v>
      </c>
    </row>
    <row r="21" customFormat="false" ht="15" hidden="false" customHeight="false" outlineLevel="0" collapsed="false">
      <c r="B21" s="20" t="s">
        <v>574</v>
      </c>
      <c r="C21" s="20" t="s">
        <v>575</v>
      </c>
      <c r="D21" s="20" t="s">
        <v>576</v>
      </c>
    </row>
    <row r="22" customFormat="false" ht="15" hidden="false" customHeight="false" outlineLevel="0" collapsed="false">
      <c r="B22" s="24" t="s">
        <v>577</v>
      </c>
      <c r="C22" s="24" t="s">
        <v>578</v>
      </c>
      <c r="D22" s="24" t="s">
        <v>579</v>
      </c>
    </row>
    <row r="23" customFormat="false" ht="15" hidden="false" customHeight="false" outlineLevel="0" collapsed="false">
      <c r="B23" s="20" t="s">
        <v>580</v>
      </c>
      <c r="C23" s="20" t="s">
        <v>581</v>
      </c>
      <c r="D23" s="20" t="s">
        <v>582</v>
      </c>
    </row>
    <row r="24" customFormat="false" ht="15" hidden="false" customHeight="false" outlineLevel="0" collapsed="false">
      <c r="B24" s="24" t="s">
        <v>583</v>
      </c>
      <c r="C24" s="24" t="s">
        <v>542</v>
      </c>
      <c r="D24" s="24" t="s">
        <v>584</v>
      </c>
    </row>
    <row r="25" customFormat="false" ht="15" hidden="false" customHeight="false" outlineLevel="0" collapsed="false">
      <c r="B25" s="20" t="s">
        <v>585</v>
      </c>
      <c r="C25" s="20" t="s">
        <v>586</v>
      </c>
      <c r="D25" s="20" t="s">
        <v>587</v>
      </c>
    </row>
    <row r="26" customFormat="false" ht="15" hidden="false" customHeight="false" outlineLevel="0" collapsed="false">
      <c r="B26" s="24" t="s">
        <v>588</v>
      </c>
      <c r="C26" s="24" t="s">
        <v>589</v>
      </c>
      <c r="D26" s="24" t="s">
        <v>590</v>
      </c>
    </row>
    <row r="27" customFormat="false" ht="15" hidden="false" customHeight="false" outlineLevel="0" collapsed="false">
      <c r="B27" s="20" t="s">
        <v>591</v>
      </c>
      <c r="C27" s="20" t="s">
        <v>592</v>
      </c>
      <c r="D27" s="20" t="s">
        <v>593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2026-07-30T01:27:38Z</dcterms:created>
  <dc:creator>openpyxl</dc:creator>
  <dc:description/>
  <dc:language>en-US</dc:language>
  <cp:lastModifiedBy/>
  <dcterms:modified xsi:type="dcterms:W3CDTF">2026-07-30T01:27:39Z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